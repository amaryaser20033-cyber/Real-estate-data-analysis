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CE99209-1BB9-4E34-886C-C2BB62E5AE92}" xr6:coauthVersionLast="47" xr6:coauthVersionMax="47" xr10:uidLastSave="{00000000-0000-0000-0000-000000000000}"/>
  <bookViews>
    <workbookView xWindow="-108" yWindow="-108" windowWidth="23256" windowHeight="12576" activeTab="1" xr2:uid="{20299DCC-0270-4EA6-AF84-2AAC61CAC536}"/>
  </bookViews>
  <sheets>
    <sheet name="V3" sheetId="2" r:id="rId1"/>
    <sheet name="PivotTable" sheetId="1" r:id="rId2"/>
    <sheet name="Dashboard" sheetId="3" r:id="rId3"/>
  </sheets>
  <definedNames>
    <definedName name="ExternalData_1" localSheetId="0" hidden="1">'V3'!$A$1:$S$2536</definedName>
    <definedName name="Slicer_Locality">#N/A</definedName>
    <definedName name="Slicer_Month_No">#N/A</definedName>
    <definedName name="Slicer_Residential">#N/A</definedName>
    <definedName name="Slicer_Year">#N/A</definedName>
  </definedNames>
  <calcPr calcId="191028"/>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38" i="2" l="1"/>
  <c r="E1048576" i="2"/>
  <c r="H13" i="3"/>
  <c r="F12" i="3"/>
  <c r="I16" i="3"/>
  <c r="J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AE88F4-F0B5-4593-AD63-47FB4270CF48}" keepAlive="1" name="Query - V3" description="Connection to the 'V3' query in the workbook." type="5" refreshedVersion="8" background="1" saveData="1">
    <dbPr connection="Provider=Microsoft.Mashup.OleDb.1;Data Source=$Workbook$;Location=V3;Extended Properties=&quot;&quot;" command="SELECT * FROM [V3]"/>
  </connection>
</connections>
</file>

<file path=xl/sharedStrings.xml><?xml version="1.0" encoding="utf-8"?>
<sst xmlns="http://schemas.openxmlformats.org/spreadsheetml/2006/main" count="20371" uniqueCount="78">
  <si>
    <t>Date</t>
  </si>
  <si>
    <t>Year</t>
  </si>
  <si>
    <t>Locality</t>
  </si>
  <si>
    <t>Estimated Value</t>
  </si>
  <si>
    <t>Sale Price</t>
  </si>
  <si>
    <t>Property</t>
  </si>
  <si>
    <t>Residential</t>
  </si>
  <si>
    <t>num_rooms</t>
  </si>
  <si>
    <t>num_bathrooms</t>
  </si>
  <si>
    <t>carpet_area</t>
  </si>
  <si>
    <t>property_tax_rate</t>
  </si>
  <si>
    <t>Face</t>
  </si>
  <si>
    <t>Price_Difference</t>
  </si>
  <si>
    <t>Price_Per_Sqm</t>
  </si>
  <si>
    <t>Sale_Status</t>
  </si>
  <si>
    <t>Price_Category</t>
  </si>
  <si>
    <t>Size_Category</t>
  </si>
  <si>
    <t>Month</t>
  </si>
  <si>
    <t>Waterbury</t>
  </si>
  <si>
    <t>Single Family</t>
  </si>
  <si>
    <t>Detached House</t>
  </si>
  <si>
    <t>South</t>
  </si>
  <si>
    <t>Above Estimate</t>
  </si>
  <si>
    <t>Low</t>
  </si>
  <si>
    <t>Medium</t>
  </si>
  <si>
    <t>January</t>
  </si>
  <si>
    <t>Norwalk</t>
  </si>
  <si>
    <t>North</t>
  </si>
  <si>
    <t>High</t>
  </si>
  <si>
    <t>Bridgeport</t>
  </si>
  <si>
    <t>Two Family</t>
  </si>
  <si>
    <t>Duplex</t>
  </si>
  <si>
    <t>West</t>
  </si>
  <si>
    <t>Below Estimate</t>
  </si>
  <si>
    <t>Large</t>
  </si>
  <si>
    <t>Greenwich</t>
  </si>
  <si>
    <t>Three Family</t>
  </si>
  <si>
    <t>Triplex</t>
  </si>
  <si>
    <t>East</t>
  </si>
  <si>
    <t>Fairfield</t>
  </si>
  <si>
    <t>Unknown</t>
  </si>
  <si>
    <t>February</t>
  </si>
  <si>
    <t>Four Family</t>
  </si>
  <si>
    <t>Fourplex</t>
  </si>
  <si>
    <t>March</t>
  </si>
  <si>
    <t>April</t>
  </si>
  <si>
    <t>Equal</t>
  </si>
  <si>
    <t>May</t>
  </si>
  <si>
    <t>June</t>
  </si>
  <si>
    <t>July</t>
  </si>
  <si>
    <t>August</t>
  </si>
  <si>
    <t>September</t>
  </si>
  <si>
    <t>West Hartford</t>
  </si>
  <si>
    <t>October</t>
  </si>
  <si>
    <t>November</t>
  </si>
  <si>
    <t>December</t>
  </si>
  <si>
    <t>Stamford</t>
  </si>
  <si>
    <t>Row Labels</t>
  </si>
  <si>
    <t>Count of Property</t>
  </si>
  <si>
    <t>Sum of Sale Price</t>
  </si>
  <si>
    <t>Average of Sale Price</t>
  </si>
  <si>
    <t>Grand Total</t>
  </si>
  <si>
    <t>(All)</t>
  </si>
  <si>
    <t>Count of Sale Price</t>
  </si>
  <si>
    <t>Average of Estimated Value</t>
  </si>
  <si>
    <t>Month_No</t>
  </si>
  <si>
    <t>Count of Residential</t>
  </si>
  <si>
    <t>Count of Face</t>
  </si>
  <si>
    <t>Count of num_rooms</t>
  </si>
  <si>
    <t xml:space="preserve">Locality Sales Amount &amp; Count </t>
  </si>
  <si>
    <t>Avg Estimated Value vs Sale Price</t>
  </si>
  <si>
    <t>Property Percentage</t>
  </si>
  <si>
    <t>Face Sales Count</t>
  </si>
  <si>
    <t>Locality Sales Status</t>
  </si>
  <si>
    <t>Residential Sales Amoint &amp; Count</t>
  </si>
  <si>
    <t>Room Unber Sales Amoint &amp; Count</t>
  </si>
  <si>
    <t>Sales By Month</t>
  </si>
  <si>
    <t>Average of Price_Per_Sqm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</si>
</sst>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quot;$&quot;* #,##0.00_-;_-&quot;$&quot;* &quot;-&quot;??_-;_-@_-"/>
    <numFmt numFmtId="165" formatCode="&quot;$&quot;#,##0.00"/>
    <numFmt numFmtId="166" formatCode="&quot;$&quot;#,##0"/>
    <numFmt numFmtId="167" formatCode="&quot;$&quot;0.0,,&quot;M&quot;"/>
    <numFmt numFmtId="168" formatCode="&quot;$&quot;0.0,&quot;K&quot;"/>
  </numFmts>
  <fonts count="5" x14ac:knownFonts="1">
    <font>
      <sz val="11"/>
      <color theme="1"/>
      <name val="Trebuchet MS"/>
      <family val="2"/>
      <scheme val="minor"/>
    </font>
    <font>
      <sz val="11"/>
      <color theme="1"/>
      <name val="Trebuchet MS"/>
      <family val="2"/>
      <scheme val="minor"/>
    </font>
    <font>
      <sz val="11"/>
      <color theme="0"/>
      <name val="Trebuchet MS"/>
      <family val="2"/>
      <scheme val="minor"/>
    </font>
    <font>
      <sz val="8"/>
      <name val="Trebuchet MS"/>
      <family val="2"/>
      <scheme val="minor"/>
    </font>
    <font>
      <sz val="11"/>
      <color theme="8" tint="0.79998168889431442"/>
      <name val="Trebuchet MS"/>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166" fontId="0" fillId="0" borderId="0" xfId="1" applyNumberFormat="1" applyFont="1"/>
    <xf numFmtId="165" fontId="0" fillId="0" borderId="0" xfId="0" applyNumberFormat="1"/>
    <xf numFmtId="166" fontId="0" fillId="0" borderId="0" xfId="0" applyNumberFormat="1"/>
    <xf numFmtId="10"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6" fontId="4" fillId="2" borderId="0" xfId="0" applyNumberFormat="1" applyFont="1" applyFill="1"/>
    <xf numFmtId="0" fontId="0" fillId="2" borderId="0" xfId="0" applyFill="1"/>
    <xf numFmtId="2" fontId="2" fillId="2" borderId="0" xfId="0" applyNumberFormat="1" applyFont="1" applyFill="1"/>
    <xf numFmtId="9" fontId="4" fillId="2" borderId="0" xfId="2" applyFont="1" applyFill="1"/>
    <xf numFmtId="0" fontId="2" fillId="2" borderId="0" xfId="0" applyFont="1" applyFill="1"/>
    <xf numFmtId="165" fontId="2" fillId="0" borderId="0" xfId="0" applyNumberFormat="1" applyFont="1"/>
  </cellXfs>
  <cellStyles count="3">
    <cellStyle name="Currency" xfId="1" builtinId="4"/>
    <cellStyle name="Normal" xfId="0" builtinId="0"/>
    <cellStyle name="Percent" xfId="2" builtinId="5"/>
  </cellStyles>
  <dxfs count="16">
    <dxf>
      <numFmt numFmtId="0" formatCode="General"/>
    </dxf>
    <dxf>
      <numFmt numFmtId="0" formatCode="General"/>
    </dxf>
    <dxf>
      <numFmt numFmtId="0" formatCode="General"/>
    </dxf>
    <dxf>
      <numFmt numFmtId="0" formatCode="General"/>
    </dxf>
    <dxf>
      <numFmt numFmtId="165" formatCode="&quot;$&quot;#,##0.00"/>
    </dxf>
    <dxf>
      <numFmt numFmtId="166" formatCode="&quot;$&quot;#,##0"/>
    </dxf>
    <dxf>
      <numFmt numFmtId="0" formatCode="General"/>
    </dxf>
    <dxf>
      <numFmt numFmtId="14" formatCode="0.00%"/>
    </dxf>
    <dxf>
      <numFmt numFmtId="0" formatCode="General"/>
    </dxf>
    <dxf>
      <numFmt numFmtId="0" formatCode="General"/>
    </dxf>
    <dxf>
      <numFmt numFmtId="166" formatCode="&quot;$&quot;#,##0"/>
    </dxf>
    <dxf>
      <numFmt numFmtId="166" formatCode="&quot;$&quot;#,##0"/>
    </dxf>
    <dxf>
      <numFmt numFmtId="0" formatCode="General"/>
    </dxf>
    <dxf>
      <numFmt numFmtId="19" formatCode="m/d/yyyy"/>
    </dxf>
    <dxf>
      <font>
        <color theme="0"/>
      </font>
      <fill>
        <patternFill>
          <bgColor theme="8" tint="-0.24994659260841701"/>
        </patternFill>
      </fill>
    </dxf>
    <dxf>
      <fill>
        <patternFill>
          <bgColor theme="8" tint="-0.499984740745262"/>
        </patternFill>
      </fill>
    </dxf>
  </dxfs>
  <tableStyles count="1" defaultTableStyle="TableStyleMedium2" defaultPivotStyle="PivotStyleLight16">
    <tableStyle name="Slicer Style 1" pivot="0" table="0" count="6" xr9:uid="{E56927AA-18D4-4D79-98D7-061DC44B9DA4}">
      <tableStyleElement type="wholeTable" dxfId="15"/>
      <tableStyleElement type="headerRow" dxfId="14"/>
    </tableStyle>
  </tableStyles>
  <colors>
    <mruColors>
      <color rgb="FF83E9DD"/>
      <color rgb="FF77BFF5"/>
      <color rgb="FF3E0E29"/>
      <color rgb="FFBC32AC"/>
      <color rgb="FF88247C"/>
      <color rgb="FF98287D"/>
    </mruColors>
  </colors>
  <extLst>
    <ext xmlns:x14="http://schemas.microsoft.com/office/spreadsheetml/2009/9/main" uri="{46F421CA-312F-682f-3DD2-61675219B42D}">
      <x14:dxfs count="4">
        <dxf>
          <fill>
            <patternFill>
              <bgColor theme="0"/>
            </patternFill>
          </fill>
        </dxf>
        <dxf>
          <fill>
            <patternFill>
              <bgColor theme="0"/>
            </patternFill>
          </fill>
        </dxf>
        <dxf>
          <font>
            <color theme="1"/>
          </font>
          <fill>
            <patternFill>
              <bgColor theme="8" tint="0.79998168889431442"/>
            </patternFill>
          </fill>
        </dxf>
        <dxf>
          <font>
            <color theme="0"/>
          </font>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Estate..xlsx]PivotTable!PivotTable8</c:name>
    <c:fmtId val="8"/>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Sales By</a:t>
            </a:r>
            <a:r>
              <a:rPr lang="en-US" sz="1800" b="1" baseline="0">
                <a:solidFill>
                  <a:schemeClr val="bg1"/>
                </a:solidFill>
              </a:rPr>
              <a:t> Month</a:t>
            </a:r>
            <a:endParaRPr lang="en-US" sz="1800" b="1">
              <a:solidFill>
                <a:schemeClr val="bg1"/>
              </a:solidFill>
            </a:endParaRPr>
          </a:p>
        </c:rich>
      </c:tx>
      <c:layout>
        <c:manualLayout>
          <c:xMode val="edge"/>
          <c:yMode val="edge"/>
          <c:x val="0.32898652758032632"/>
          <c:y val="2.590497806328715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78820414069068"/>
          <c:y val="0.24345880660229199"/>
          <c:w val="0.80500934098678034"/>
          <c:h val="0.53144679817386131"/>
        </c:manualLayout>
      </c:layout>
      <c:lineChart>
        <c:grouping val="standard"/>
        <c:varyColors val="0"/>
        <c:ser>
          <c:idx val="0"/>
          <c:order val="0"/>
          <c:tx>
            <c:strRef>
              <c:f>PivotTable!$I$4</c:f>
              <c:strCache>
                <c:ptCount val="1"/>
                <c:pt idx="0">
                  <c:v>Total</c:v>
                </c:pt>
              </c:strCache>
            </c:strRef>
          </c:tx>
          <c:spPr>
            <a:ln w="28575" cap="rnd">
              <a:solidFill>
                <a:schemeClr val="accent5">
                  <a:lumMod val="40000"/>
                  <a:lumOff val="60000"/>
                </a:schemeClr>
              </a:solidFill>
              <a:round/>
            </a:ln>
            <a:effectLst/>
          </c:spPr>
          <c:marker>
            <c:symbol val="none"/>
          </c:marker>
          <c:cat>
            <c:strRef>
              <c:f>PivotTable!$H$5:$H$17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PivotTable!$I$5:$I$17</c:f>
              <c:numCache>
                <c:formatCode>"$"0.0,,"M"</c:formatCode>
                <c:ptCount val="12"/>
                <c:pt idx="0">
                  <c:v>105115957</c:v>
                </c:pt>
                <c:pt idx="1">
                  <c:v>113615999</c:v>
                </c:pt>
                <c:pt idx="2">
                  <c:v>105291301</c:v>
                </c:pt>
                <c:pt idx="3">
                  <c:v>131853413</c:v>
                </c:pt>
                <c:pt idx="4">
                  <c:v>143265078</c:v>
                </c:pt>
                <c:pt idx="5">
                  <c:v>170384295</c:v>
                </c:pt>
                <c:pt idx="6">
                  <c:v>143414088</c:v>
                </c:pt>
                <c:pt idx="7">
                  <c:v>134542605</c:v>
                </c:pt>
                <c:pt idx="8">
                  <c:v>126942007</c:v>
                </c:pt>
                <c:pt idx="9">
                  <c:v>104146835</c:v>
                </c:pt>
                <c:pt idx="10">
                  <c:v>92200809</c:v>
                </c:pt>
                <c:pt idx="11">
                  <c:v>122207880</c:v>
                </c:pt>
              </c:numCache>
            </c:numRef>
          </c:val>
          <c:smooth val="0"/>
          <c:extLst>
            <c:ext xmlns:c16="http://schemas.microsoft.com/office/drawing/2014/chart" uri="{C3380CC4-5D6E-409C-BE32-E72D297353CC}">
              <c16:uniqueId val="{00000000-121C-4068-9A73-3F2E865931FB}"/>
            </c:ext>
          </c:extLst>
        </c:ser>
        <c:dLbls>
          <c:showLegendKey val="0"/>
          <c:showVal val="0"/>
          <c:showCatName val="0"/>
          <c:showSerName val="0"/>
          <c:showPercent val="0"/>
          <c:showBubbleSize val="0"/>
        </c:dLbls>
        <c:smooth val="0"/>
        <c:axId val="160504432"/>
        <c:axId val="160499632"/>
      </c:lineChart>
      <c:catAx>
        <c:axId val="16050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AS"/>
          </a:p>
        </c:txPr>
        <c:crossAx val="160499632"/>
        <c:crosses val="autoZero"/>
        <c:auto val="1"/>
        <c:lblAlgn val="ctr"/>
        <c:lblOffset val="100"/>
        <c:noMultiLvlLbl val="0"/>
      </c:catAx>
      <c:valAx>
        <c:axId val="160499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AS"/>
          </a:p>
        </c:txPr>
        <c:crossAx val="16050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800" b="1" baseline="0">
                <a:solidFill>
                  <a:schemeClr val="bg1"/>
                </a:solidFill>
              </a:rPr>
              <a:t>Locality Sales Amount &amp; Count </a:t>
            </a:r>
            <a:endParaRPr lang="en-US" sz="1800" b="1">
              <a:solidFill>
                <a:schemeClr val="bg1"/>
              </a:solidFill>
            </a:endParaRPr>
          </a:p>
        </c:rich>
      </c:tx>
      <c:layout>
        <c:manualLayout>
          <c:xMode val="edge"/>
          <c:yMode val="edge"/>
          <c:x val="0.20315376897432061"/>
          <c:y val="3.7893263164729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2"/>
          </a:solidFill>
          <a:ln>
            <a:noFill/>
          </a:ln>
          <a:effectLst/>
        </c:spPr>
        <c:dLbl>
          <c:idx val="0"/>
          <c:layout>
            <c:manualLayout>
              <c:x val="2.9036004645760743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9036004645760743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064641204851846E-16"/>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9036004645761806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2.9036004645760743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0"/>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0"/>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2.9036004645760743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2.9036004645760743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2.9036004645760743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1.064641204851846E-16"/>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2.9036004645761806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40000"/>
              <a:lumOff val="60000"/>
            </a:schemeClr>
          </a:solidFill>
          <a:ln>
            <a:noFill/>
          </a:ln>
          <a:effectLst/>
        </c:spPr>
        <c:dLbl>
          <c:idx val="0"/>
          <c:layout>
            <c:manualLayout>
              <c:x val="0"/>
              <c:y val="-8.287696810297397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40000"/>
              <a:lumOff val="60000"/>
            </a:schemeClr>
          </a:solidFill>
          <a:ln>
            <a:noFill/>
          </a:ln>
          <a:effectLst/>
        </c:spPr>
        <c:dLbl>
          <c:idx val="0"/>
          <c:layout>
            <c:manualLayout>
              <c:x val="-2.9035785745272534E-3"/>
              <c:y val="-8.914514662304873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40000"/>
              <a:lumOff val="60000"/>
            </a:schemeClr>
          </a:solidFill>
          <a:ln>
            <a:noFill/>
          </a:ln>
          <a:effectLst/>
        </c:spPr>
        <c:dLbl>
          <c:idx val="0"/>
          <c:layout>
            <c:manualLayout>
              <c:x val="-5.3273654783614476E-17"/>
              <c:y val="-0.1693399395364461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40000"/>
              <a:lumOff val="60000"/>
            </a:schemeClr>
          </a:solidFill>
          <a:ln>
            <a:noFill/>
          </a:ln>
          <a:effectLst/>
        </c:spPr>
        <c:dLbl>
          <c:idx val="0"/>
          <c:layout>
            <c:manualLayout>
              <c:x val="0"/>
              <c:y val="-0.1312598717829602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40000"/>
              <a:lumOff val="60000"/>
            </a:schemeClr>
          </a:solidFill>
          <a:ln>
            <a:noFill/>
          </a:ln>
          <a:effectLst/>
        </c:spPr>
        <c:dLbl>
          <c:idx val="0"/>
          <c:layout>
            <c:manualLayout>
              <c:x val="-2.1897894934481851E-6"/>
              <c:y val="-0.3469088682498723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40000"/>
              <a:lumOff val="60000"/>
            </a:schemeClr>
          </a:solidFill>
          <a:ln>
            <a:noFill/>
          </a:ln>
          <a:effectLst/>
        </c:spPr>
        <c:dLbl>
          <c:idx val="0"/>
          <c:layout>
            <c:manualLayout>
              <c:x val="-2.9035811978817966E-3"/>
              <c:y val="-0.1230439575754544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40000"/>
              <a:lumOff val="60000"/>
            </a:schemeClr>
          </a:solidFill>
          <a:ln>
            <a:noFill/>
          </a:ln>
          <a:effectLst/>
        </c:spPr>
        <c:dLbl>
          <c:idx val="0"/>
          <c:layout>
            <c:manualLayout>
              <c:x val="0"/>
              <c:y val="-8.391998227545936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40000"/>
              <a:lumOff val="60000"/>
            </a:schemeClr>
          </a:solidFill>
          <a:ln>
            <a:noFill/>
          </a:ln>
          <a:effectLst/>
        </c:spPr>
        <c:dLbl>
          <c:idx val="0"/>
          <c:layout>
            <c:manualLayout>
              <c:x val="2.9081573699822638E-3"/>
              <c:y val="-0.1220004967159570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0"/>
              <c:y val="-1.70187751484786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C942BB6B-ECC7-447E-918F-66FB9E41AE54}" type="VALUE">
                  <a:rPr lang="en-US" sz="80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solidFill>
          <a:ln>
            <a:noFill/>
          </a:ln>
          <a:effectLst/>
        </c:spPr>
        <c:dLbl>
          <c:idx val="0"/>
          <c:layout>
            <c:manualLayout>
              <c:x val="0"/>
              <c:y val="-2.83646252474646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0"/>
              <c:y val="-3.9710475346450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5.3273654783614476E-17"/>
              <c:y val="-3.4037550296957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layout>
            <c:manualLayout>
              <c:x val="0"/>
              <c:y val="-3.9710475346450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2.9058692839319237E-3"/>
              <c:y val="-3.9710475346450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0"/>
              <c:y val="-3.4037550296957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0"/>
              <c:y val="-2.83646252474646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54174048645525E-2"/>
          <c:y val="0.20672337043655625"/>
          <c:w val="0.96254824037346254"/>
          <c:h val="0.65621139121338101"/>
        </c:manualLayout>
      </c:layout>
      <c:barChart>
        <c:barDir val="col"/>
        <c:grouping val="stacked"/>
        <c:varyColors val="0"/>
        <c:ser>
          <c:idx val="0"/>
          <c:order val="0"/>
          <c:tx>
            <c:strRef>
              <c:f>PivotTable!$B$2</c:f>
              <c:strCache>
                <c:ptCount val="1"/>
                <c:pt idx="0">
                  <c:v>Count of Property</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6D78-4B26-A5BF-B721365CEE0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A-6D78-4B26-A5BF-B721365CEE0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6D78-4B26-A5BF-B721365CEE0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D-6D78-4B26-A5BF-B721365CEE0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E-6D78-4B26-A5BF-B721365CEE0F}"/>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F-6D78-4B26-A5BF-B721365CEE0F}"/>
              </c:ext>
            </c:extLst>
          </c:dPt>
          <c:dPt>
            <c:idx val="6"/>
            <c:invertIfNegative val="0"/>
            <c:bubble3D val="0"/>
            <c:spPr>
              <a:solidFill>
                <a:schemeClr val="accent1"/>
              </a:solidFill>
              <a:ln>
                <a:noFill/>
              </a:ln>
              <a:effectLst/>
            </c:spPr>
            <c:extLst>
              <c:ext xmlns:c16="http://schemas.microsoft.com/office/drawing/2014/chart" uri="{C3380CC4-5D6E-409C-BE32-E72D297353CC}">
                <c16:uniqueId val="{00000010-6D78-4B26-A5BF-B721365CEE0F}"/>
              </c:ext>
            </c:extLst>
          </c:dPt>
          <c:dPt>
            <c:idx val="7"/>
            <c:invertIfNegative val="0"/>
            <c:bubble3D val="0"/>
            <c:spPr>
              <a:solidFill>
                <a:schemeClr val="accent1"/>
              </a:solidFill>
              <a:ln>
                <a:noFill/>
              </a:ln>
              <a:effectLst/>
            </c:spPr>
            <c:extLst>
              <c:ext xmlns:c16="http://schemas.microsoft.com/office/drawing/2014/chart" uri="{C3380CC4-5D6E-409C-BE32-E72D297353CC}">
                <c16:uniqueId val="{00000011-6D78-4B26-A5BF-B721365CEE0F}"/>
              </c:ext>
            </c:extLst>
          </c:dPt>
          <c:dLbls>
            <c:dLbl>
              <c:idx val="0"/>
              <c:layout>
                <c:manualLayout>
                  <c:x val="0"/>
                  <c:y val="-3.97104753464504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D78-4B26-A5BF-B721365CEE0F}"/>
                </c:ext>
              </c:extLst>
            </c:dLbl>
            <c:dLbl>
              <c:idx val="1"/>
              <c:layout>
                <c:manualLayout>
                  <c:x val="0"/>
                  <c:y val="-3.97104753464504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78-4B26-A5BF-B721365CEE0F}"/>
                </c:ext>
              </c:extLst>
            </c:dLbl>
            <c:dLbl>
              <c:idx val="2"/>
              <c:layout>
                <c:manualLayout>
                  <c:x val="5.3273654783614476E-17"/>
                  <c:y val="-3.40375502969575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78-4B26-A5BF-B721365CEE0F}"/>
                </c:ext>
              </c:extLst>
            </c:dLbl>
            <c:dLbl>
              <c:idx val="3"/>
              <c:layout>
                <c:manualLayout>
                  <c:x val="2.9058692839319237E-3"/>
                  <c:y val="-3.97104753464504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D78-4B26-A5BF-B721365CEE0F}"/>
                </c:ext>
              </c:extLst>
            </c:dLbl>
            <c:dLbl>
              <c:idx val="4"/>
              <c:layout>
                <c:manualLayout>
                  <c:x val="0"/>
                  <c:y val="-2.83646252474646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D78-4B26-A5BF-B721365CEE0F}"/>
                </c:ext>
              </c:extLst>
            </c:dLbl>
            <c:dLbl>
              <c:idx val="5"/>
              <c:layout>
                <c:manualLayout>
                  <c:x val="0"/>
                  <c:y val="-3.40375502969575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D78-4B26-A5BF-B721365CEE0F}"/>
                </c:ext>
              </c:extLst>
            </c:dLbl>
            <c:dLbl>
              <c:idx val="6"/>
              <c:layout>
                <c:manualLayout>
                  <c:x val="0"/>
                  <c:y val="-2.83646252474646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D78-4B26-A5BF-B721365CEE0F}"/>
                </c:ext>
              </c:extLst>
            </c:dLbl>
            <c:dLbl>
              <c:idx val="7"/>
              <c:layout>
                <c:manualLayout>
                  <c:x val="0"/>
                  <c:y val="-1.701877514847866E-2"/>
                </c:manualLayout>
              </c:layout>
              <c:tx>
                <c:rich>
                  <a:bodyPr/>
                  <a:lstStyle/>
                  <a:p>
                    <a:fld id="{C942BB6B-ECC7-447E-918F-66FB9E41AE54}" type="VALUE">
                      <a:rPr lang="en-US" sz="800">
                        <a:solidFill>
                          <a:schemeClr val="tx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6D78-4B26-A5BF-B721365CEE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PivotTable!$A$3:$A$11</c:f>
              <c:strCache>
                <c:ptCount val="8"/>
                <c:pt idx="0">
                  <c:v>Greenwich</c:v>
                </c:pt>
                <c:pt idx="1">
                  <c:v>Fairfield</c:v>
                </c:pt>
                <c:pt idx="2">
                  <c:v>Unknown</c:v>
                </c:pt>
                <c:pt idx="3">
                  <c:v>Norwalk</c:v>
                </c:pt>
                <c:pt idx="4">
                  <c:v>Stamford</c:v>
                </c:pt>
                <c:pt idx="5">
                  <c:v>West Hartford</c:v>
                </c:pt>
                <c:pt idx="6">
                  <c:v>Bridgeport</c:v>
                </c:pt>
                <c:pt idx="7">
                  <c:v>Waterbury</c:v>
                </c:pt>
              </c:strCache>
            </c:strRef>
          </c:cat>
          <c:val>
            <c:numRef>
              <c:f>PivotTable!$B$3:$B$11</c:f>
              <c:numCache>
                <c:formatCode>General</c:formatCode>
                <c:ptCount val="8"/>
                <c:pt idx="0">
                  <c:v>270</c:v>
                </c:pt>
                <c:pt idx="1">
                  <c:v>332</c:v>
                </c:pt>
                <c:pt idx="2">
                  <c:v>325</c:v>
                </c:pt>
                <c:pt idx="3">
                  <c:v>258</c:v>
                </c:pt>
                <c:pt idx="4">
                  <c:v>239</c:v>
                </c:pt>
                <c:pt idx="5">
                  <c:v>271</c:v>
                </c:pt>
                <c:pt idx="6">
                  <c:v>464</c:v>
                </c:pt>
                <c:pt idx="7">
                  <c:v>376</c:v>
                </c:pt>
              </c:numCache>
            </c:numRef>
          </c:val>
          <c:extLst>
            <c:ext xmlns:c16="http://schemas.microsoft.com/office/drawing/2014/chart" uri="{C3380CC4-5D6E-409C-BE32-E72D297353CC}">
              <c16:uniqueId val="{00000000-6D78-4B26-A5BF-B721365CEE0F}"/>
            </c:ext>
          </c:extLst>
        </c:ser>
        <c:ser>
          <c:idx val="1"/>
          <c:order val="1"/>
          <c:tx>
            <c:strRef>
              <c:f>PivotTable!$C$2</c:f>
              <c:strCache>
                <c:ptCount val="1"/>
                <c:pt idx="0">
                  <c:v>Sum of Sale Price</c:v>
                </c:pt>
              </c:strCache>
            </c:strRef>
          </c:tx>
          <c:spPr>
            <a:solidFill>
              <a:schemeClr val="accent5">
                <a:lumMod val="40000"/>
                <a:lumOff val="6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6D78-4B26-A5BF-B721365CEE0F}"/>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6D78-4B26-A5BF-B721365CEE0F}"/>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6D78-4B26-A5BF-B721365CEE0F}"/>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6D78-4B26-A5BF-B721365CEE0F}"/>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6D78-4B26-A5BF-B721365CEE0F}"/>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6-6D78-4B26-A5BF-B721365CEE0F}"/>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6D78-4B26-A5BF-B721365CEE0F}"/>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6D78-4B26-A5BF-B721365CEE0F}"/>
              </c:ext>
            </c:extLst>
          </c:dPt>
          <c:dLbls>
            <c:dLbl>
              <c:idx val="0"/>
              <c:layout>
                <c:manualLayout>
                  <c:x val="-2.1897894934481851E-6"/>
                  <c:y val="-0.346908868249872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78-4B26-A5BF-B721365CEE0F}"/>
                </c:ext>
              </c:extLst>
            </c:dLbl>
            <c:dLbl>
              <c:idx val="1"/>
              <c:layout>
                <c:manualLayout>
                  <c:x val="-5.3273654783614476E-17"/>
                  <c:y val="-0.169339939536446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78-4B26-A5BF-B721365CEE0F}"/>
                </c:ext>
              </c:extLst>
            </c:dLbl>
            <c:dLbl>
              <c:idx val="2"/>
              <c:layout>
                <c:manualLayout>
                  <c:x val="0"/>
                  <c:y val="-0.13125987178296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78-4B26-A5BF-B721365CEE0F}"/>
                </c:ext>
              </c:extLst>
            </c:dLbl>
            <c:dLbl>
              <c:idx val="3"/>
              <c:layout>
                <c:manualLayout>
                  <c:x val="-2.9035811978817966E-3"/>
                  <c:y val="-0.123043957575454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78-4B26-A5BF-B721365CEE0F}"/>
                </c:ext>
              </c:extLst>
            </c:dLbl>
            <c:dLbl>
              <c:idx val="4"/>
              <c:layout>
                <c:manualLayout>
                  <c:x val="2.9081573699822638E-3"/>
                  <c:y val="-0.122000496715957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78-4B26-A5BF-B721365CEE0F}"/>
                </c:ext>
              </c:extLst>
            </c:dLbl>
            <c:dLbl>
              <c:idx val="5"/>
              <c:layout>
                <c:manualLayout>
                  <c:x val="0"/>
                  <c:y val="-8.391998227545936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78-4B26-A5BF-B721365CEE0F}"/>
                </c:ext>
              </c:extLst>
            </c:dLbl>
            <c:dLbl>
              <c:idx val="6"/>
              <c:layout>
                <c:manualLayout>
                  <c:x val="0"/>
                  <c:y val="-8.28769681029739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78-4B26-A5BF-B721365CEE0F}"/>
                </c:ext>
              </c:extLst>
            </c:dLbl>
            <c:dLbl>
              <c:idx val="7"/>
              <c:layout>
                <c:manualLayout>
                  <c:x val="-2.9035785745272534E-3"/>
                  <c:y val="-8.914514662304873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78-4B26-A5BF-B721365CEE0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w="3175">
                      <a:noFill/>
                    </a:ln>
                    <a:solidFill>
                      <a:schemeClr val="bg1"/>
                    </a:solidFill>
                    <a:latin typeface="+mn-lt"/>
                    <a:ea typeface="+mn-ea"/>
                    <a:cs typeface="+mn-cs"/>
                  </a:defRPr>
                </a:pPr>
                <a:endParaRPr lang="en-A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PivotTable!$A$3:$A$11</c:f>
              <c:strCache>
                <c:ptCount val="8"/>
                <c:pt idx="0">
                  <c:v>Greenwich</c:v>
                </c:pt>
                <c:pt idx="1">
                  <c:v>Fairfield</c:v>
                </c:pt>
                <c:pt idx="2">
                  <c:v>Unknown</c:v>
                </c:pt>
                <c:pt idx="3">
                  <c:v>Norwalk</c:v>
                </c:pt>
                <c:pt idx="4">
                  <c:v>Stamford</c:v>
                </c:pt>
                <c:pt idx="5">
                  <c:v>West Hartford</c:v>
                </c:pt>
                <c:pt idx="6">
                  <c:v>Bridgeport</c:v>
                </c:pt>
                <c:pt idx="7">
                  <c:v>Waterbury</c:v>
                </c:pt>
              </c:strCache>
            </c:strRef>
          </c:cat>
          <c:val>
            <c:numRef>
              <c:f>PivotTable!$C$3:$C$11</c:f>
              <c:numCache>
                <c:formatCode>"$"0.0,,"M"</c:formatCode>
                <c:ptCount val="8"/>
                <c:pt idx="0">
                  <c:v>583998655</c:v>
                </c:pt>
                <c:pt idx="1">
                  <c:v>240956509</c:v>
                </c:pt>
                <c:pt idx="2">
                  <c:v>166259717</c:v>
                </c:pt>
                <c:pt idx="3">
                  <c:v>155318591</c:v>
                </c:pt>
                <c:pt idx="4">
                  <c:v>141556988</c:v>
                </c:pt>
                <c:pt idx="5">
                  <c:v>87048162</c:v>
                </c:pt>
                <c:pt idx="6">
                  <c:v>79477937</c:v>
                </c:pt>
                <c:pt idx="7">
                  <c:v>38363708</c:v>
                </c:pt>
              </c:numCache>
            </c:numRef>
          </c:val>
          <c:extLst>
            <c:ext xmlns:c16="http://schemas.microsoft.com/office/drawing/2014/chart" uri="{C3380CC4-5D6E-409C-BE32-E72D297353CC}">
              <c16:uniqueId val="{00000009-6D78-4B26-A5BF-B721365CEE0F}"/>
            </c:ext>
          </c:extLst>
        </c:ser>
        <c:dLbls>
          <c:dLblPos val="ctr"/>
          <c:showLegendKey val="0"/>
          <c:showVal val="1"/>
          <c:showCatName val="0"/>
          <c:showSerName val="0"/>
          <c:showPercent val="0"/>
          <c:showBubbleSize val="0"/>
        </c:dLbls>
        <c:gapWidth val="30"/>
        <c:overlap val="100"/>
        <c:axId val="267575776"/>
        <c:axId val="267565216"/>
      </c:barChart>
      <c:catAx>
        <c:axId val="26757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AS"/>
          </a:p>
        </c:txPr>
        <c:crossAx val="267565216"/>
        <c:crosses val="autoZero"/>
        <c:auto val="1"/>
        <c:lblAlgn val="ctr"/>
        <c:lblOffset val="100"/>
        <c:noMultiLvlLbl val="0"/>
      </c:catAx>
      <c:valAx>
        <c:axId val="267565216"/>
        <c:scaling>
          <c:orientation val="minMax"/>
        </c:scaling>
        <c:delete val="1"/>
        <c:axPos val="l"/>
        <c:numFmt formatCode="General" sourceLinked="1"/>
        <c:majorTickMark val="none"/>
        <c:minorTickMark val="none"/>
        <c:tickLblPos val="nextTo"/>
        <c:crossAx val="26757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Estate..xlsx]PivotTable!PivotTable7</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19050">
            <a:noFill/>
          </a:ln>
          <a:effectLst/>
        </c:spPr>
        <c:dLbl>
          <c:idx val="0"/>
          <c:layout>
            <c:manualLayout>
              <c:x val="4.5050397661324324E-3"/>
              <c:y val="-3.39776083872688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noFill/>
          </a:ln>
          <a:effectLst/>
        </c:spPr>
        <c:dLbl>
          <c:idx val="0"/>
          <c:layout>
            <c:manualLayout>
              <c:x val="2.6378002036357717E-2"/>
              <c:y val="-1.809802980670999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w="19050">
            <a:noFill/>
          </a:ln>
          <a:effectLst/>
        </c:spPr>
        <c:dLbl>
          <c:idx val="0"/>
          <c:layout>
            <c:manualLayout>
              <c:x val="4.3856155340250405E-2"/>
              <c:y val="1.873290695555494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31828380848445"/>
          <c:y val="0.13309435086967702"/>
          <c:w val="0.28190813448982471"/>
          <c:h val="0.60428072396145127"/>
        </c:manualLayout>
      </c:layout>
      <c:pieChart>
        <c:varyColors val="1"/>
        <c:ser>
          <c:idx val="0"/>
          <c:order val="0"/>
          <c:tx>
            <c:strRef>
              <c:f>PivotTable!$F$20</c:f>
              <c:strCache>
                <c:ptCount val="1"/>
                <c:pt idx="0">
                  <c:v>Total</c:v>
                </c:pt>
              </c:strCache>
            </c:strRef>
          </c:tx>
          <c:spPr>
            <a:solidFill>
              <a:schemeClr val="accent5">
                <a:lumMod val="60000"/>
                <a:lumOff val="40000"/>
              </a:schemeClr>
            </a:solidFill>
            <a:ln>
              <a:noFill/>
            </a:ln>
          </c:spPr>
          <c:dPt>
            <c:idx val="0"/>
            <c:bubble3D val="0"/>
            <c:explosion val="18"/>
            <c:spPr>
              <a:solidFill>
                <a:schemeClr val="accent5">
                  <a:lumMod val="40000"/>
                  <a:lumOff val="60000"/>
                </a:schemeClr>
              </a:solidFill>
              <a:ln w="19050">
                <a:noFill/>
              </a:ln>
              <a:effectLst/>
            </c:spPr>
            <c:extLst>
              <c:ext xmlns:c16="http://schemas.microsoft.com/office/drawing/2014/chart" uri="{C3380CC4-5D6E-409C-BE32-E72D297353CC}">
                <c16:uniqueId val="{00000001-3224-4397-8E25-7C03806B7E14}"/>
              </c:ext>
            </c:extLst>
          </c:dPt>
          <c:dPt>
            <c:idx val="1"/>
            <c:bubble3D val="0"/>
            <c:spPr>
              <a:solidFill>
                <a:schemeClr val="accent1">
                  <a:lumMod val="50000"/>
                </a:schemeClr>
              </a:solidFill>
              <a:ln w="19050">
                <a:noFill/>
              </a:ln>
              <a:effectLst/>
            </c:spPr>
            <c:extLst>
              <c:ext xmlns:c16="http://schemas.microsoft.com/office/drawing/2014/chart" uri="{C3380CC4-5D6E-409C-BE32-E72D297353CC}">
                <c16:uniqueId val="{00000003-3224-4397-8E25-7C03806B7E14}"/>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3224-4397-8E25-7C03806B7E14}"/>
              </c:ext>
            </c:extLst>
          </c:dPt>
          <c:dLbls>
            <c:dLbl>
              <c:idx val="0"/>
              <c:layout>
                <c:manualLayout>
                  <c:x val="4.5050397661324324E-3"/>
                  <c:y val="-3.39776083872688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24-4397-8E25-7C03806B7E14}"/>
                </c:ext>
              </c:extLst>
            </c:dLbl>
            <c:dLbl>
              <c:idx val="1"/>
              <c:layout>
                <c:manualLayout>
                  <c:x val="2.6378002036357717E-2"/>
                  <c:y val="-1.80980298067099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24-4397-8E25-7C03806B7E14}"/>
                </c:ext>
              </c:extLst>
            </c:dLbl>
            <c:dLbl>
              <c:idx val="2"/>
              <c:layout>
                <c:manualLayout>
                  <c:x val="4.3856155340250405E-2"/>
                  <c:y val="1.87329069555549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24-4397-8E25-7C03806B7E1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PivotTable!$E$21:$E$24</c:f>
              <c:strCache>
                <c:ptCount val="3"/>
                <c:pt idx="0">
                  <c:v>Above Estimate</c:v>
                </c:pt>
                <c:pt idx="1">
                  <c:v>Below Estimate</c:v>
                </c:pt>
                <c:pt idx="2">
                  <c:v>Equal</c:v>
                </c:pt>
              </c:strCache>
            </c:strRef>
          </c:cat>
          <c:val>
            <c:numRef>
              <c:f>PivotTable!$F$21:$F$24</c:f>
              <c:numCache>
                <c:formatCode>0.00%</c:formatCode>
                <c:ptCount val="3"/>
                <c:pt idx="0">
                  <c:v>0.71558185404339247</c:v>
                </c:pt>
                <c:pt idx="1">
                  <c:v>0.28402366863905326</c:v>
                </c:pt>
                <c:pt idx="2">
                  <c:v>3.9447731755424062E-4</c:v>
                </c:pt>
              </c:numCache>
            </c:numRef>
          </c:val>
          <c:extLst>
            <c:ext xmlns:c16="http://schemas.microsoft.com/office/drawing/2014/chart" uri="{C3380CC4-5D6E-409C-BE32-E72D297353CC}">
              <c16:uniqueId val="{00000006-3224-4397-8E25-7C03806B7E1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2.828583094517601E-4"/>
          <c:y val="0.85023958741783912"/>
          <c:w val="0.71486022124957549"/>
          <c:h val="9.039587620043247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Estate..xlsx]PivotTable!PivotTable2</c:name>
    <c:fmtId val="5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800" b="1">
                <a:solidFill>
                  <a:schemeClr val="bg1"/>
                </a:solidFill>
              </a:rPr>
              <a:t>Property Percentage</a:t>
            </a:r>
          </a:p>
        </c:rich>
      </c:tx>
      <c:layout>
        <c:manualLayout>
          <c:xMode val="edge"/>
          <c:yMode val="edge"/>
          <c:x val="0.25608137808725945"/>
          <c:y val="1.891247608234458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A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70144356955380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70144356955380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40000"/>
                <a:lumOff val="60000"/>
              </a:schemeClr>
            </a:solidFill>
            <a:round/>
          </a:ln>
          <a:effectLst/>
        </c:spPr>
        <c:marker>
          <c:symbol val="circle"/>
          <c:size val="5"/>
          <c:spPr>
            <a:solidFill>
              <a:schemeClr val="accent5">
                <a:lumMod val="20000"/>
                <a:lumOff val="8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40000"/>
                <a:lumOff val="60000"/>
              </a:schemeClr>
            </a:solidFill>
            <a:round/>
          </a:ln>
          <a:effectLst/>
        </c:spPr>
        <c:marker>
          <c:symbol val="circle"/>
          <c:size val="5"/>
        </c:marker>
        <c:dLbl>
          <c:idx val="0"/>
          <c:layout>
            <c:manualLayout>
              <c:x val="-3.670144356955380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82821861469281E-3"/>
          <c:y val="0.25500188874011687"/>
          <c:w val="0.94137816288310339"/>
          <c:h val="0.52960115300371247"/>
        </c:manualLayout>
      </c:layout>
      <c:lineChart>
        <c:grouping val="standard"/>
        <c:varyColors val="0"/>
        <c:ser>
          <c:idx val="0"/>
          <c:order val="0"/>
          <c:tx>
            <c:strRef>
              <c:f>PivotTable!$F$2</c:f>
              <c:strCache>
                <c:ptCount val="1"/>
                <c:pt idx="0">
                  <c:v>Total</c:v>
                </c:pt>
              </c:strCache>
            </c:strRef>
          </c:tx>
          <c:spPr>
            <a:ln w="28575" cap="rnd">
              <a:solidFill>
                <a:schemeClr val="accent5">
                  <a:lumMod val="40000"/>
                  <a:lumOff val="60000"/>
                </a:schemeClr>
              </a:solidFill>
              <a:round/>
            </a:ln>
            <a:effectLst/>
          </c:spPr>
          <c:marker>
            <c:symbol val="circle"/>
            <c:size val="5"/>
            <c:spPr>
              <a:solidFill>
                <a:schemeClr val="accent5">
                  <a:lumMod val="20000"/>
                  <a:lumOff val="80000"/>
                </a:schemeClr>
              </a:solidFill>
              <a:ln w="9525">
                <a:noFill/>
              </a:ln>
              <a:effectLst/>
            </c:spPr>
          </c:marker>
          <c:dPt>
            <c:idx val="1"/>
            <c:marker>
              <c:symbol val="circle"/>
              <c:size val="5"/>
              <c:spPr>
                <a:solidFill>
                  <a:schemeClr val="accent5">
                    <a:lumMod val="20000"/>
                    <a:lumOff val="80000"/>
                  </a:schemeClr>
                </a:solidFill>
                <a:ln w="9525">
                  <a:noFill/>
                </a:ln>
                <a:effectLst/>
              </c:spPr>
            </c:marker>
            <c:bubble3D val="0"/>
            <c:spPr>
              <a:ln w="28575" cap="rnd">
                <a:solidFill>
                  <a:schemeClr val="accent5">
                    <a:lumMod val="40000"/>
                    <a:lumOff val="60000"/>
                  </a:schemeClr>
                </a:solidFill>
                <a:round/>
              </a:ln>
              <a:effectLst/>
            </c:spPr>
            <c:extLst>
              <c:ext xmlns:c16="http://schemas.microsoft.com/office/drawing/2014/chart" uri="{C3380CC4-5D6E-409C-BE32-E72D297353CC}">
                <c16:uniqueId val="{00000001-1298-4302-A0AC-CC277728478C}"/>
              </c:ext>
            </c:extLst>
          </c:dPt>
          <c:dLbls>
            <c:dLbl>
              <c:idx val="1"/>
              <c:layout>
                <c:manualLayout>
                  <c:x val="-3.6701443569553807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98-4302-A0AC-CC277728478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PivotTable!$E$3:$E$7</c:f>
              <c:strCache>
                <c:ptCount val="4"/>
                <c:pt idx="0">
                  <c:v>Single Family</c:v>
                </c:pt>
                <c:pt idx="1">
                  <c:v>Two Family</c:v>
                </c:pt>
                <c:pt idx="2">
                  <c:v>Three Family</c:v>
                </c:pt>
                <c:pt idx="3">
                  <c:v>Four Family</c:v>
                </c:pt>
              </c:strCache>
            </c:strRef>
          </c:cat>
          <c:val>
            <c:numRef>
              <c:f>PivotTable!$F$3:$F$7</c:f>
              <c:numCache>
                <c:formatCode>0.00%</c:formatCode>
                <c:ptCount val="4"/>
                <c:pt idx="0">
                  <c:v>0.82011834319526622</c:v>
                </c:pt>
                <c:pt idx="1">
                  <c:v>0.10611439842209074</c:v>
                </c:pt>
                <c:pt idx="2">
                  <c:v>6.1538461538461542E-2</c:v>
                </c:pt>
                <c:pt idx="3">
                  <c:v>1.2228796844181459E-2</c:v>
                </c:pt>
              </c:numCache>
            </c:numRef>
          </c:val>
          <c:smooth val="0"/>
          <c:extLst>
            <c:ext xmlns:c16="http://schemas.microsoft.com/office/drawing/2014/chart" uri="{C3380CC4-5D6E-409C-BE32-E72D297353CC}">
              <c16:uniqueId val="{00000002-1298-4302-A0AC-CC277728478C}"/>
            </c:ext>
          </c:extLst>
        </c:ser>
        <c:dLbls>
          <c:dLblPos val="t"/>
          <c:showLegendKey val="0"/>
          <c:showVal val="1"/>
          <c:showCatName val="0"/>
          <c:showSerName val="0"/>
          <c:showPercent val="0"/>
          <c:showBubbleSize val="0"/>
        </c:dLbls>
        <c:marker val="1"/>
        <c:smooth val="0"/>
        <c:axId val="480767039"/>
        <c:axId val="480771359"/>
      </c:lineChart>
      <c:catAx>
        <c:axId val="48076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AS"/>
          </a:p>
        </c:txPr>
        <c:crossAx val="480771359"/>
        <c:crosses val="autoZero"/>
        <c:auto val="1"/>
        <c:lblAlgn val="ctr"/>
        <c:lblOffset val="100"/>
        <c:noMultiLvlLbl val="0"/>
      </c:catAx>
      <c:valAx>
        <c:axId val="480771359"/>
        <c:scaling>
          <c:orientation val="minMax"/>
        </c:scaling>
        <c:delete val="1"/>
        <c:axPos val="l"/>
        <c:numFmt formatCode="0.00%" sourceLinked="1"/>
        <c:majorTickMark val="none"/>
        <c:minorTickMark val="none"/>
        <c:tickLblPos val="nextTo"/>
        <c:crossAx val="48076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Estate..xlsx]PivotTable!PivotTable5</c:name>
    <c:fmtId val="2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600" b="1">
                <a:solidFill>
                  <a:schemeClr val="bg1"/>
                </a:solidFill>
              </a:rPr>
              <a:t>Residential Sales</a:t>
            </a:r>
            <a:r>
              <a:rPr lang="en-US" sz="1600" b="1" baseline="0">
                <a:solidFill>
                  <a:schemeClr val="bg1"/>
                </a:solidFill>
              </a:rPr>
              <a:t> Amoint &amp; Count</a:t>
            </a:r>
            <a:endParaRPr lang="en-US" sz="1600" b="1">
              <a:solidFill>
                <a:schemeClr val="bg1"/>
              </a:solidFill>
            </a:endParaRPr>
          </a:p>
        </c:rich>
      </c:tx>
      <c:layout>
        <c:manualLayout>
          <c:xMode val="edge"/>
          <c:yMode val="edge"/>
          <c:x val="0.22848633040541755"/>
          <c:y val="3.21111661408227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6364152790501338"/>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15:layout>
                <c:manualLayout>
                  <c:w val="0.31949496446384412"/>
                  <c:h val="0.13146158994614421"/>
                </c:manualLayout>
              </c15:layout>
            </c:ext>
          </c:extLst>
        </c:dLbl>
      </c:pivotFmt>
      <c:pivotFmt>
        <c:idx val="7"/>
        <c:dLbl>
          <c:idx val="0"/>
          <c:layout>
            <c:manualLayout>
              <c:x val="-0.27453457964350081"/>
              <c:y val="-3.553162931378142E-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15:layout>
                <c:manualLayout>
                  <c:w val="0.29920163400453853"/>
                  <c:h val="0.11005015760815574"/>
                </c:manualLayout>
              </c15:layout>
            </c:ext>
          </c:extLst>
        </c:dLbl>
      </c:pivotFmt>
      <c:pivotFmt>
        <c:idx val="8"/>
        <c:dLbl>
          <c:idx val="0"/>
          <c:layout>
            <c:manualLayout>
              <c:x val="-0.2212219258381084"/>
              <c:y val="-4.60460910494367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15:layout>
                <c:manualLayout>
                  <c:w val="0.41930006945567111"/>
                  <c:h val="0.19028565254562371"/>
                </c:manualLayout>
              </c15:layout>
            </c:ext>
          </c:extLst>
        </c:dLbl>
      </c:pivotFmt>
      <c:pivotFmt>
        <c:idx val="9"/>
        <c:dLbl>
          <c:idx val="0"/>
          <c:layout>
            <c:manualLayout>
              <c:x val="-0.25514518330908376"/>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15:layout>
                <c:manualLayout>
                  <c:w val="0.33375283660553368"/>
                  <c:h val="0.13146158994614421"/>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a:noFill/>
          </a:ln>
          <a:effectLst/>
        </c:spPr>
        <c:dLbl>
          <c:idx val="0"/>
          <c:layout>
            <c:manualLayout>
              <c:x val="-0.27101453914433515"/>
              <c:y val="1.6887761236778571E-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15:layout>
                <c:manualLayout>
                  <c:w val="0.2106522099712787"/>
                  <c:h val="0.11748916818994271"/>
                </c:manualLayout>
              </c15:layout>
            </c:ext>
          </c:extLst>
        </c:dLbl>
      </c:pivotFmt>
      <c:pivotFmt>
        <c:idx val="12"/>
        <c:spPr>
          <a:solidFill>
            <a:schemeClr val="accent5">
              <a:lumMod val="40000"/>
              <a:lumOff val="60000"/>
            </a:schemeClr>
          </a:solidFill>
          <a:ln>
            <a:noFill/>
          </a:ln>
          <a:effectLst/>
        </c:spPr>
        <c:dLbl>
          <c:idx val="0"/>
          <c:layout>
            <c:manualLayout>
              <c:x val="-0.28949280317690346"/>
              <c:y val="-7.8639766372640482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40000"/>
              <a:lumOff val="60000"/>
            </a:schemeClr>
          </a:solidFill>
          <a:ln>
            <a:noFill/>
          </a:ln>
          <a:effectLst/>
        </c:spPr>
        <c:dLbl>
          <c:idx val="0"/>
          <c:layout>
            <c:manualLayout>
              <c:x val="-0.29873193519318758"/>
              <c:y val="-7.8639766372640482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noFill/>
          </a:ln>
          <a:effectLst/>
        </c:spPr>
        <c:dLbl>
          <c:idx val="0"/>
          <c:layout>
            <c:manualLayout>
              <c:x val="-0.29257251384899813"/>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9.2391320162842645E-3"/>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9.2391320162841517E-3"/>
              <c:y val="-7.8639766372640482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9.2391320162842645E-3"/>
              <c:y val="-7.8639766372640482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6.1594213441894348E-3"/>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98878541852682"/>
          <c:y val="0.25233314649259214"/>
          <c:w val="0.76879260501978508"/>
          <c:h val="0.64986299557325566"/>
        </c:manualLayout>
      </c:layout>
      <c:barChart>
        <c:barDir val="bar"/>
        <c:grouping val="percentStacked"/>
        <c:varyColors val="0"/>
        <c:ser>
          <c:idx val="0"/>
          <c:order val="0"/>
          <c:tx>
            <c:strRef>
              <c:f>PivotTable!$B$27</c:f>
              <c:strCache>
                <c:ptCount val="1"/>
                <c:pt idx="0">
                  <c:v>Sum of Sale Price</c:v>
                </c:pt>
              </c:strCache>
            </c:strRef>
          </c:tx>
          <c:spPr>
            <a:solidFill>
              <a:schemeClr val="accent5">
                <a:lumMod val="40000"/>
                <a:lumOff val="6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0-25AE-453B-A472-FE3CAFCF37BD}"/>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25AE-453B-A472-FE3CAFCF37BD}"/>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25AE-453B-A472-FE3CAFCF37B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25AE-453B-A472-FE3CAFCF37BD}"/>
              </c:ext>
            </c:extLst>
          </c:dPt>
          <c:dLbls>
            <c:dLbl>
              <c:idx val="0"/>
              <c:layout>
                <c:manualLayout>
                  <c:x val="-0.27101453914433515"/>
                  <c:y val="1.6887761236778571E-7"/>
                </c:manualLayout>
              </c:layout>
              <c:showLegendKey val="0"/>
              <c:showVal val="1"/>
              <c:showCatName val="0"/>
              <c:showSerName val="0"/>
              <c:showPercent val="0"/>
              <c:showBubbleSize val="0"/>
              <c:extLst>
                <c:ext xmlns:c15="http://schemas.microsoft.com/office/drawing/2012/chart" uri="{CE6537A1-D6FC-4f65-9D91-7224C49458BB}">
                  <c15:layout>
                    <c:manualLayout>
                      <c:w val="0.2106522099712787"/>
                      <c:h val="0.11748916818994271"/>
                    </c:manualLayout>
                  </c15:layout>
                </c:ext>
                <c:ext xmlns:c16="http://schemas.microsoft.com/office/drawing/2014/chart" uri="{C3380CC4-5D6E-409C-BE32-E72D297353CC}">
                  <c16:uniqueId val="{00000000-25AE-453B-A472-FE3CAFCF37BD}"/>
                </c:ext>
              </c:extLst>
            </c:dLbl>
            <c:dLbl>
              <c:idx val="1"/>
              <c:layout>
                <c:manualLayout>
                  <c:x val="-0.28949280317690346"/>
                  <c:y val="-7.86397663726404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AE-453B-A472-FE3CAFCF37BD}"/>
                </c:ext>
              </c:extLst>
            </c:dLbl>
            <c:dLbl>
              <c:idx val="2"/>
              <c:layout>
                <c:manualLayout>
                  <c:x val="-0.29873193519318758"/>
                  <c:y val="-7.86397663726404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AE-453B-A472-FE3CAFCF37BD}"/>
                </c:ext>
              </c:extLst>
            </c:dLbl>
            <c:dLbl>
              <c:idx val="3"/>
              <c:layout>
                <c:manualLayout>
                  <c:x val="-0.2925725138489981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AE-453B-A472-FE3CAFCF37B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PivotTable!$A$28:$A$32</c:f>
              <c:strCache>
                <c:ptCount val="4"/>
                <c:pt idx="0">
                  <c:v>Detached House</c:v>
                </c:pt>
                <c:pt idx="1">
                  <c:v>Duplex</c:v>
                </c:pt>
                <c:pt idx="2">
                  <c:v>Fourplex</c:v>
                </c:pt>
                <c:pt idx="3">
                  <c:v>Triplex</c:v>
                </c:pt>
              </c:strCache>
            </c:strRef>
          </c:cat>
          <c:val>
            <c:numRef>
              <c:f>PivotTable!$B$28:$B$32</c:f>
              <c:numCache>
                <c:formatCode>"$"0.0,"K"</c:formatCode>
                <c:ptCount val="4"/>
                <c:pt idx="0">
                  <c:v>1398259065</c:v>
                </c:pt>
                <c:pt idx="1">
                  <c:v>62366750</c:v>
                </c:pt>
                <c:pt idx="2">
                  <c:v>6888397</c:v>
                </c:pt>
                <c:pt idx="3">
                  <c:v>25466055</c:v>
                </c:pt>
              </c:numCache>
            </c:numRef>
          </c:val>
          <c:extLst>
            <c:ext xmlns:c16="http://schemas.microsoft.com/office/drawing/2014/chart" uri="{C3380CC4-5D6E-409C-BE32-E72D297353CC}">
              <c16:uniqueId val="{00000000-B4CD-4C1B-AC36-48DC1CBC6007}"/>
            </c:ext>
          </c:extLst>
        </c:ser>
        <c:ser>
          <c:idx val="1"/>
          <c:order val="1"/>
          <c:tx>
            <c:strRef>
              <c:f>PivotTable!$C$27</c:f>
              <c:strCache>
                <c:ptCount val="1"/>
                <c:pt idx="0">
                  <c:v>Count of num_rooms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9-25AE-453B-A472-FE3CAFCF37BD}"/>
              </c:ext>
            </c:extLst>
          </c:dPt>
          <c:dPt>
            <c:idx val="1"/>
            <c:invertIfNegative val="0"/>
            <c:bubble3D val="0"/>
            <c:extLst>
              <c:ext xmlns:c16="http://schemas.microsoft.com/office/drawing/2014/chart" uri="{C3380CC4-5D6E-409C-BE32-E72D297353CC}">
                <c16:uniqueId val="{00000008-25AE-453B-A472-FE3CAFCF37BD}"/>
              </c:ext>
            </c:extLst>
          </c:dPt>
          <c:dPt>
            <c:idx val="2"/>
            <c:invertIfNegative val="0"/>
            <c:bubble3D val="0"/>
            <c:extLst>
              <c:ext xmlns:c16="http://schemas.microsoft.com/office/drawing/2014/chart" uri="{C3380CC4-5D6E-409C-BE32-E72D297353CC}">
                <c16:uniqueId val="{00000007-25AE-453B-A472-FE3CAFCF37BD}"/>
              </c:ext>
            </c:extLst>
          </c:dPt>
          <c:dPt>
            <c:idx val="3"/>
            <c:invertIfNegative val="0"/>
            <c:bubble3D val="0"/>
            <c:extLst>
              <c:ext xmlns:c16="http://schemas.microsoft.com/office/drawing/2014/chart" uri="{C3380CC4-5D6E-409C-BE32-E72D297353CC}">
                <c16:uniqueId val="{00000006-25AE-453B-A472-FE3CAFCF37BD}"/>
              </c:ext>
            </c:extLst>
          </c:dPt>
          <c:dLbls>
            <c:dLbl>
              <c:idx val="0"/>
              <c:layout>
                <c:manualLayout>
                  <c:x val="-6.1594213441894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AE-453B-A472-FE3CAFCF37BD}"/>
                </c:ext>
              </c:extLst>
            </c:dLbl>
            <c:dLbl>
              <c:idx val="1"/>
              <c:layout>
                <c:manualLayout>
                  <c:x val="-9.2391320162842645E-3"/>
                  <c:y val="-7.86397663726404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AE-453B-A472-FE3CAFCF37BD}"/>
                </c:ext>
              </c:extLst>
            </c:dLbl>
            <c:dLbl>
              <c:idx val="2"/>
              <c:layout>
                <c:manualLayout>
                  <c:x val="-9.2391320162841517E-3"/>
                  <c:y val="-7.86397663726404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AE-453B-A472-FE3CAFCF37BD}"/>
                </c:ext>
              </c:extLst>
            </c:dLbl>
            <c:dLbl>
              <c:idx val="3"/>
              <c:layout>
                <c:manualLayout>
                  <c:x val="-9.239132016284264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AE-453B-A472-FE3CAFCF37B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PivotTable!$A$28:$A$32</c:f>
              <c:strCache>
                <c:ptCount val="4"/>
                <c:pt idx="0">
                  <c:v>Detached House</c:v>
                </c:pt>
                <c:pt idx="1">
                  <c:v>Duplex</c:v>
                </c:pt>
                <c:pt idx="2">
                  <c:v>Fourplex</c:v>
                </c:pt>
                <c:pt idx="3">
                  <c:v>Triplex</c:v>
                </c:pt>
              </c:strCache>
            </c:strRef>
          </c:cat>
          <c:val>
            <c:numRef>
              <c:f>PivotTable!$C$28:$C$32</c:f>
              <c:numCache>
                <c:formatCode>General</c:formatCode>
                <c:ptCount val="4"/>
                <c:pt idx="0">
                  <c:v>2079</c:v>
                </c:pt>
                <c:pt idx="1">
                  <c:v>269</c:v>
                </c:pt>
                <c:pt idx="2">
                  <c:v>31</c:v>
                </c:pt>
                <c:pt idx="3">
                  <c:v>156</c:v>
                </c:pt>
              </c:numCache>
            </c:numRef>
          </c:val>
          <c:extLst>
            <c:ext xmlns:c16="http://schemas.microsoft.com/office/drawing/2014/chart" uri="{C3380CC4-5D6E-409C-BE32-E72D297353CC}">
              <c16:uniqueId val="{00000004-25AE-453B-A472-FE3CAFCF37BD}"/>
            </c:ext>
          </c:extLst>
        </c:ser>
        <c:dLbls>
          <c:showLegendKey val="0"/>
          <c:showVal val="1"/>
          <c:showCatName val="0"/>
          <c:showSerName val="0"/>
          <c:showPercent val="0"/>
          <c:showBubbleSize val="0"/>
        </c:dLbls>
        <c:gapWidth val="40"/>
        <c:overlap val="100"/>
        <c:axId val="728224784"/>
        <c:axId val="728226704"/>
      </c:barChart>
      <c:catAx>
        <c:axId val="72822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AS"/>
          </a:p>
        </c:txPr>
        <c:crossAx val="728226704"/>
        <c:crosses val="autoZero"/>
        <c:auto val="1"/>
        <c:lblAlgn val="ctr"/>
        <c:lblOffset val="100"/>
        <c:noMultiLvlLbl val="0"/>
      </c:catAx>
      <c:valAx>
        <c:axId val="728226704"/>
        <c:scaling>
          <c:orientation val="minMax"/>
        </c:scaling>
        <c:delete val="1"/>
        <c:axPos val="b"/>
        <c:numFmt formatCode="0%" sourceLinked="1"/>
        <c:majorTickMark val="none"/>
        <c:minorTickMark val="none"/>
        <c:tickLblPos val="nextTo"/>
        <c:crossAx val="728224784"/>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Estate..xlsx]PivotTable!PivotTable6</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8.3333333333333332E-3"/>
              <c:y val="-1.3376097718484543E-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8.3333333333333332E-3"/>
              <c:y val="-1.3376097718484543E-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40000"/>
              <a:lumOff val="60000"/>
            </a:schemeClr>
          </a:solidFill>
          <a:ln>
            <a:noFill/>
          </a:ln>
          <a:effectLst/>
        </c:spPr>
        <c:dLbl>
          <c:idx val="0"/>
          <c:layout>
            <c:manualLayout>
              <c:x val="-8.3333333333333332E-3"/>
              <c:y val="-1.3376097718484543E-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lumMod val="75000"/>
              </a:schemeClr>
            </a:solidFill>
            <a:round/>
          </a:ln>
          <a:effectLst/>
        </c:spPr>
        <c:marker>
          <c:symbol val="none"/>
        </c:marker>
        <c:dLbl>
          <c:idx val="0"/>
          <c:layout>
            <c:manualLayout>
              <c:x val="-3.4262991717097215E-2"/>
              <c:y val="3.44177573301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lumMod val="75000"/>
              </a:schemeClr>
            </a:solidFill>
            <a:round/>
          </a:ln>
          <a:effectLst/>
        </c:spPr>
        <c:marker>
          <c:symbol val="none"/>
        </c:marker>
        <c:dLbl>
          <c:idx val="0"/>
          <c:layout>
            <c:manualLayout>
              <c:x val="-3.2892472048413231E-2"/>
              <c:y val="2.3941222410650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75000"/>
              </a:schemeClr>
            </a:solidFill>
            <a:round/>
          </a:ln>
          <a:effectLst/>
        </c:spPr>
        <c:marker>
          <c:symbol val="none"/>
        </c:marker>
        <c:dLbl>
          <c:idx val="0"/>
          <c:layout>
            <c:manualLayout>
              <c:x val="-3.4262991717097117E-2"/>
              <c:y val="2.6560414967069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lumMod val="75000"/>
              </a:schemeClr>
            </a:solidFill>
            <a:round/>
          </a:ln>
          <a:effectLst/>
        </c:spPr>
        <c:marker>
          <c:symbol val="none"/>
        </c:marker>
        <c:dLbl>
          <c:idx val="0"/>
          <c:layout>
            <c:manualLayout>
              <c:x val="-3.4262991717097117E-2"/>
              <c:y val="2.88104122022230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lumMod val="75000"/>
              </a:schemeClr>
            </a:solidFill>
            <a:round/>
          </a:ln>
          <a:effectLst/>
        </c:spPr>
        <c:marker>
          <c:symbol val="none"/>
        </c:marker>
        <c:dLbl>
          <c:idx val="0"/>
          <c:layout>
            <c:manualLayout>
              <c:x val="-3.4262991717097062E-2"/>
              <c:y val="2.6191219645803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lumMod val="75000"/>
              </a:schemeClr>
            </a:solidFill>
            <a:round/>
          </a:ln>
          <a:effectLst/>
        </c:spPr>
        <c:marker>
          <c:symbol val="none"/>
        </c:marker>
        <c:dLbl>
          <c:idx val="0"/>
          <c:layout>
            <c:manualLayout>
              <c:x val="-3.4262991717097117E-2"/>
              <c:y val="1.833387728267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lumMod val="75000"/>
              </a:schemeClr>
            </a:solidFill>
            <a:round/>
          </a:ln>
          <a:effectLst/>
        </c:spPr>
        <c:marker>
          <c:symbol val="none"/>
        </c:marker>
        <c:dLbl>
          <c:idx val="0"/>
          <c:layout>
            <c:manualLayout>
              <c:x val="-3.2892472048413231E-2"/>
              <c:y val="2.8810412202222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lumMod val="75000"/>
              </a:schemeClr>
            </a:solidFill>
            <a:round/>
          </a:ln>
          <a:effectLst/>
        </c:spPr>
        <c:marker>
          <c:symbol val="none"/>
        </c:marker>
        <c:dLbl>
          <c:idx val="0"/>
          <c:layout>
            <c:manualLayout>
              <c:x val="-3.7004031054464911E-2"/>
              <c:y val="-2.3572027089383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40000"/>
              <a:lumOff val="60000"/>
            </a:schemeClr>
          </a:solidFill>
          <a:ln>
            <a:noFill/>
          </a:ln>
          <a:effectLst/>
        </c:spPr>
        <c:dLbl>
          <c:idx val="0"/>
          <c:layout>
            <c:manualLayout>
              <c:x val="-1.0050361467715181E-16"/>
              <c:y val="-7.8573565996330353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4754652158874"/>
          <c:y val="5.7486597657157223E-4"/>
          <c:w val="0.56917240400572944"/>
          <c:h val="0.8726117357511316"/>
        </c:manualLayout>
      </c:layout>
      <c:barChart>
        <c:barDir val="col"/>
        <c:grouping val="clustered"/>
        <c:varyColors val="0"/>
        <c:ser>
          <c:idx val="0"/>
          <c:order val="0"/>
          <c:tx>
            <c:strRef>
              <c:f>PivotTable!$B$14</c:f>
              <c:strCache>
                <c:ptCount val="1"/>
                <c:pt idx="0">
                  <c:v>Average of Sale Price</c:v>
                </c:pt>
              </c:strCache>
            </c:strRef>
          </c:tx>
          <c:spPr>
            <a:solidFill>
              <a:schemeClr val="accent5">
                <a:lumMod val="40000"/>
                <a:lumOff val="6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090F-4BFB-9D89-8EAABAEC1D8E}"/>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C-090F-4BFB-9D89-8EAABAEC1D8E}"/>
              </c:ext>
            </c:extLst>
          </c:dPt>
          <c:dLbls>
            <c:dLbl>
              <c:idx val="0"/>
              <c:layout>
                <c:manualLayout>
                  <c:x val="-8.3333333333333332E-3"/>
                  <c:y val="-1.33760977184845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0F-4BFB-9D89-8EAABAEC1D8E}"/>
                </c:ext>
              </c:extLst>
            </c:dLbl>
            <c:dLbl>
              <c:idx val="7"/>
              <c:layout>
                <c:manualLayout>
                  <c:x val="-1.0050361467715181E-16"/>
                  <c:y val="-7.85735659963303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90F-4BFB-9D89-8EAABAEC1D8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PivotTable!$A$15:$A$23</c:f>
              <c:strCache>
                <c:ptCount val="8"/>
                <c:pt idx="0">
                  <c:v>Greenwich</c:v>
                </c:pt>
                <c:pt idx="1">
                  <c:v>Fairfield</c:v>
                </c:pt>
                <c:pt idx="2">
                  <c:v>Norwalk</c:v>
                </c:pt>
                <c:pt idx="3">
                  <c:v>Stamford</c:v>
                </c:pt>
                <c:pt idx="4">
                  <c:v>Unknown</c:v>
                </c:pt>
                <c:pt idx="5">
                  <c:v>West Hartford</c:v>
                </c:pt>
                <c:pt idx="6">
                  <c:v>Bridgeport</c:v>
                </c:pt>
                <c:pt idx="7">
                  <c:v>Waterbury</c:v>
                </c:pt>
              </c:strCache>
            </c:strRef>
          </c:cat>
          <c:val>
            <c:numRef>
              <c:f>PivotTable!$B$15:$B$23</c:f>
              <c:numCache>
                <c:formatCode>"$"0.0,"K"</c:formatCode>
                <c:ptCount val="8"/>
                <c:pt idx="0">
                  <c:v>2162957.9814814813</c:v>
                </c:pt>
                <c:pt idx="1">
                  <c:v>725772.61746987957</c:v>
                </c:pt>
                <c:pt idx="2">
                  <c:v>602010.04263565887</c:v>
                </c:pt>
                <c:pt idx="3">
                  <c:v>592288.65271966532</c:v>
                </c:pt>
                <c:pt idx="4">
                  <c:v>511568.36</c:v>
                </c:pt>
                <c:pt idx="5">
                  <c:v>321210.92988929892</c:v>
                </c:pt>
                <c:pt idx="6">
                  <c:v>171288.6573275862</c:v>
                </c:pt>
                <c:pt idx="7">
                  <c:v>102031.13829787234</c:v>
                </c:pt>
              </c:numCache>
            </c:numRef>
          </c:val>
          <c:extLst>
            <c:ext xmlns:c16="http://schemas.microsoft.com/office/drawing/2014/chart" uri="{C3380CC4-5D6E-409C-BE32-E72D297353CC}">
              <c16:uniqueId val="{00000002-090F-4BFB-9D89-8EAABAEC1D8E}"/>
            </c:ext>
          </c:extLst>
        </c:ser>
        <c:dLbls>
          <c:dLblPos val="outEnd"/>
          <c:showLegendKey val="0"/>
          <c:showVal val="1"/>
          <c:showCatName val="0"/>
          <c:showSerName val="0"/>
          <c:showPercent val="0"/>
          <c:showBubbleSize val="0"/>
        </c:dLbls>
        <c:gapWidth val="30"/>
        <c:axId val="693306431"/>
        <c:axId val="693311231"/>
      </c:barChart>
      <c:lineChart>
        <c:grouping val="standard"/>
        <c:varyColors val="0"/>
        <c:ser>
          <c:idx val="1"/>
          <c:order val="1"/>
          <c:tx>
            <c:strRef>
              <c:f>PivotTable!$C$14</c:f>
              <c:strCache>
                <c:ptCount val="1"/>
                <c:pt idx="0">
                  <c:v>Average of Estimated Value</c:v>
                </c:pt>
              </c:strCache>
            </c:strRef>
          </c:tx>
          <c:spPr>
            <a:ln w="28575" cap="rnd">
              <a:solidFill>
                <a:schemeClr val="accent1">
                  <a:lumMod val="75000"/>
                </a:schemeClr>
              </a:solidFill>
              <a:round/>
            </a:ln>
            <a:effectLst/>
          </c:spPr>
          <c:marker>
            <c:symbol val="none"/>
          </c:marker>
          <c:dPt>
            <c:idx val="0"/>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B-090F-4BFB-9D89-8EAABAEC1D8E}"/>
              </c:ext>
            </c:extLst>
          </c:dPt>
          <c:dPt>
            <c:idx val="1"/>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A-090F-4BFB-9D89-8EAABAEC1D8E}"/>
              </c:ext>
            </c:extLst>
          </c:dPt>
          <c:dPt>
            <c:idx val="2"/>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9-090F-4BFB-9D89-8EAABAEC1D8E}"/>
              </c:ext>
            </c:extLst>
          </c:dPt>
          <c:dPt>
            <c:idx val="3"/>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8-090F-4BFB-9D89-8EAABAEC1D8E}"/>
              </c:ext>
            </c:extLst>
          </c:dPt>
          <c:dPt>
            <c:idx val="4"/>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7-090F-4BFB-9D89-8EAABAEC1D8E}"/>
              </c:ext>
            </c:extLst>
          </c:dPt>
          <c:dPt>
            <c:idx val="5"/>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6-090F-4BFB-9D89-8EAABAEC1D8E}"/>
              </c:ext>
            </c:extLst>
          </c:dPt>
          <c:dPt>
            <c:idx val="6"/>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5-090F-4BFB-9D89-8EAABAEC1D8E}"/>
              </c:ext>
            </c:extLst>
          </c:dPt>
          <c:dPt>
            <c:idx val="7"/>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4-090F-4BFB-9D89-8EAABAEC1D8E}"/>
              </c:ext>
            </c:extLst>
          </c:dPt>
          <c:dLbls>
            <c:dLbl>
              <c:idx val="0"/>
              <c:layout>
                <c:manualLayout>
                  <c:x val="-3.7004031054464911E-2"/>
                  <c:y val="-2.3572027089383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90F-4BFB-9D89-8EAABAEC1D8E}"/>
                </c:ext>
              </c:extLst>
            </c:dLbl>
            <c:dLbl>
              <c:idx val="1"/>
              <c:layout>
                <c:manualLayout>
                  <c:x val="-3.2892472048413231E-2"/>
                  <c:y val="2.8810412202222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90F-4BFB-9D89-8EAABAEC1D8E}"/>
                </c:ext>
              </c:extLst>
            </c:dLbl>
            <c:dLbl>
              <c:idx val="2"/>
              <c:layout>
                <c:manualLayout>
                  <c:x val="-3.4262991717097117E-2"/>
                  <c:y val="1.8333877282675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90F-4BFB-9D89-8EAABAEC1D8E}"/>
                </c:ext>
              </c:extLst>
            </c:dLbl>
            <c:dLbl>
              <c:idx val="3"/>
              <c:layout>
                <c:manualLayout>
                  <c:x val="-3.4262991717097062E-2"/>
                  <c:y val="2.61912196458030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0F-4BFB-9D89-8EAABAEC1D8E}"/>
                </c:ext>
              </c:extLst>
            </c:dLbl>
            <c:dLbl>
              <c:idx val="4"/>
              <c:layout>
                <c:manualLayout>
                  <c:x val="-3.4262991717097117E-2"/>
                  <c:y val="2.8810412202223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0F-4BFB-9D89-8EAABAEC1D8E}"/>
                </c:ext>
              </c:extLst>
            </c:dLbl>
            <c:dLbl>
              <c:idx val="5"/>
              <c:layout>
                <c:manualLayout>
                  <c:x val="-3.4262991717097117E-2"/>
                  <c:y val="2.6560414967069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0F-4BFB-9D89-8EAABAEC1D8E}"/>
                </c:ext>
              </c:extLst>
            </c:dLbl>
            <c:dLbl>
              <c:idx val="6"/>
              <c:layout>
                <c:manualLayout>
                  <c:x val="-3.2892472048413231E-2"/>
                  <c:y val="2.3941222410650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0F-4BFB-9D89-8EAABAEC1D8E}"/>
                </c:ext>
              </c:extLst>
            </c:dLbl>
            <c:dLbl>
              <c:idx val="7"/>
              <c:layout>
                <c:manualLayout>
                  <c:x val="-3.4262991717097215E-2"/>
                  <c:y val="3.44177573301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0F-4BFB-9D89-8EAABAEC1D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A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PivotTable!$A$15:$A$23</c:f>
              <c:strCache>
                <c:ptCount val="8"/>
                <c:pt idx="0">
                  <c:v>Greenwich</c:v>
                </c:pt>
                <c:pt idx="1">
                  <c:v>Fairfield</c:v>
                </c:pt>
                <c:pt idx="2">
                  <c:v>Norwalk</c:v>
                </c:pt>
                <c:pt idx="3">
                  <c:v>Stamford</c:v>
                </c:pt>
                <c:pt idx="4">
                  <c:v>Unknown</c:v>
                </c:pt>
                <c:pt idx="5">
                  <c:v>West Hartford</c:v>
                </c:pt>
                <c:pt idx="6">
                  <c:v>Bridgeport</c:v>
                </c:pt>
                <c:pt idx="7">
                  <c:v>Waterbury</c:v>
                </c:pt>
              </c:strCache>
            </c:strRef>
          </c:cat>
          <c:val>
            <c:numRef>
              <c:f>PivotTable!$C$15:$C$23</c:f>
              <c:numCache>
                <c:formatCode>"$"0.0,"K"</c:formatCode>
                <c:ptCount val="8"/>
                <c:pt idx="0">
                  <c:v>1323035.7284962963</c:v>
                </c:pt>
                <c:pt idx="1">
                  <c:v>521834.96635843348</c:v>
                </c:pt>
                <c:pt idx="2">
                  <c:v>406809.72869379859</c:v>
                </c:pt>
                <c:pt idx="3">
                  <c:v>435371.63151882857</c:v>
                </c:pt>
                <c:pt idx="4">
                  <c:v>383829.88288000022</c:v>
                </c:pt>
                <c:pt idx="5">
                  <c:v>243487.92341328421</c:v>
                </c:pt>
                <c:pt idx="6">
                  <c:v>181949.87508836223</c:v>
                </c:pt>
                <c:pt idx="7">
                  <c:v>150730.08301329799</c:v>
                </c:pt>
              </c:numCache>
            </c:numRef>
          </c:val>
          <c:smooth val="0"/>
          <c:extLst>
            <c:ext xmlns:c16="http://schemas.microsoft.com/office/drawing/2014/chart" uri="{C3380CC4-5D6E-409C-BE32-E72D297353CC}">
              <c16:uniqueId val="{00000003-090F-4BFB-9D89-8EAABAEC1D8E}"/>
            </c:ext>
          </c:extLst>
        </c:ser>
        <c:dLbls>
          <c:showLegendKey val="0"/>
          <c:showVal val="0"/>
          <c:showCatName val="0"/>
          <c:showSerName val="0"/>
          <c:showPercent val="0"/>
          <c:showBubbleSize val="0"/>
        </c:dLbls>
        <c:marker val="1"/>
        <c:smooth val="0"/>
        <c:axId val="693306431"/>
        <c:axId val="693311231"/>
      </c:lineChart>
      <c:catAx>
        <c:axId val="69330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AS"/>
          </a:p>
        </c:txPr>
        <c:crossAx val="693311231"/>
        <c:crosses val="autoZero"/>
        <c:auto val="1"/>
        <c:lblAlgn val="ctr"/>
        <c:lblOffset val="100"/>
        <c:noMultiLvlLbl val="0"/>
      </c:catAx>
      <c:valAx>
        <c:axId val="693311231"/>
        <c:scaling>
          <c:orientation val="minMax"/>
        </c:scaling>
        <c:delete val="1"/>
        <c:axPos val="l"/>
        <c:numFmt formatCode="&quot;$&quot;0.0,&quot;K&quot;" sourceLinked="1"/>
        <c:majorTickMark val="none"/>
        <c:minorTickMark val="none"/>
        <c:tickLblPos val="nextTo"/>
        <c:crossAx val="693306431"/>
        <c:crosses val="autoZero"/>
        <c:crossBetween val="between"/>
      </c:valAx>
      <c:spPr>
        <a:noFill/>
        <a:ln w="25400">
          <a:noFill/>
        </a:ln>
        <a:effectLst/>
      </c:spPr>
    </c:plotArea>
    <c:legend>
      <c:legendPos val="r"/>
      <c:layout>
        <c:manualLayout>
          <c:xMode val="edge"/>
          <c:yMode val="edge"/>
          <c:x val="0.5352852562572511"/>
          <c:y val="0.15672090793453683"/>
          <c:w val="0.22641294674410778"/>
          <c:h val="0.1557825165384920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Estate..xlsx]PivotTable!PivotTable9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Face Sales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1.944444444444444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1.944444444444444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60000"/>
                <a:lumOff val="40000"/>
              </a:schemeClr>
            </a:solidFill>
            <a:round/>
          </a:ln>
          <a:effectLst/>
        </c:spPr>
        <c:marker>
          <c:symbol val="none"/>
        </c:marker>
        <c:dLbl>
          <c:idx val="0"/>
          <c:layout>
            <c:manualLayout>
              <c:x val="-3.1017406754249882E-2"/>
              <c:y val="5.09260047553983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60000"/>
                <a:lumOff val="40000"/>
              </a:schemeClr>
            </a:solidFill>
            <a:round/>
          </a:ln>
          <a:effectLst/>
        </c:spPr>
        <c:marker>
          <c:symbol val="none"/>
        </c:marker>
        <c:dLbl>
          <c:idx val="0"/>
          <c:layout>
            <c:manualLayout>
              <c:x val="8.9691247505697111E-2"/>
              <c:y val="4.89611340478102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60000"/>
                <a:lumOff val="40000"/>
              </a:schemeClr>
            </a:solidFill>
            <a:round/>
          </a:ln>
          <a:effectLst/>
        </c:spPr>
        <c:marker>
          <c:symbol val="none"/>
        </c:marker>
        <c:dLbl>
          <c:idx val="0"/>
          <c:layout>
            <c:manualLayout>
              <c:x val="1.7359596291425246E-2"/>
              <c:y val="1.632037801593678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60000"/>
                <a:lumOff val="40000"/>
              </a:schemeClr>
            </a:solidFill>
            <a:round/>
          </a:ln>
          <a:effectLst/>
        </c:spPr>
        <c:marker>
          <c:symbol val="none"/>
        </c:marker>
        <c:dLbl>
          <c:idx val="0"/>
          <c:layout>
            <c:manualLayout>
              <c:x val="5.786532097141802E-3"/>
              <c:y val="-5.100102066616056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442031592187091E-2"/>
                  <c:h val="6.0283556930008378E-2"/>
                </c:manualLayout>
              </c15:layout>
            </c:ext>
          </c:extLst>
        </c:dLbl>
      </c:pivotFmt>
    </c:pivotFmts>
    <c:plotArea>
      <c:layout>
        <c:manualLayout>
          <c:layoutTarget val="inner"/>
          <c:xMode val="edge"/>
          <c:yMode val="edge"/>
          <c:x val="0.26844641294838145"/>
          <c:y val="0.24995604160249182"/>
          <c:w val="0.43532939632545931"/>
          <c:h val="0.6578311389389434"/>
        </c:manualLayout>
      </c:layout>
      <c:radarChart>
        <c:radarStyle val="marker"/>
        <c:varyColors val="0"/>
        <c:ser>
          <c:idx val="0"/>
          <c:order val="0"/>
          <c:tx>
            <c:strRef>
              <c:f>PivotTable!$F$10</c:f>
              <c:strCache>
                <c:ptCount val="1"/>
                <c:pt idx="0">
                  <c:v>Total</c:v>
                </c:pt>
              </c:strCache>
            </c:strRef>
          </c:tx>
          <c:spPr>
            <a:ln w="28575" cap="rnd">
              <a:solidFill>
                <a:schemeClr val="accent5">
                  <a:lumMod val="60000"/>
                  <a:lumOff val="40000"/>
                </a:schemeClr>
              </a:solidFill>
              <a:round/>
            </a:ln>
            <a:effectLst/>
          </c:spPr>
          <c:marker>
            <c:symbol val="none"/>
          </c:marker>
          <c:dPt>
            <c:idx val="0"/>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4-5FB0-4036-B0B2-6F4D7C8CF634}"/>
              </c:ext>
            </c:extLst>
          </c:dPt>
          <c:dPt>
            <c:idx val="1"/>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2-5FB0-4036-B0B2-6F4D7C8CF634}"/>
              </c:ext>
            </c:extLst>
          </c:dPt>
          <c:dPt>
            <c:idx val="2"/>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3-5FB0-4036-B0B2-6F4D7C8CF634}"/>
              </c:ext>
            </c:extLst>
          </c:dPt>
          <c:dPt>
            <c:idx val="3"/>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0-5FB0-4036-B0B2-6F4D7C8CF634}"/>
              </c:ext>
            </c:extLst>
          </c:dPt>
          <c:dLbls>
            <c:dLbl>
              <c:idx val="0"/>
              <c:layout>
                <c:manualLayout>
                  <c:x val="5.786532097141802E-3"/>
                  <c:y val="-5.100102066616056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442031592187091E-2"/>
                      <c:h val="6.0283556930008378E-2"/>
                    </c:manualLayout>
                  </c15:layout>
                </c:ext>
                <c:ext xmlns:c16="http://schemas.microsoft.com/office/drawing/2014/chart" uri="{C3380CC4-5D6E-409C-BE32-E72D297353CC}">
                  <c16:uniqueId val="{00000004-5FB0-4036-B0B2-6F4D7C8CF634}"/>
                </c:ext>
              </c:extLst>
            </c:dLbl>
            <c:dLbl>
              <c:idx val="1"/>
              <c:layout>
                <c:manualLayout>
                  <c:x val="8.9691247505697111E-2"/>
                  <c:y val="4.8961134047810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B0-4036-B0B2-6F4D7C8CF634}"/>
                </c:ext>
              </c:extLst>
            </c:dLbl>
            <c:dLbl>
              <c:idx val="2"/>
              <c:layout>
                <c:manualLayout>
                  <c:x val="1.7359596291425246E-2"/>
                  <c:y val="1.6320378015936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B0-4036-B0B2-6F4D7C8CF634}"/>
                </c:ext>
              </c:extLst>
            </c:dLbl>
            <c:dLbl>
              <c:idx val="3"/>
              <c:layout>
                <c:manualLayout>
                  <c:x val="-3.1017406754249882E-2"/>
                  <c:y val="5.0926004755398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B0-4036-B0B2-6F4D7C8CF63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PivotTable!$E$11:$E$15</c:f>
              <c:strCache>
                <c:ptCount val="4"/>
                <c:pt idx="0">
                  <c:v>East</c:v>
                </c:pt>
                <c:pt idx="1">
                  <c:v>North</c:v>
                </c:pt>
                <c:pt idx="2">
                  <c:v>South</c:v>
                </c:pt>
                <c:pt idx="3">
                  <c:v>West</c:v>
                </c:pt>
              </c:strCache>
            </c:strRef>
          </c:cat>
          <c:val>
            <c:numRef>
              <c:f>PivotTable!$F$11:$F$15</c:f>
              <c:numCache>
                <c:formatCode>General</c:formatCode>
                <c:ptCount val="4"/>
                <c:pt idx="0">
                  <c:v>599</c:v>
                </c:pt>
                <c:pt idx="1">
                  <c:v>630</c:v>
                </c:pt>
                <c:pt idx="2">
                  <c:v>644</c:v>
                </c:pt>
                <c:pt idx="3">
                  <c:v>662</c:v>
                </c:pt>
              </c:numCache>
            </c:numRef>
          </c:val>
          <c:extLst>
            <c:ext xmlns:c16="http://schemas.microsoft.com/office/drawing/2014/chart" uri="{C3380CC4-5D6E-409C-BE32-E72D297353CC}">
              <c16:uniqueId val="{00000001-5FB0-4036-B0B2-6F4D7C8CF634}"/>
            </c:ext>
          </c:extLst>
        </c:ser>
        <c:dLbls>
          <c:showLegendKey val="0"/>
          <c:showVal val="1"/>
          <c:showCatName val="0"/>
          <c:showSerName val="0"/>
          <c:showPercent val="0"/>
          <c:showBubbleSize val="0"/>
        </c:dLbls>
        <c:axId val="1457059008"/>
        <c:axId val="1457084928"/>
      </c:radarChart>
      <c:catAx>
        <c:axId val="145705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457084928"/>
        <c:crosses val="autoZero"/>
        <c:auto val="1"/>
        <c:lblAlgn val="ctr"/>
        <c:lblOffset val="100"/>
        <c:noMultiLvlLbl val="0"/>
      </c:catAx>
      <c:valAx>
        <c:axId val="1457084928"/>
        <c:scaling>
          <c:orientation val="minMax"/>
        </c:scaling>
        <c:delete val="1"/>
        <c:axPos val="l"/>
        <c:majorGridlines>
          <c:spPr>
            <a:ln w="12700" cap="flat" cmpd="sng" algn="ctr">
              <a:solidFill>
                <a:schemeClr val="accent1">
                  <a:lumMod val="50000"/>
                </a:schemeClr>
              </a:solidFill>
              <a:round/>
            </a:ln>
            <a:effectLst/>
          </c:spPr>
        </c:majorGridlines>
        <c:numFmt formatCode="General" sourceLinked="1"/>
        <c:majorTickMark val="out"/>
        <c:minorTickMark val="none"/>
        <c:tickLblPos val="nextTo"/>
        <c:crossAx val="145705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175260</xdr:colOff>
      <xdr:row>6</xdr:row>
      <xdr:rowOff>116748</xdr:rowOff>
    </xdr:from>
    <xdr:to>
      <xdr:col>5</xdr:col>
      <xdr:colOff>674914</xdr:colOff>
      <xdr:row>11</xdr:row>
      <xdr:rowOff>63408</xdr:rowOff>
    </xdr:to>
    <xdr:sp macro="" textlink="">
      <xdr:nvSpPr>
        <xdr:cNvPr id="27" name="Rectangle: Rounded Corners 26">
          <a:extLst>
            <a:ext uri="{FF2B5EF4-FFF2-40B4-BE49-F238E27FC236}">
              <a16:creationId xmlns:a16="http://schemas.microsoft.com/office/drawing/2014/main" id="{D0DDF1AA-5A6E-4D4A-95CE-0DC50D6EC836}"/>
            </a:ext>
          </a:extLst>
        </xdr:cNvPr>
        <xdr:cNvSpPr/>
      </xdr:nvSpPr>
      <xdr:spPr>
        <a:xfrm>
          <a:off x="175260" y="1227091"/>
          <a:ext cx="3547654" cy="871946"/>
        </a:xfrm>
        <a:prstGeom prst="roundRect">
          <a:avLst/>
        </a:prstGeom>
        <a:gradFill>
          <a:gsLst>
            <a:gs pos="0">
              <a:schemeClr val="accent5">
                <a:lumMod val="100000"/>
              </a:schemeClr>
            </a:gs>
            <a:gs pos="19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0</xdr:col>
      <xdr:colOff>106680</xdr:colOff>
      <xdr:row>11</xdr:row>
      <xdr:rowOff>174171</xdr:rowOff>
    </xdr:from>
    <xdr:to>
      <xdr:col>3</xdr:col>
      <xdr:colOff>10886</xdr:colOff>
      <xdr:row>42</xdr:row>
      <xdr:rowOff>21661</xdr:rowOff>
    </xdr:to>
    <xdr:sp macro="" textlink="">
      <xdr:nvSpPr>
        <xdr:cNvPr id="26" name="Rectangle: Rounded Corners 25">
          <a:extLst>
            <a:ext uri="{FF2B5EF4-FFF2-40B4-BE49-F238E27FC236}">
              <a16:creationId xmlns:a16="http://schemas.microsoft.com/office/drawing/2014/main" id="{69C8CC37-CF35-47B9-9C53-4CF183EEB6B7}"/>
            </a:ext>
          </a:extLst>
        </xdr:cNvPr>
        <xdr:cNvSpPr/>
      </xdr:nvSpPr>
      <xdr:spPr>
        <a:xfrm>
          <a:off x="106680" y="2209800"/>
          <a:ext cx="1733006" cy="5584261"/>
        </a:xfrm>
        <a:prstGeom prst="roundRect">
          <a:avLst>
            <a:gd name="adj" fmla="val 3625"/>
          </a:avLst>
        </a:prstGeom>
        <a:gradFill>
          <a:gsLst>
            <a:gs pos="0">
              <a:schemeClr val="accent5">
                <a:lumMod val="100000"/>
              </a:schemeClr>
            </a:gs>
            <a:gs pos="13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11</xdr:col>
      <xdr:colOff>369473</xdr:colOff>
      <xdr:row>25</xdr:row>
      <xdr:rowOff>46438</xdr:rowOff>
    </xdr:from>
    <xdr:to>
      <xdr:col>17</xdr:col>
      <xdr:colOff>185057</xdr:colOff>
      <xdr:row>42</xdr:row>
      <xdr:rowOff>32656</xdr:rowOff>
    </xdr:to>
    <xdr:sp macro="" textlink="">
      <xdr:nvSpPr>
        <xdr:cNvPr id="25" name="Rectangle: Rounded Corners 24">
          <a:extLst>
            <a:ext uri="{FF2B5EF4-FFF2-40B4-BE49-F238E27FC236}">
              <a16:creationId xmlns:a16="http://schemas.microsoft.com/office/drawing/2014/main" id="{4A330D0B-AB2D-40FA-A43D-3EAF6B4A7A24}"/>
            </a:ext>
          </a:extLst>
        </xdr:cNvPr>
        <xdr:cNvSpPr/>
      </xdr:nvSpPr>
      <xdr:spPr>
        <a:xfrm>
          <a:off x="7586702" y="4672867"/>
          <a:ext cx="3473184" cy="3132189"/>
        </a:xfrm>
        <a:prstGeom prst="roundRect">
          <a:avLst>
            <a:gd name="adj" fmla="val 6887"/>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AS" sz="1100"/>
        </a:p>
      </xdr:txBody>
    </xdr:sp>
    <xdr:clientData/>
  </xdr:twoCellAnchor>
  <xdr:twoCellAnchor>
    <xdr:from>
      <xdr:col>0</xdr:col>
      <xdr:colOff>197005</xdr:colOff>
      <xdr:row>1</xdr:row>
      <xdr:rowOff>57614</xdr:rowOff>
    </xdr:from>
    <xdr:to>
      <xdr:col>7</xdr:col>
      <xdr:colOff>235105</xdr:colOff>
      <xdr:row>6</xdr:row>
      <xdr:rowOff>4274</xdr:rowOff>
    </xdr:to>
    <xdr:sp macro="" textlink="">
      <xdr:nvSpPr>
        <xdr:cNvPr id="2" name="Rectangle: Rounded Corners 1">
          <a:extLst>
            <a:ext uri="{FF2B5EF4-FFF2-40B4-BE49-F238E27FC236}">
              <a16:creationId xmlns:a16="http://schemas.microsoft.com/office/drawing/2014/main" id="{85EE135B-A4D4-E238-FCDC-D9987A7FB2F9}"/>
            </a:ext>
          </a:extLst>
        </xdr:cNvPr>
        <xdr:cNvSpPr/>
      </xdr:nvSpPr>
      <xdr:spPr>
        <a:xfrm>
          <a:off x="197005" y="240494"/>
          <a:ext cx="4815840" cy="861060"/>
        </a:xfrm>
        <a:prstGeom prst="roundRect">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bg1"/>
            </a:solidFill>
            <a:latin typeface="+mn-lt"/>
            <a:ea typeface="+mn-ea"/>
            <a:cs typeface="+mn-cs"/>
          </a:endParaRPr>
        </a:p>
      </xdr:txBody>
    </xdr:sp>
    <xdr:clientData/>
  </xdr:twoCellAnchor>
  <xdr:oneCellAnchor>
    <xdr:from>
      <xdr:col>1</xdr:col>
      <xdr:colOff>491778</xdr:colOff>
      <xdr:row>2</xdr:row>
      <xdr:rowOff>61557</xdr:rowOff>
    </xdr:from>
    <xdr:ext cx="3778663" cy="509242"/>
    <xdr:sp macro="" textlink="">
      <xdr:nvSpPr>
        <xdr:cNvPr id="3" name="TextBox 2">
          <a:extLst>
            <a:ext uri="{FF2B5EF4-FFF2-40B4-BE49-F238E27FC236}">
              <a16:creationId xmlns:a16="http://schemas.microsoft.com/office/drawing/2014/main" id="{D0C1C53B-CF1C-782F-2B71-B27DDD0E4CA5}"/>
            </a:ext>
          </a:extLst>
        </xdr:cNvPr>
        <xdr:cNvSpPr txBox="1"/>
      </xdr:nvSpPr>
      <xdr:spPr>
        <a:xfrm>
          <a:off x="1101378" y="420145"/>
          <a:ext cx="3778663" cy="509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solidFill>
                <a:schemeClr val="bg1"/>
              </a:solidFill>
            </a:rPr>
            <a:t>Real Estate Dashboard</a:t>
          </a:r>
          <a:endParaRPr lang="en-AS" sz="2800">
            <a:solidFill>
              <a:schemeClr val="bg1"/>
            </a:solidFill>
          </a:endParaRPr>
        </a:p>
      </xdr:txBody>
    </xdr:sp>
    <xdr:clientData/>
  </xdr:oneCellAnchor>
  <xdr:twoCellAnchor editAs="oneCell">
    <xdr:from>
      <xdr:col>0</xdr:col>
      <xdr:colOff>345371</xdr:colOff>
      <xdr:row>1</xdr:row>
      <xdr:rowOff>68820</xdr:rowOff>
    </xdr:from>
    <xdr:to>
      <xdr:col>1</xdr:col>
      <xdr:colOff>490151</xdr:colOff>
      <xdr:row>5</xdr:row>
      <xdr:rowOff>91681</xdr:rowOff>
    </xdr:to>
    <xdr:pic>
      <xdr:nvPicPr>
        <xdr:cNvPr id="5" name="Graphic 4" descr="House outline">
          <a:extLst>
            <a:ext uri="{FF2B5EF4-FFF2-40B4-BE49-F238E27FC236}">
              <a16:creationId xmlns:a16="http://schemas.microsoft.com/office/drawing/2014/main" id="{3C0E144C-F5AB-A582-DC25-43F810AD0F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5371" y="248114"/>
          <a:ext cx="754380" cy="740038"/>
        </a:xfrm>
        <a:prstGeom prst="rect">
          <a:avLst/>
        </a:prstGeom>
      </xdr:spPr>
    </xdr:pic>
    <xdr:clientData/>
  </xdr:twoCellAnchor>
  <xdr:twoCellAnchor>
    <xdr:from>
      <xdr:col>14</xdr:col>
      <xdr:colOff>380998</xdr:colOff>
      <xdr:row>1</xdr:row>
      <xdr:rowOff>21501</xdr:rowOff>
    </xdr:from>
    <xdr:to>
      <xdr:col>24</xdr:col>
      <xdr:colOff>293913</xdr:colOff>
      <xdr:row>11</xdr:row>
      <xdr:rowOff>51981</xdr:rowOff>
    </xdr:to>
    <xdr:sp macro="" textlink="">
      <xdr:nvSpPr>
        <xdr:cNvPr id="9" name="Rectangle: Rounded Corners 8">
          <a:extLst>
            <a:ext uri="{FF2B5EF4-FFF2-40B4-BE49-F238E27FC236}">
              <a16:creationId xmlns:a16="http://schemas.microsoft.com/office/drawing/2014/main" id="{D3E220D3-09A6-41A9-839C-218FD1FB0079}"/>
            </a:ext>
          </a:extLst>
        </xdr:cNvPr>
        <xdr:cNvSpPr/>
      </xdr:nvSpPr>
      <xdr:spPr>
        <a:xfrm>
          <a:off x="9427027" y="206558"/>
          <a:ext cx="6008915" cy="1881052"/>
        </a:xfrm>
        <a:prstGeom prst="roundRect">
          <a:avLst>
            <a:gd name="adj" fmla="val 6829"/>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14</xdr:col>
      <xdr:colOff>468084</xdr:colOff>
      <xdr:row>1</xdr:row>
      <xdr:rowOff>55357</xdr:rowOff>
    </xdr:from>
    <xdr:to>
      <xdr:col>24</xdr:col>
      <xdr:colOff>272142</xdr:colOff>
      <xdr:row>11</xdr:row>
      <xdr:rowOff>161623</xdr:rowOff>
    </xdr:to>
    <xdr:graphicFrame macro="">
      <xdr:nvGraphicFramePr>
        <xdr:cNvPr id="11" name="Chart 10">
          <a:extLst>
            <a:ext uri="{FF2B5EF4-FFF2-40B4-BE49-F238E27FC236}">
              <a16:creationId xmlns:a16="http://schemas.microsoft.com/office/drawing/2014/main" id="{3EB6BE29-1896-4F98-A42A-067E882F1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358160</xdr:colOff>
      <xdr:row>1</xdr:row>
      <xdr:rowOff>55963</xdr:rowOff>
    </xdr:from>
    <xdr:to>
      <xdr:col>10</xdr:col>
      <xdr:colOff>529683</xdr:colOff>
      <xdr:row>6</xdr:row>
      <xdr:rowOff>2624</xdr:rowOff>
    </xdr:to>
    <xdr:sp macro="" textlink="">
      <xdr:nvSpPr>
        <xdr:cNvPr id="14" name="Rectangle: Rounded Corners 13">
          <a:extLst>
            <a:ext uri="{FF2B5EF4-FFF2-40B4-BE49-F238E27FC236}">
              <a16:creationId xmlns:a16="http://schemas.microsoft.com/office/drawing/2014/main" id="{88452727-2A84-4C8C-BCE3-DCD4A0E158C9}"/>
            </a:ext>
          </a:extLst>
        </xdr:cNvPr>
        <xdr:cNvSpPr/>
      </xdr:nvSpPr>
      <xdr:spPr>
        <a:xfrm>
          <a:off x="5136989" y="241020"/>
          <a:ext cx="2000323" cy="871947"/>
        </a:xfrm>
        <a:prstGeom prst="roundRect">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oneCellAnchor>
    <xdr:from>
      <xdr:col>8</xdr:col>
      <xdr:colOff>138021</xdr:colOff>
      <xdr:row>1</xdr:row>
      <xdr:rowOff>143393</xdr:rowOff>
    </xdr:from>
    <xdr:ext cx="1314262" cy="360355"/>
    <xdr:sp macro="" textlink="">
      <xdr:nvSpPr>
        <xdr:cNvPr id="20" name="TextBox 19">
          <a:extLst>
            <a:ext uri="{FF2B5EF4-FFF2-40B4-BE49-F238E27FC236}">
              <a16:creationId xmlns:a16="http://schemas.microsoft.com/office/drawing/2014/main" id="{4A60654F-79C9-17D6-5826-93B9692F54C4}"/>
            </a:ext>
          </a:extLst>
        </xdr:cNvPr>
        <xdr:cNvSpPr txBox="1"/>
      </xdr:nvSpPr>
      <xdr:spPr>
        <a:xfrm>
          <a:off x="5526450" y="328450"/>
          <a:ext cx="1314262" cy="360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a:solidFill>
                <a:schemeClr val="bg1"/>
              </a:solidFill>
            </a:rPr>
            <a:t>Total Sales</a:t>
          </a:r>
          <a:endParaRPr lang="en-AS" sz="1800">
            <a:solidFill>
              <a:schemeClr val="bg1"/>
            </a:solidFill>
          </a:endParaRPr>
        </a:p>
      </xdr:txBody>
    </xdr:sp>
    <xdr:clientData/>
  </xdr:oneCellAnchor>
  <xdr:oneCellAnchor>
    <xdr:from>
      <xdr:col>5</xdr:col>
      <xdr:colOff>22860</xdr:colOff>
      <xdr:row>13</xdr:row>
      <xdr:rowOff>45720</xdr:rowOff>
    </xdr:from>
    <xdr:ext cx="211020" cy="264560"/>
    <xdr:sp macro="" textlink="">
      <xdr:nvSpPr>
        <xdr:cNvPr id="21" name="TextBox 20">
          <a:extLst>
            <a:ext uri="{FF2B5EF4-FFF2-40B4-BE49-F238E27FC236}">
              <a16:creationId xmlns:a16="http://schemas.microsoft.com/office/drawing/2014/main" id="{A92FE072-410C-36C0-FC25-002A05A0A7C8}"/>
            </a:ext>
          </a:extLst>
        </xdr:cNvPr>
        <xdr:cNvSpPr txBox="1"/>
      </xdr:nvSpPr>
      <xdr:spPr>
        <a:xfrm>
          <a:off x="3070860" y="2423160"/>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S">
              <a:effectLst/>
            </a:rPr>
            <a:t> </a:t>
          </a:r>
          <a:endParaRPr lang="en-AS" sz="1100"/>
        </a:p>
      </xdr:txBody>
    </xdr:sp>
    <xdr:clientData/>
  </xdr:oneCellAnchor>
  <xdr:oneCellAnchor>
    <xdr:from>
      <xdr:col>3</xdr:col>
      <xdr:colOff>335280</xdr:colOff>
      <xdr:row>13</xdr:row>
      <xdr:rowOff>68580</xdr:rowOff>
    </xdr:from>
    <xdr:ext cx="184731" cy="264560"/>
    <xdr:sp macro="" textlink="">
      <xdr:nvSpPr>
        <xdr:cNvPr id="22" name="TextBox 21">
          <a:extLst>
            <a:ext uri="{FF2B5EF4-FFF2-40B4-BE49-F238E27FC236}">
              <a16:creationId xmlns:a16="http://schemas.microsoft.com/office/drawing/2014/main" id="{B9C31C2A-9A6F-C2D9-476A-01F1D2A9E910}"/>
            </a:ext>
          </a:extLst>
        </xdr:cNvPr>
        <xdr:cNvSpPr txBox="1"/>
      </xdr:nvSpPr>
      <xdr:spPr>
        <a:xfrm>
          <a:off x="216408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S" sz="1100"/>
        </a:p>
      </xdr:txBody>
    </xdr:sp>
    <xdr:clientData/>
  </xdr:oneCellAnchor>
  <xdr:oneCellAnchor>
    <xdr:from>
      <xdr:col>7</xdr:col>
      <xdr:colOff>526750</xdr:colOff>
      <xdr:row>3</xdr:row>
      <xdr:rowOff>129425</xdr:rowOff>
    </xdr:from>
    <xdr:ext cx="1840233" cy="374077"/>
    <xdr:sp macro="" textlink="$F$12">
      <xdr:nvSpPr>
        <xdr:cNvPr id="23" name="TextBox 22">
          <a:extLst>
            <a:ext uri="{FF2B5EF4-FFF2-40B4-BE49-F238E27FC236}">
              <a16:creationId xmlns:a16="http://schemas.microsoft.com/office/drawing/2014/main" id="{98392689-984C-788A-B21D-F694D0F70D02}"/>
            </a:ext>
          </a:extLst>
        </xdr:cNvPr>
        <xdr:cNvSpPr txBox="1"/>
      </xdr:nvSpPr>
      <xdr:spPr>
        <a:xfrm>
          <a:off x="5305579" y="684596"/>
          <a:ext cx="184023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7D8260A-2FE2-42D0-AB32-BBC9661F4BB2}" type="TxLink">
            <a:rPr lang="en-US" sz="1800" b="0" i="0" u="none" strike="noStrike">
              <a:solidFill>
                <a:schemeClr val="bg1"/>
              </a:solidFill>
              <a:latin typeface="Aptos Narrow"/>
            </a:rPr>
            <a:pPr/>
            <a:t>$1,492,980,267</a:t>
          </a:fld>
          <a:endParaRPr lang="en-AS" sz="1800">
            <a:solidFill>
              <a:schemeClr val="bg1"/>
            </a:solidFill>
          </a:endParaRPr>
        </a:p>
      </xdr:txBody>
    </xdr:sp>
    <xdr:clientData/>
  </xdr:oneCellAnchor>
  <xdr:twoCellAnchor editAs="oneCell">
    <xdr:from>
      <xdr:col>0</xdr:col>
      <xdr:colOff>156154</xdr:colOff>
      <xdr:row>12</xdr:row>
      <xdr:rowOff>59565</xdr:rowOff>
    </xdr:from>
    <xdr:to>
      <xdr:col>2</xdr:col>
      <xdr:colOff>558438</xdr:colOff>
      <xdr:row>26</xdr:row>
      <xdr:rowOff>141515</xdr:rowOff>
    </xdr:to>
    <mc:AlternateContent xmlns:mc="http://schemas.openxmlformats.org/markup-compatibility/2006" xmlns:a14="http://schemas.microsoft.com/office/drawing/2010/main">
      <mc:Choice Requires="a14">
        <xdr:graphicFrame macro="">
          <xdr:nvGraphicFramePr>
            <xdr:cNvPr id="24" name="Locality">
              <a:extLst>
                <a:ext uri="{FF2B5EF4-FFF2-40B4-BE49-F238E27FC236}">
                  <a16:creationId xmlns:a16="http://schemas.microsoft.com/office/drawing/2014/main" id="{7780982A-6106-4E74-9905-058B384D520F}"/>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156154" y="2280251"/>
              <a:ext cx="1621484" cy="267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419100</xdr:colOff>
      <xdr:row>12</xdr:row>
      <xdr:rowOff>137160</xdr:rowOff>
    </xdr:from>
    <xdr:ext cx="184731" cy="374077"/>
    <xdr:sp macro="" textlink="">
      <xdr:nvSpPr>
        <xdr:cNvPr id="50" name="TextBox 49">
          <a:extLst>
            <a:ext uri="{FF2B5EF4-FFF2-40B4-BE49-F238E27FC236}">
              <a16:creationId xmlns:a16="http://schemas.microsoft.com/office/drawing/2014/main" id="{65E5947A-6E91-E0B5-803F-53BACC51F2D6}"/>
            </a:ext>
          </a:extLst>
        </xdr:cNvPr>
        <xdr:cNvSpPr txBox="1"/>
      </xdr:nvSpPr>
      <xdr:spPr>
        <a:xfrm>
          <a:off x="1638300" y="2331720"/>
          <a:ext cx="1847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S" sz="1800">
            <a:solidFill>
              <a:schemeClr val="bg1"/>
            </a:solidFill>
          </a:endParaRPr>
        </a:p>
      </xdr:txBody>
    </xdr:sp>
    <xdr:clientData/>
  </xdr:oneCellAnchor>
  <xdr:twoCellAnchor>
    <xdr:from>
      <xdr:col>11</xdr:col>
      <xdr:colOff>365760</xdr:colOff>
      <xdr:row>6</xdr:row>
      <xdr:rowOff>115388</xdr:rowOff>
    </xdr:from>
    <xdr:to>
      <xdr:col>14</xdr:col>
      <xdr:colOff>281940</xdr:colOff>
      <xdr:row>11</xdr:row>
      <xdr:rowOff>62048</xdr:rowOff>
    </xdr:to>
    <xdr:sp macro="" textlink="">
      <xdr:nvSpPr>
        <xdr:cNvPr id="51" name="Rectangle: Rounded Corners 50">
          <a:extLst>
            <a:ext uri="{FF2B5EF4-FFF2-40B4-BE49-F238E27FC236}">
              <a16:creationId xmlns:a16="http://schemas.microsoft.com/office/drawing/2014/main" id="{23156749-4E5A-4E11-A9DF-671ACB52C69E}"/>
            </a:ext>
          </a:extLst>
        </xdr:cNvPr>
        <xdr:cNvSpPr/>
      </xdr:nvSpPr>
      <xdr:spPr>
        <a:xfrm>
          <a:off x="7582989" y="1225731"/>
          <a:ext cx="1744980" cy="871946"/>
        </a:xfrm>
        <a:prstGeom prst="roundRect">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5</xdr:col>
      <xdr:colOff>784860</xdr:colOff>
      <xdr:row>6</xdr:row>
      <xdr:rowOff>105863</xdr:rowOff>
    </xdr:from>
    <xdr:to>
      <xdr:col>8</xdr:col>
      <xdr:colOff>186690</xdr:colOff>
      <xdr:row>11</xdr:row>
      <xdr:rowOff>52523</xdr:rowOff>
    </xdr:to>
    <xdr:sp macro="" textlink="">
      <xdr:nvSpPr>
        <xdr:cNvPr id="52" name="Rectangle: Rounded Corners 51">
          <a:extLst>
            <a:ext uri="{FF2B5EF4-FFF2-40B4-BE49-F238E27FC236}">
              <a16:creationId xmlns:a16="http://schemas.microsoft.com/office/drawing/2014/main" id="{123CB876-C201-4854-A74F-27A59AEA3C68}"/>
            </a:ext>
          </a:extLst>
        </xdr:cNvPr>
        <xdr:cNvSpPr/>
      </xdr:nvSpPr>
      <xdr:spPr>
        <a:xfrm>
          <a:off x="3832860" y="1216206"/>
          <a:ext cx="1742259" cy="871946"/>
        </a:xfrm>
        <a:prstGeom prst="roundRect">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8</xdr:col>
      <xdr:colOff>304800</xdr:colOff>
      <xdr:row>6</xdr:row>
      <xdr:rowOff>92528</xdr:rowOff>
    </xdr:from>
    <xdr:to>
      <xdr:col>11</xdr:col>
      <xdr:colOff>224790</xdr:colOff>
      <xdr:row>11</xdr:row>
      <xdr:rowOff>39188</xdr:rowOff>
    </xdr:to>
    <xdr:sp macro="" textlink="">
      <xdr:nvSpPr>
        <xdr:cNvPr id="53" name="Rectangle: Rounded Corners 52">
          <a:extLst>
            <a:ext uri="{FF2B5EF4-FFF2-40B4-BE49-F238E27FC236}">
              <a16:creationId xmlns:a16="http://schemas.microsoft.com/office/drawing/2014/main" id="{E518D4E5-B77F-4352-9992-4123D31100D3}"/>
            </a:ext>
          </a:extLst>
        </xdr:cNvPr>
        <xdr:cNvSpPr/>
      </xdr:nvSpPr>
      <xdr:spPr>
        <a:xfrm>
          <a:off x="5693229" y="1202871"/>
          <a:ext cx="1748790" cy="871946"/>
        </a:xfrm>
        <a:prstGeom prst="roundRect">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11</xdr:col>
      <xdr:colOff>55756</xdr:colOff>
      <xdr:row>1</xdr:row>
      <xdr:rowOff>39405</xdr:rowOff>
    </xdr:from>
    <xdr:to>
      <xdr:col>14</xdr:col>
      <xdr:colOff>262828</xdr:colOff>
      <xdr:row>5</xdr:row>
      <xdr:rowOff>171123</xdr:rowOff>
    </xdr:to>
    <xdr:sp macro="" textlink="">
      <xdr:nvSpPr>
        <xdr:cNvPr id="54" name="Rectangle: Rounded Corners 53">
          <a:extLst>
            <a:ext uri="{FF2B5EF4-FFF2-40B4-BE49-F238E27FC236}">
              <a16:creationId xmlns:a16="http://schemas.microsoft.com/office/drawing/2014/main" id="{402F7EA6-D4E1-4A24-AF7A-D7BEF01065A3}"/>
            </a:ext>
          </a:extLst>
        </xdr:cNvPr>
        <xdr:cNvSpPr/>
      </xdr:nvSpPr>
      <xdr:spPr>
        <a:xfrm>
          <a:off x="7272985" y="224462"/>
          <a:ext cx="2035872" cy="871947"/>
        </a:xfrm>
        <a:prstGeom prst="roundRect">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oneCellAnchor>
    <xdr:from>
      <xdr:col>11</xdr:col>
      <xdr:colOff>373080</xdr:colOff>
      <xdr:row>1</xdr:row>
      <xdr:rowOff>139874</xdr:rowOff>
    </xdr:from>
    <xdr:ext cx="1423824" cy="374077"/>
    <xdr:sp macro="" textlink="">
      <xdr:nvSpPr>
        <xdr:cNvPr id="59" name="TextBox 58">
          <a:extLst>
            <a:ext uri="{FF2B5EF4-FFF2-40B4-BE49-F238E27FC236}">
              <a16:creationId xmlns:a16="http://schemas.microsoft.com/office/drawing/2014/main" id="{322BCCFD-9CCC-684E-B63C-3C89585A2127}"/>
            </a:ext>
          </a:extLst>
        </xdr:cNvPr>
        <xdr:cNvSpPr txBox="1"/>
      </xdr:nvSpPr>
      <xdr:spPr>
        <a:xfrm>
          <a:off x="7590309" y="324931"/>
          <a:ext cx="142382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bg1"/>
              </a:solidFill>
            </a:rPr>
            <a:t>Sales Count</a:t>
          </a:r>
          <a:endParaRPr lang="en-AS" sz="1800">
            <a:solidFill>
              <a:schemeClr val="bg1"/>
            </a:solidFill>
          </a:endParaRPr>
        </a:p>
      </xdr:txBody>
    </xdr:sp>
    <xdr:clientData/>
  </xdr:oneCellAnchor>
  <xdr:oneCellAnchor>
    <xdr:from>
      <xdr:col>8</xdr:col>
      <xdr:colOff>265130</xdr:colOff>
      <xdr:row>7</xdr:row>
      <xdr:rowOff>10613</xdr:rowOff>
    </xdr:from>
    <xdr:ext cx="1850058" cy="330603"/>
    <xdr:sp macro="" textlink="">
      <xdr:nvSpPr>
        <xdr:cNvPr id="61" name="TextBox 60">
          <a:extLst>
            <a:ext uri="{FF2B5EF4-FFF2-40B4-BE49-F238E27FC236}">
              <a16:creationId xmlns:a16="http://schemas.microsoft.com/office/drawing/2014/main" id="{7990B977-74D9-F09F-4594-986282C0CBAE}"/>
            </a:ext>
          </a:extLst>
        </xdr:cNvPr>
        <xdr:cNvSpPr txBox="1"/>
      </xdr:nvSpPr>
      <xdr:spPr>
        <a:xfrm>
          <a:off x="5653559" y="1306013"/>
          <a:ext cx="1850058" cy="330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bg1"/>
              </a:solidFill>
            </a:rPr>
            <a:t>Avg Price per Sqm</a:t>
          </a:r>
        </a:p>
      </xdr:txBody>
    </xdr:sp>
    <xdr:clientData/>
  </xdr:oneCellAnchor>
  <xdr:oneCellAnchor>
    <xdr:from>
      <xdr:col>5</xdr:col>
      <xdr:colOff>1112520</xdr:colOff>
      <xdr:row>7</xdr:row>
      <xdr:rowOff>29663</xdr:rowOff>
    </xdr:from>
    <xdr:ext cx="1037143" cy="330603"/>
    <xdr:sp macro="" textlink="">
      <xdr:nvSpPr>
        <xdr:cNvPr id="62" name="TextBox 61">
          <a:extLst>
            <a:ext uri="{FF2B5EF4-FFF2-40B4-BE49-F238E27FC236}">
              <a16:creationId xmlns:a16="http://schemas.microsoft.com/office/drawing/2014/main" id="{08788824-3360-B5ED-8043-2328ED5F1E3A}"/>
            </a:ext>
          </a:extLst>
        </xdr:cNvPr>
        <xdr:cNvSpPr txBox="1"/>
      </xdr:nvSpPr>
      <xdr:spPr>
        <a:xfrm>
          <a:off x="4160520" y="1325063"/>
          <a:ext cx="1037143" cy="330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Avg Price</a:t>
          </a:r>
          <a:endParaRPr lang="en-AS" sz="1600">
            <a:solidFill>
              <a:schemeClr val="bg1"/>
            </a:solidFill>
          </a:endParaRPr>
        </a:p>
      </xdr:txBody>
    </xdr:sp>
    <xdr:clientData/>
  </xdr:oneCellAnchor>
  <xdr:oneCellAnchor>
    <xdr:from>
      <xdr:col>10</xdr:col>
      <xdr:colOff>198120</xdr:colOff>
      <xdr:row>15</xdr:row>
      <xdr:rowOff>144780</xdr:rowOff>
    </xdr:from>
    <xdr:ext cx="184731" cy="264560"/>
    <xdr:sp macro="" textlink="">
      <xdr:nvSpPr>
        <xdr:cNvPr id="64" name="TextBox 63">
          <a:extLst>
            <a:ext uri="{FF2B5EF4-FFF2-40B4-BE49-F238E27FC236}">
              <a16:creationId xmlns:a16="http://schemas.microsoft.com/office/drawing/2014/main" id="{E1C31758-83E5-7325-0EF3-70A80639C7F3}"/>
            </a:ext>
          </a:extLst>
        </xdr:cNvPr>
        <xdr:cNvSpPr txBox="1"/>
      </xdr:nvSpPr>
      <xdr:spPr>
        <a:xfrm>
          <a:off x="6804660" y="288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S" sz="1100"/>
        </a:p>
      </xdr:txBody>
    </xdr:sp>
    <xdr:clientData/>
  </xdr:oneCellAnchor>
  <xdr:oneCellAnchor>
    <xdr:from>
      <xdr:col>12</xdr:col>
      <xdr:colOff>155803</xdr:colOff>
      <xdr:row>3</xdr:row>
      <xdr:rowOff>121180</xdr:rowOff>
    </xdr:from>
    <xdr:ext cx="716984" cy="374077"/>
    <xdr:sp macro="" textlink="$I$16">
      <xdr:nvSpPr>
        <xdr:cNvPr id="65" name="TextBox 64">
          <a:extLst>
            <a:ext uri="{FF2B5EF4-FFF2-40B4-BE49-F238E27FC236}">
              <a16:creationId xmlns:a16="http://schemas.microsoft.com/office/drawing/2014/main" id="{78B24308-A933-5DA6-4083-A395CEB1AF3E}"/>
            </a:ext>
          </a:extLst>
        </xdr:cNvPr>
        <xdr:cNvSpPr txBox="1"/>
      </xdr:nvSpPr>
      <xdr:spPr>
        <a:xfrm>
          <a:off x="7982632" y="676351"/>
          <a:ext cx="71698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B252EC4-3062-4137-AED1-D2140FF90778}" type="TxLink">
            <a:rPr lang="en-US" sz="1800" b="0" i="0" u="none" strike="noStrike">
              <a:solidFill>
                <a:schemeClr val="bg1"/>
              </a:solidFill>
              <a:latin typeface="Aptos Narrow"/>
            </a:rPr>
            <a:pPr/>
            <a:t>2535</a:t>
          </a:fld>
          <a:endParaRPr lang="en-AS" sz="1800">
            <a:solidFill>
              <a:schemeClr val="bg1"/>
            </a:solidFill>
          </a:endParaRPr>
        </a:p>
      </xdr:txBody>
    </xdr:sp>
    <xdr:clientData/>
  </xdr:oneCellAnchor>
  <xdr:oneCellAnchor>
    <xdr:from>
      <xdr:col>7</xdr:col>
      <xdr:colOff>342900</xdr:colOff>
      <xdr:row>16</xdr:row>
      <xdr:rowOff>114300</xdr:rowOff>
    </xdr:from>
    <xdr:ext cx="184731" cy="264560"/>
    <xdr:sp macro="" textlink="">
      <xdr:nvSpPr>
        <xdr:cNvPr id="66" name="TextBox 65">
          <a:extLst>
            <a:ext uri="{FF2B5EF4-FFF2-40B4-BE49-F238E27FC236}">
              <a16:creationId xmlns:a16="http://schemas.microsoft.com/office/drawing/2014/main" id="{C4989D79-13F6-A989-A777-17B15BA703D8}"/>
            </a:ext>
          </a:extLst>
        </xdr:cNvPr>
        <xdr:cNvSpPr txBox="1"/>
      </xdr:nvSpPr>
      <xdr:spPr>
        <a:xfrm>
          <a:off x="5120640" y="3040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S" sz="1100"/>
        </a:p>
      </xdr:txBody>
    </xdr:sp>
    <xdr:clientData/>
  </xdr:oneCellAnchor>
  <xdr:oneCellAnchor>
    <xdr:from>
      <xdr:col>9</xdr:col>
      <xdr:colOff>134257</xdr:colOff>
      <xdr:row>8</xdr:row>
      <xdr:rowOff>162954</xdr:rowOff>
    </xdr:from>
    <xdr:ext cx="797975" cy="330603"/>
    <xdr:sp macro="" textlink="PivotTable!H22">
      <xdr:nvSpPr>
        <xdr:cNvPr id="67" name="TextBox 66">
          <a:extLst>
            <a:ext uri="{FF2B5EF4-FFF2-40B4-BE49-F238E27FC236}">
              <a16:creationId xmlns:a16="http://schemas.microsoft.com/office/drawing/2014/main" id="{97EDE2CA-6657-4F3D-D498-25143D499150}"/>
            </a:ext>
          </a:extLst>
        </xdr:cNvPr>
        <xdr:cNvSpPr txBox="1"/>
      </xdr:nvSpPr>
      <xdr:spPr>
        <a:xfrm>
          <a:off x="6132286" y="1643411"/>
          <a:ext cx="797975" cy="330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C83AD5A-F01D-49D3-956A-602733CED274}" type="TxLink">
            <a:rPr lang="en-US" sz="1600" b="0" i="0" u="none" strike="noStrike">
              <a:solidFill>
                <a:schemeClr val="bg1"/>
              </a:solidFill>
              <a:latin typeface="Trebuchet MS"/>
            </a:rPr>
            <a:pPr/>
            <a:t>$570.93</a:t>
          </a:fld>
          <a:endParaRPr lang="en-US" sz="1600">
            <a:solidFill>
              <a:schemeClr val="bg1"/>
            </a:solidFill>
          </a:endParaRPr>
        </a:p>
      </xdr:txBody>
    </xdr:sp>
    <xdr:clientData/>
  </xdr:oneCellAnchor>
  <xdr:oneCellAnchor>
    <xdr:from>
      <xdr:col>12</xdr:col>
      <xdr:colOff>297180</xdr:colOff>
      <xdr:row>8</xdr:row>
      <xdr:rowOff>149678</xdr:rowOff>
    </xdr:from>
    <xdr:ext cx="594330" cy="374077"/>
    <xdr:sp macro="" textlink="$J$13">
      <xdr:nvSpPr>
        <xdr:cNvPr id="68" name="TextBox 67">
          <a:extLst>
            <a:ext uri="{FF2B5EF4-FFF2-40B4-BE49-F238E27FC236}">
              <a16:creationId xmlns:a16="http://schemas.microsoft.com/office/drawing/2014/main" id="{C276C1A7-8EA8-7036-D49A-569BAE6B9E2F}"/>
            </a:ext>
          </a:extLst>
        </xdr:cNvPr>
        <xdr:cNvSpPr txBox="1"/>
      </xdr:nvSpPr>
      <xdr:spPr>
        <a:xfrm>
          <a:off x="8124009" y="1630135"/>
          <a:ext cx="59433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017F502-E02E-4B28-BA2C-67DCAF7D76CB}" type="TxLink">
            <a:rPr lang="en-US" sz="1800" b="0" i="0" u="none" strike="noStrike">
              <a:solidFill>
                <a:schemeClr val="bg1"/>
              </a:solidFill>
              <a:latin typeface="Aptos Narrow"/>
            </a:rPr>
            <a:pPr/>
            <a:t>72%</a:t>
          </a:fld>
          <a:endParaRPr lang="en-AS" sz="1800">
            <a:solidFill>
              <a:schemeClr val="bg1"/>
            </a:solidFill>
          </a:endParaRPr>
        </a:p>
      </xdr:txBody>
    </xdr:sp>
    <xdr:clientData/>
  </xdr:oneCellAnchor>
  <xdr:twoCellAnchor>
    <xdr:from>
      <xdr:col>3</xdr:col>
      <xdr:colOff>96706</xdr:colOff>
      <xdr:row>11</xdr:row>
      <xdr:rowOff>172723</xdr:rowOff>
    </xdr:from>
    <xdr:to>
      <xdr:col>11</xdr:col>
      <xdr:colOff>242048</xdr:colOff>
      <xdr:row>24</xdr:row>
      <xdr:rowOff>106681</xdr:rowOff>
    </xdr:to>
    <xdr:sp macro="" textlink="">
      <xdr:nvSpPr>
        <xdr:cNvPr id="78" name="Rectangle: Rounded Corners 77">
          <a:extLst>
            <a:ext uri="{FF2B5EF4-FFF2-40B4-BE49-F238E27FC236}">
              <a16:creationId xmlns:a16="http://schemas.microsoft.com/office/drawing/2014/main" id="{F6ACF667-477B-4C5A-8DB0-0A41D2BD100B}"/>
            </a:ext>
          </a:extLst>
        </xdr:cNvPr>
        <xdr:cNvSpPr/>
      </xdr:nvSpPr>
      <xdr:spPr>
        <a:xfrm>
          <a:off x="1925506" y="2144958"/>
          <a:ext cx="5533130" cy="2264782"/>
        </a:xfrm>
        <a:prstGeom prst="roundRect">
          <a:avLst>
            <a:gd name="adj" fmla="val 5901"/>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3</xdr:col>
      <xdr:colOff>86418</xdr:colOff>
      <xdr:row>11</xdr:row>
      <xdr:rowOff>136005</xdr:rowOff>
    </xdr:from>
    <xdr:to>
      <xdr:col>11</xdr:col>
      <xdr:colOff>144780</xdr:colOff>
      <xdr:row>24</xdr:row>
      <xdr:rowOff>45721</xdr:rowOff>
    </xdr:to>
    <xdr:graphicFrame macro="">
      <xdr:nvGraphicFramePr>
        <xdr:cNvPr id="77" name="Chart 76">
          <a:extLst>
            <a:ext uri="{FF2B5EF4-FFF2-40B4-BE49-F238E27FC236}">
              <a16:creationId xmlns:a16="http://schemas.microsoft.com/office/drawing/2014/main" id="{8576B28F-A17A-4250-8E0B-C472E77C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358588</xdr:colOff>
      <xdr:row>11</xdr:row>
      <xdr:rowOff>177067</xdr:rowOff>
    </xdr:from>
    <xdr:to>
      <xdr:col>17</xdr:col>
      <xdr:colOff>174172</xdr:colOff>
      <xdr:row>24</xdr:row>
      <xdr:rowOff>114619</xdr:rowOff>
    </xdr:to>
    <xdr:sp macro="" textlink="">
      <xdr:nvSpPr>
        <xdr:cNvPr id="6" name="Rectangle: Rounded Corners 5">
          <a:extLst>
            <a:ext uri="{FF2B5EF4-FFF2-40B4-BE49-F238E27FC236}">
              <a16:creationId xmlns:a16="http://schemas.microsoft.com/office/drawing/2014/main" id="{175A07D4-DFD4-4189-937A-2EC64BFC3FC6}"/>
            </a:ext>
          </a:extLst>
        </xdr:cNvPr>
        <xdr:cNvSpPr/>
      </xdr:nvSpPr>
      <xdr:spPr>
        <a:xfrm>
          <a:off x="7575817" y="2212696"/>
          <a:ext cx="3473184" cy="2343294"/>
        </a:xfrm>
        <a:prstGeom prst="roundRect">
          <a:avLst>
            <a:gd name="adj" fmla="val 6887"/>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AS" sz="1100"/>
        </a:p>
      </xdr:txBody>
    </xdr:sp>
    <xdr:clientData/>
  </xdr:twoCellAnchor>
  <xdr:twoCellAnchor>
    <xdr:from>
      <xdr:col>11</xdr:col>
      <xdr:colOff>342101</xdr:colOff>
      <xdr:row>13</xdr:row>
      <xdr:rowOff>168564</xdr:rowOff>
    </xdr:from>
    <xdr:to>
      <xdr:col>19</xdr:col>
      <xdr:colOff>285250</xdr:colOff>
      <xdr:row>24</xdr:row>
      <xdr:rowOff>152400</xdr:rowOff>
    </xdr:to>
    <xdr:graphicFrame macro="">
      <xdr:nvGraphicFramePr>
        <xdr:cNvPr id="7" name="Chart 6">
          <a:extLst>
            <a:ext uri="{FF2B5EF4-FFF2-40B4-BE49-F238E27FC236}">
              <a16:creationId xmlns:a16="http://schemas.microsoft.com/office/drawing/2014/main" id="{9C2B66C7-797B-4C1A-B4A9-FCD925D67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308965</xdr:colOff>
      <xdr:row>11</xdr:row>
      <xdr:rowOff>168482</xdr:rowOff>
    </xdr:from>
    <xdr:ext cx="2159245" cy="374077"/>
    <xdr:sp macro="" textlink="">
      <xdr:nvSpPr>
        <xdr:cNvPr id="8" name="TextBox 7">
          <a:extLst>
            <a:ext uri="{FF2B5EF4-FFF2-40B4-BE49-F238E27FC236}">
              <a16:creationId xmlns:a16="http://schemas.microsoft.com/office/drawing/2014/main" id="{578CD14B-AD6A-29E9-CA02-59E40C4F6CCB}"/>
            </a:ext>
          </a:extLst>
        </xdr:cNvPr>
        <xdr:cNvSpPr txBox="1"/>
      </xdr:nvSpPr>
      <xdr:spPr>
        <a:xfrm>
          <a:off x="8135794" y="2204111"/>
          <a:ext cx="215924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Locality Sales Status</a:t>
          </a:r>
          <a:endParaRPr lang="en-AS" sz="1800" b="1">
            <a:solidFill>
              <a:schemeClr val="bg1"/>
            </a:solidFill>
          </a:endParaRPr>
        </a:p>
      </xdr:txBody>
    </xdr:sp>
    <xdr:clientData/>
  </xdr:oneCellAnchor>
  <xdr:twoCellAnchor>
    <xdr:from>
      <xdr:col>17</xdr:col>
      <xdr:colOff>315685</xdr:colOff>
      <xdr:row>12</xdr:row>
      <xdr:rowOff>8965</xdr:rowOff>
    </xdr:from>
    <xdr:to>
      <xdr:col>24</xdr:col>
      <xdr:colOff>289558</xdr:colOff>
      <xdr:row>24</xdr:row>
      <xdr:rowOff>134470</xdr:rowOff>
    </xdr:to>
    <xdr:sp macro="" textlink="">
      <xdr:nvSpPr>
        <xdr:cNvPr id="13" name="Rectangle: Rounded Corners 12">
          <a:extLst>
            <a:ext uri="{FF2B5EF4-FFF2-40B4-BE49-F238E27FC236}">
              <a16:creationId xmlns:a16="http://schemas.microsoft.com/office/drawing/2014/main" id="{135E7536-A61C-4C00-BE1E-6D319A8FA086}"/>
            </a:ext>
          </a:extLst>
        </xdr:cNvPr>
        <xdr:cNvSpPr/>
      </xdr:nvSpPr>
      <xdr:spPr>
        <a:xfrm>
          <a:off x="11190514" y="2229651"/>
          <a:ext cx="4241073" cy="2346190"/>
        </a:xfrm>
        <a:prstGeom prst="roundRect">
          <a:avLst>
            <a:gd name="adj" fmla="val 6952"/>
          </a:avLst>
        </a:prstGeom>
        <a:gradFill>
          <a:gsLst>
            <a:gs pos="0">
              <a:schemeClr val="accent5">
                <a:lumMod val="100000"/>
              </a:schemeClr>
            </a:gs>
            <a:gs pos="66000">
              <a:schemeClr val="accent5">
                <a:lumMod val="50000"/>
              </a:schemeClr>
            </a:gs>
          </a:gsLst>
          <a:lin ang="5400000" scaled="1"/>
        </a:gra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3</xdr:col>
      <xdr:colOff>95794</xdr:colOff>
      <xdr:row>25</xdr:row>
      <xdr:rowOff>20619</xdr:rowOff>
    </xdr:from>
    <xdr:to>
      <xdr:col>11</xdr:col>
      <xdr:colOff>251012</xdr:colOff>
      <xdr:row>42</xdr:row>
      <xdr:rowOff>13336</xdr:rowOff>
    </xdr:to>
    <xdr:sp macro="" textlink="">
      <xdr:nvSpPr>
        <xdr:cNvPr id="16" name="Rectangle: Rounded Corners 15">
          <a:extLst>
            <a:ext uri="{FF2B5EF4-FFF2-40B4-BE49-F238E27FC236}">
              <a16:creationId xmlns:a16="http://schemas.microsoft.com/office/drawing/2014/main" id="{971948A0-6C5E-FB0D-50DF-05806F5D301A}"/>
            </a:ext>
          </a:extLst>
        </xdr:cNvPr>
        <xdr:cNvSpPr/>
      </xdr:nvSpPr>
      <xdr:spPr>
        <a:xfrm>
          <a:off x="1924594" y="4502972"/>
          <a:ext cx="5543006" cy="3040717"/>
        </a:xfrm>
        <a:prstGeom prst="roundRect">
          <a:avLst>
            <a:gd name="adj" fmla="val 3625"/>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oneCellAnchor>
    <xdr:from>
      <xdr:col>4</xdr:col>
      <xdr:colOff>192839</xdr:colOff>
      <xdr:row>25</xdr:row>
      <xdr:rowOff>48507</xdr:rowOff>
    </xdr:from>
    <xdr:ext cx="3807068" cy="360355"/>
    <xdr:sp macro="" textlink="">
      <xdr:nvSpPr>
        <xdr:cNvPr id="32" name="TextBox 31">
          <a:extLst>
            <a:ext uri="{FF2B5EF4-FFF2-40B4-BE49-F238E27FC236}">
              <a16:creationId xmlns:a16="http://schemas.microsoft.com/office/drawing/2014/main" id="{A03EA28E-082D-5054-840E-5043B71BE127}"/>
            </a:ext>
          </a:extLst>
        </xdr:cNvPr>
        <xdr:cNvSpPr txBox="1"/>
      </xdr:nvSpPr>
      <xdr:spPr>
        <a:xfrm>
          <a:off x="2631239" y="4674936"/>
          <a:ext cx="3807068" cy="360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a:solidFill>
                <a:schemeClr val="bg1"/>
              </a:solidFill>
            </a:rPr>
            <a:t>Avg Estimated Value</a:t>
          </a:r>
          <a:r>
            <a:rPr lang="en-US" sz="1800" b="1" baseline="0">
              <a:solidFill>
                <a:schemeClr val="bg1"/>
              </a:solidFill>
            </a:rPr>
            <a:t> </a:t>
          </a:r>
          <a:r>
            <a:rPr lang="en-US" sz="1800" b="1">
              <a:solidFill>
                <a:schemeClr val="bg1"/>
              </a:solidFill>
            </a:rPr>
            <a:t>vs</a:t>
          </a:r>
          <a:r>
            <a:rPr lang="en-US" sz="1800" b="1" baseline="0">
              <a:solidFill>
                <a:schemeClr val="bg1"/>
              </a:solidFill>
            </a:rPr>
            <a:t> </a:t>
          </a:r>
          <a:r>
            <a:rPr lang="en-US" sz="1800" b="1">
              <a:solidFill>
                <a:schemeClr val="bg1"/>
              </a:solidFill>
            </a:rPr>
            <a:t>Sale</a:t>
          </a:r>
          <a:r>
            <a:rPr lang="en-US" sz="1800" b="1" baseline="0">
              <a:solidFill>
                <a:schemeClr val="bg1"/>
              </a:solidFill>
            </a:rPr>
            <a:t> Price</a:t>
          </a:r>
          <a:endParaRPr lang="en-AS" sz="1800" b="1">
            <a:solidFill>
              <a:schemeClr val="bg1"/>
            </a:solidFill>
          </a:endParaRPr>
        </a:p>
      </xdr:txBody>
    </xdr:sp>
    <xdr:clientData/>
  </xdr:oneCellAnchor>
  <xdr:twoCellAnchor>
    <xdr:from>
      <xdr:col>17</xdr:col>
      <xdr:colOff>348342</xdr:colOff>
      <xdr:row>12</xdr:row>
      <xdr:rowOff>76201</xdr:rowOff>
    </xdr:from>
    <xdr:to>
      <xdr:col>24</xdr:col>
      <xdr:colOff>424031</xdr:colOff>
      <xdr:row>24</xdr:row>
      <xdr:rowOff>66226</xdr:rowOff>
    </xdr:to>
    <xdr:graphicFrame macro="">
      <xdr:nvGraphicFramePr>
        <xdr:cNvPr id="33" name="Chart 32">
          <a:extLst>
            <a:ext uri="{FF2B5EF4-FFF2-40B4-BE49-F238E27FC236}">
              <a16:creationId xmlns:a16="http://schemas.microsoft.com/office/drawing/2014/main" id="{446B6EC7-45E0-4162-B6B8-A7CDBF041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337457</xdr:colOff>
      <xdr:row>25</xdr:row>
      <xdr:rowOff>101518</xdr:rowOff>
    </xdr:from>
    <xdr:to>
      <xdr:col>24</xdr:col>
      <xdr:colOff>299335</xdr:colOff>
      <xdr:row>42</xdr:row>
      <xdr:rowOff>26894</xdr:rowOff>
    </xdr:to>
    <xdr:sp macro="" textlink="">
      <xdr:nvSpPr>
        <xdr:cNvPr id="35" name="Rectangle: Rounded Corners 34">
          <a:extLst>
            <a:ext uri="{FF2B5EF4-FFF2-40B4-BE49-F238E27FC236}">
              <a16:creationId xmlns:a16="http://schemas.microsoft.com/office/drawing/2014/main" id="{B6605125-9FC5-4C69-AAC6-3B6394E27AFF}"/>
            </a:ext>
          </a:extLst>
        </xdr:cNvPr>
        <xdr:cNvSpPr/>
      </xdr:nvSpPr>
      <xdr:spPr>
        <a:xfrm>
          <a:off x="11212286" y="4727947"/>
          <a:ext cx="4229078" cy="3071347"/>
        </a:xfrm>
        <a:prstGeom prst="roundRect">
          <a:avLst>
            <a:gd name="adj" fmla="val 4678"/>
          </a:avLst>
        </a:prstGeom>
        <a:gradFill>
          <a:gsLst>
            <a:gs pos="0">
              <a:schemeClr val="accent5">
                <a:lumMod val="100000"/>
              </a:schemeClr>
            </a:gs>
            <a:gs pos="66000">
              <a:schemeClr val="accent5">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17</xdr:col>
      <xdr:colOff>259978</xdr:colOff>
      <xdr:row>26</xdr:row>
      <xdr:rowOff>17929</xdr:rowOff>
    </xdr:from>
    <xdr:to>
      <xdr:col>24</xdr:col>
      <xdr:colOff>116542</xdr:colOff>
      <xdr:row>42</xdr:row>
      <xdr:rowOff>109947</xdr:rowOff>
    </xdr:to>
    <xdr:graphicFrame macro="">
      <xdr:nvGraphicFramePr>
        <xdr:cNvPr id="36" name="Chart 35">
          <a:extLst>
            <a:ext uri="{FF2B5EF4-FFF2-40B4-BE49-F238E27FC236}">
              <a16:creationId xmlns:a16="http://schemas.microsoft.com/office/drawing/2014/main" id="{7307A66A-F209-4DB2-BC01-B6A5B7FC7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171309</xdr:colOff>
      <xdr:row>27</xdr:row>
      <xdr:rowOff>127530</xdr:rowOff>
    </xdr:from>
    <xdr:to>
      <xdr:col>2</xdr:col>
      <xdr:colOff>577505</xdr:colOff>
      <xdr:row>34</xdr:row>
      <xdr:rowOff>47058</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A6A53CC9-DE67-4886-A30E-3F16668280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1309" y="5124073"/>
              <a:ext cx="1625396" cy="1214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226019</xdr:colOff>
      <xdr:row>7</xdr:row>
      <xdr:rowOff>30416</xdr:rowOff>
    </xdr:from>
    <xdr:to>
      <xdr:col>5</xdr:col>
      <xdr:colOff>609601</xdr:colOff>
      <xdr:row>10</xdr:row>
      <xdr:rowOff>130630</xdr:rowOff>
    </xdr:to>
    <mc:AlternateContent xmlns:mc="http://schemas.openxmlformats.org/markup-compatibility/2006" xmlns:a14="http://schemas.microsoft.com/office/drawing/2010/main">
      <mc:Choice Requires="a14">
        <xdr:graphicFrame macro="">
          <xdr:nvGraphicFramePr>
            <xdr:cNvPr id="39" name="Residential">
              <a:extLst>
                <a:ext uri="{FF2B5EF4-FFF2-40B4-BE49-F238E27FC236}">
                  <a16:creationId xmlns:a16="http://schemas.microsoft.com/office/drawing/2014/main" id="{746F42C7-326D-42A1-8A8C-C880CB00ADE7}"/>
                </a:ext>
              </a:extLst>
            </xdr:cNvPr>
            <xdr:cNvGraphicFramePr/>
          </xdr:nvGraphicFramePr>
          <xdr:xfrm>
            <a:off x="0" y="0"/>
            <a:ext cx="0" cy="0"/>
          </xdr:xfrm>
          <a:graphic>
            <a:graphicData uri="http://schemas.microsoft.com/office/drawing/2010/slicer">
              <sle:slicer xmlns:sle="http://schemas.microsoft.com/office/drawing/2010/slicer" name="Residential"/>
            </a:graphicData>
          </a:graphic>
        </xdr:graphicFrame>
      </mc:Choice>
      <mc:Fallback xmlns="">
        <xdr:sp macro="" textlink="">
          <xdr:nvSpPr>
            <xdr:cNvPr id="0" name=""/>
            <xdr:cNvSpPr>
              <a:spLocks noTextEdit="1"/>
            </xdr:cNvSpPr>
          </xdr:nvSpPr>
          <xdr:spPr>
            <a:xfrm>
              <a:off x="226019" y="1325816"/>
              <a:ext cx="3431582" cy="655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160049</xdr:colOff>
      <xdr:row>35</xdr:row>
      <xdr:rowOff>35801</xdr:rowOff>
    </xdr:from>
    <xdr:to>
      <xdr:col>2</xdr:col>
      <xdr:colOff>549174</xdr:colOff>
      <xdr:row>41</xdr:row>
      <xdr:rowOff>139731</xdr:rowOff>
    </xdr:to>
    <mc:AlternateContent xmlns:mc="http://schemas.openxmlformats.org/markup-compatibility/2006" xmlns:a14="http://schemas.microsoft.com/office/drawing/2010/main">
      <mc:Choice Requires="a14">
        <xdr:graphicFrame macro="">
          <xdr:nvGraphicFramePr>
            <xdr:cNvPr id="12" name="Month_No">
              <a:extLst>
                <a:ext uri="{FF2B5EF4-FFF2-40B4-BE49-F238E27FC236}">
                  <a16:creationId xmlns:a16="http://schemas.microsoft.com/office/drawing/2014/main" id="{8C820FCA-50B4-41E6-A844-5BC653886B41}"/>
                </a:ext>
              </a:extLst>
            </xdr:cNvPr>
            <xdr:cNvGraphicFramePr/>
          </xdr:nvGraphicFramePr>
          <xdr:xfrm>
            <a:off x="0" y="0"/>
            <a:ext cx="0" cy="0"/>
          </xdr:xfrm>
          <a:graphic>
            <a:graphicData uri="http://schemas.microsoft.com/office/drawing/2010/slicer">
              <sle:slicer xmlns:sle="http://schemas.microsoft.com/office/drawing/2010/slicer" name="Month_No"/>
            </a:graphicData>
          </a:graphic>
        </xdr:graphicFrame>
      </mc:Choice>
      <mc:Fallback xmlns="">
        <xdr:sp macro="" textlink="">
          <xdr:nvSpPr>
            <xdr:cNvPr id="0" name=""/>
            <xdr:cNvSpPr>
              <a:spLocks noTextEdit="1"/>
            </xdr:cNvSpPr>
          </xdr:nvSpPr>
          <xdr:spPr>
            <a:xfrm>
              <a:off x="160049" y="6512801"/>
              <a:ext cx="1608325" cy="1214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107104</xdr:colOff>
      <xdr:row>9</xdr:row>
      <xdr:rowOff>53764</xdr:rowOff>
    </xdr:from>
    <xdr:ext cx="227819" cy="374077"/>
    <xdr:sp macro="" textlink="PivotTable!#REF!">
      <xdr:nvSpPr>
        <xdr:cNvPr id="15" name="TextBox 14">
          <a:extLst>
            <a:ext uri="{FF2B5EF4-FFF2-40B4-BE49-F238E27FC236}">
              <a16:creationId xmlns:a16="http://schemas.microsoft.com/office/drawing/2014/main" id="{50E0E30A-690B-489E-BEA4-15E6BD94576D}"/>
            </a:ext>
          </a:extLst>
        </xdr:cNvPr>
        <xdr:cNvSpPr txBox="1"/>
      </xdr:nvSpPr>
      <xdr:spPr>
        <a:xfrm>
          <a:off x="7981104" y="1673014"/>
          <a:ext cx="22781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9C3393-680A-4AE1-9A99-BDDBC9D542FC}" type="TxLink">
            <a:rPr lang="en-US" sz="1800" b="0" i="0" u="none" strike="noStrike">
              <a:solidFill>
                <a:schemeClr val="bg1"/>
              </a:solidFill>
              <a:latin typeface="Aptos Narrow"/>
            </a:rPr>
            <a:pPr/>
            <a:t> </a:t>
          </a:fld>
          <a:endParaRPr lang="en-US" sz="3200">
            <a:solidFill>
              <a:schemeClr val="bg1"/>
            </a:solidFill>
          </a:endParaRPr>
        </a:p>
      </xdr:txBody>
    </xdr:sp>
    <xdr:clientData/>
  </xdr:oneCellAnchor>
  <xdr:oneCellAnchor>
    <xdr:from>
      <xdr:col>5</xdr:col>
      <xdr:colOff>985520</xdr:colOff>
      <xdr:row>9</xdr:row>
      <xdr:rowOff>19294</xdr:rowOff>
    </xdr:from>
    <xdr:ext cx="1322670" cy="360355"/>
    <xdr:sp macro="" textlink="'V3'!F2538">
      <xdr:nvSpPr>
        <xdr:cNvPr id="4" name="TextBox 3">
          <a:extLst>
            <a:ext uri="{FF2B5EF4-FFF2-40B4-BE49-F238E27FC236}">
              <a16:creationId xmlns:a16="http://schemas.microsoft.com/office/drawing/2014/main" id="{6FA649C7-95A5-49F8-A953-B52BA08ED3AC}"/>
            </a:ext>
          </a:extLst>
        </xdr:cNvPr>
        <xdr:cNvSpPr txBox="1"/>
      </xdr:nvSpPr>
      <xdr:spPr>
        <a:xfrm>
          <a:off x="4033520" y="1684808"/>
          <a:ext cx="1322670" cy="360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8A3E019-6F7D-4D58-AB95-ED9F198D1AA5}" type="TxLink">
            <a:rPr lang="en-US" sz="1800" b="0" i="0" u="none" strike="noStrike">
              <a:solidFill>
                <a:schemeClr val="bg1"/>
              </a:solidFill>
              <a:latin typeface="Trebuchet MS"/>
            </a:rPr>
            <a:pPr/>
            <a:t>$1,177,429</a:t>
          </a:fld>
          <a:endParaRPr lang="en-US" sz="1800">
            <a:solidFill>
              <a:schemeClr val="bg1"/>
            </a:solidFill>
          </a:endParaRPr>
        </a:p>
      </xdr:txBody>
    </xdr:sp>
    <xdr:clientData/>
  </xdr:oneCellAnchor>
  <xdr:oneCellAnchor>
    <xdr:from>
      <xdr:col>11</xdr:col>
      <xdr:colOff>423358</xdr:colOff>
      <xdr:row>7</xdr:row>
      <xdr:rowOff>46472</xdr:rowOff>
    </xdr:from>
    <xdr:ext cx="1608517" cy="330603"/>
    <xdr:sp macro="" textlink="">
      <xdr:nvSpPr>
        <xdr:cNvPr id="18" name="TextBox 17">
          <a:extLst>
            <a:ext uri="{FF2B5EF4-FFF2-40B4-BE49-F238E27FC236}">
              <a16:creationId xmlns:a16="http://schemas.microsoft.com/office/drawing/2014/main" id="{1ADBD519-2227-4379-B961-D8F04E36274D}"/>
            </a:ext>
          </a:extLst>
        </xdr:cNvPr>
        <xdr:cNvSpPr txBox="1"/>
      </xdr:nvSpPr>
      <xdr:spPr>
        <a:xfrm>
          <a:off x="7640587" y="1341872"/>
          <a:ext cx="1608517" cy="330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Above Estimate</a:t>
          </a:r>
          <a:endParaRPr lang="en-AS" sz="1600">
            <a:solidFill>
              <a:schemeClr val="bg1"/>
            </a:solidFill>
          </a:endParaRPr>
        </a:p>
      </xdr:txBody>
    </xdr:sp>
    <xdr:clientData/>
  </xdr:oneCellAnchor>
  <xdr:twoCellAnchor>
    <xdr:from>
      <xdr:col>0</xdr:col>
      <xdr:colOff>397755</xdr:colOff>
      <xdr:row>26</xdr:row>
      <xdr:rowOff>53341</xdr:rowOff>
    </xdr:from>
    <xdr:to>
      <xdr:col>15</xdr:col>
      <xdr:colOff>2153</xdr:colOff>
      <xdr:row>42</xdr:row>
      <xdr:rowOff>39189</xdr:rowOff>
    </xdr:to>
    <xdr:graphicFrame macro="">
      <xdr:nvGraphicFramePr>
        <xdr:cNvPr id="10" name="Chart 17">
          <a:extLst>
            <a:ext uri="{FF2B5EF4-FFF2-40B4-BE49-F238E27FC236}">
              <a16:creationId xmlns:a16="http://schemas.microsoft.com/office/drawing/2014/main" id="{27345CD7-FC7B-4DF0-B276-6C842F1C4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51868</xdr:colOff>
      <xdr:row>25</xdr:row>
      <xdr:rowOff>119742</xdr:rowOff>
    </xdr:from>
    <xdr:to>
      <xdr:col>18</xdr:col>
      <xdr:colOff>174171</xdr:colOff>
      <xdr:row>42</xdr:row>
      <xdr:rowOff>86444</xdr:rowOff>
    </xdr:to>
    <xdr:graphicFrame macro="">
      <xdr:nvGraphicFramePr>
        <xdr:cNvPr id="19" name="Chart 18">
          <a:extLst>
            <a:ext uri="{FF2B5EF4-FFF2-40B4-BE49-F238E27FC236}">
              <a16:creationId xmlns:a16="http://schemas.microsoft.com/office/drawing/2014/main" id="{73235D9A-7FF0-4146-968A-16427B981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894008333336" missingItemsLimit="0" createdVersion="8" refreshedVersion="8" minRefreshableVersion="3" recordCount="2535" xr:uid="{6E39CE51-057B-4057-A246-E306AFE885F7}">
  <cacheSource type="worksheet">
    <worksheetSource name="V3_"/>
  </cacheSource>
  <cacheFields count="19">
    <cacheField name="Date" numFmtId="14">
      <sharedItems containsSemiMixedTypes="0" containsNonDate="0" containsDate="1" containsString="0" minDate="2009-01-02T00:00:00" maxDate="2022-10-01T00:00:00"/>
    </cacheField>
    <cacheField name="Year" numFmtId="0">
      <sharedItems containsSemiMixedTypes="0" containsString="0" containsNumber="1" containsInteger="1" minValue="2009" maxValue="2022" count="14">
        <n v="2009"/>
        <n v="2010"/>
        <n v="2011"/>
        <n v="2012"/>
        <n v="2013"/>
        <n v="2014"/>
        <n v="2015"/>
        <n v="2016"/>
        <n v="2017"/>
        <n v="2018"/>
        <n v="2019"/>
        <n v="2020"/>
        <n v="2021"/>
        <n v="2022"/>
      </sharedItems>
    </cacheField>
    <cacheField name="Locality" numFmtId="0">
      <sharedItems count="8">
        <s v="Waterbury"/>
        <s v="Norwalk"/>
        <s v="Bridgeport"/>
        <s v="Greenwich"/>
        <s v="Fairfield"/>
        <s v="Unknown"/>
        <s v="West Hartford"/>
        <s v="Stamford"/>
      </sharedItems>
    </cacheField>
    <cacheField name="Estimated Value" numFmtId="166">
      <sharedItems containsSemiMixedTypes="0" containsString="0" containsNumber="1" minValue="0" maxValue="7756490"/>
    </cacheField>
    <cacheField name="Sale Price" numFmtId="166">
      <sharedItems containsSemiMixedTypes="0" containsString="0" containsNumber="1" containsInteger="1" minValue="2000" maxValue="11200000"/>
    </cacheField>
    <cacheField name="Property" numFmtId="0">
      <sharedItems count="4">
        <s v="Single Family"/>
        <s v="Two Family"/>
        <s v="Three Family"/>
        <s v="Four Family"/>
      </sharedItems>
    </cacheField>
    <cacheField name="Residential" numFmtId="0">
      <sharedItems count="4">
        <s v="Detached House"/>
        <s v="Duplex"/>
        <s v="Triplex"/>
        <s v="Fourplex"/>
      </sharedItems>
    </cacheField>
    <cacheField name="num_rooms" numFmtId="0">
      <sharedItems containsSemiMixedTypes="0" containsString="0" containsNumber="1" containsInteger="1" minValue="3" maxValue="8" count="4">
        <n v="3"/>
        <n v="4"/>
        <n v="6"/>
        <n v="8"/>
      </sharedItems>
    </cacheField>
    <cacheField name="num_bathrooms" numFmtId="0">
      <sharedItems containsSemiMixedTypes="0" containsString="0" containsNumber="1" containsInteger="1" minValue="1" maxValue="8"/>
    </cacheField>
    <cacheField name="carpet_area" numFmtId="0">
      <sharedItems containsSemiMixedTypes="0" containsString="0" containsNumber="1" minValue="900" maxValue="2989"/>
    </cacheField>
    <cacheField name="property_tax_rate" numFmtId="10">
      <sharedItems containsSemiMixedTypes="0" containsString="0" containsNumber="1" minValue="1.003979E-2" maxValue="1.4223080000000001E-2"/>
    </cacheField>
    <cacheField name="Face" numFmtId="0">
      <sharedItems count="4">
        <s v="South"/>
        <s v="North"/>
        <s v="West"/>
        <s v="East"/>
      </sharedItems>
    </cacheField>
    <cacheField name="Price_Difference" numFmtId="166">
      <sharedItems containsSemiMixedTypes="0" containsString="0" containsNumber="1" minValue="-1299220" maxValue="8255415.7929999996"/>
    </cacheField>
    <cacheField name="Price_Per_Sqm" numFmtId="165">
      <sharedItems containsSemiMixedTypes="0" containsString="0" containsNumber="1" minValue="1.3569" maxValue="11558.307500000001"/>
    </cacheField>
    <cacheField name="Sale_Status" numFmtId="0">
      <sharedItems count="3">
        <s v="Above Estimate"/>
        <s v="Below Estimate"/>
        <s v="Equal"/>
      </sharedItems>
    </cacheField>
    <cacheField name="Price_Category" numFmtId="0">
      <sharedItems/>
    </cacheField>
    <cacheField name="Size_Category" numFmtId="0">
      <sharedItems/>
    </cacheField>
    <cacheField name="Month" numFmtId="0">
      <sharedItems/>
    </cacheField>
    <cacheField name="Month_No"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288316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5">
  <r>
    <d v="2009-01-02T00:00:00"/>
    <x v="0"/>
    <x v="0"/>
    <n v="111440"/>
    <n v="185000"/>
    <x v="0"/>
    <x v="0"/>
    <x v="0"/>
    <n v="3"/>
    <n v="996"/>
    <n v="1.0259529999999999E-2"/>
    <x v="0"/>
    <n v="73560"/>
    <n v="185.74299999999999"/>
    <x v="0"/>
    <s v="Low"/>
    <s v="Medium"/>
    <s v="January"/>
    <x v="0"/>
  </r>
  <r>
    <d v="2009-01-03T00:00:00"/>
    <x v="0"/>
    <x v="1"/>
    <n v="444584.20699999999"/>
    <n v="1340000"/>
    <x v="0"/>
    <x v="0"/>
    <x v="0"/>
    <n v="1"/>
    <n v="936"/>
    <n v="1.0259529999999999E-2"/>
    <x v="1"/>
    <n v="895415.79299999995"/>
    <n v="1431.6239"/>
    <x v="0"/>
    <s v="High"/>
    <s v="Medium"/>
    <s v="January"/>
    <x v="0"/>
  </r>
  <r>
    <d v="2009-01-04T00:00:00"/>
    <x v="0"/>
    <x v="2"/>
    <n v="444584.20699999999"/>
    <n v="410000"/>
    <x v="1"/>
    <x v="1"/>
    <x v="1"/>
    <n v="3"/>
    <n v="1498"/>
    <n v="1.0259529999999999E-2"/>
    <x v="2"/>
    <n v="-34584.207000000002"/>
    <n v="273.69830000000002"/>
    <x v="1"/>
    <s v="Medium"/>
    <s v="Large"/>
    <s v="January"/>
    <x v="0"/>
  </r>
  <r>
    <d v="2009-01-09T00:00:00"/>
    <x v="0"/>
    <x v="2"/>
    <n v="135870"/>
    <n v="362560"/>
    <x v="1"/>
    <x v="1"/>
    <x v="1"/>
    <n v="2"/>
    <n v="1338"/>
    <n v="1.0259529999999999E-2"/>
    <x v="2"/>
    <n v="226690"/>
    <n v="270.97160000000002"/>
    <x v="0"/>
    <s v="Medium"/>
    <s v="Large"/>
    <s v="January"/>
    <x v="0"/>
  </r>
  <r>
    <d v="2009-01-10T00:00:00"/>
    <x v="0"/>
    <x v="2"/>
    <n v="444584.20699999999"/>
    <n v="269900"/>
    <x v="0"/>
    <x v="0"/>
    <x v="0"/>
    <n v="1"/>
    <n v="1008"/>
    <n v="1.0259529999999999E-2"/>
    <x v="2"/>
    <n v="-174684.20699999999"/>
    <n v="267.75790000000001"/>
    <x v="1"/>
    <s v="Medium"/>
    <s v="Medium"/>
    <s v="January"/>
    <x v="0"/>
  </r>
  <r>
    <d v="2009-01-12T00:00:00"/>
    <x v="0"/>
    <x v="3"/>
    <n v="2215010"/>
    <n v="2925000"/>
    <x v="0"/>
    <x v="0"/>
    <x v="0"/>
    <n v="2"/>
    <n v="1065"/>
    <n v="1.0259529999999999E-2"/>
    <x v="2"/>
    <n v="709990"/>
    <n v="2746.4789000000001"/>
    <x v="0"/>
    <s v="High"/>
    <s v="Medium"/>
    <s v="January"/>
    <x v="0"/>
  </r>
  <r>
    <d v="2009-01-16T00:00:00"/>
    <x v="0"/>
    <x v="2"/>
    <n v="159460"/>
    <n v="384000"/>
    <x v="2"/>
    <x v="2"/>
    <x v="2"/>
    <n v="4"/>
    <n v="2131"/>
    <n v="1.0259529999999999E-2"/>
    <x v="2"/>
    <n v="224540"/>
    <n v="180.19710000000001"/>
    <x v="0"/>
    <s v="Medium"/>
    <s v="Large"/>
    <s v="January"/>
    <x v="0"/>
  </r>
  <r>
    <d v="2009-01-17T00:00:00"/>
    <x v="0"/>
    <x v="0"/>
    <n v="444584.20699999999"/>
    <n v="265000"/>
    <x v="2"/>
    <x v="2"/>
    <x v="2"/>
    <n v="5"/>
    <n v="1892"/>
    <n v="1.0259529999999999E-2"/>
    <x v="0"/>
    <n v="-179584.20699999999"/>
    <n v="140.0634"/>
    <x v="1"/>
    <s v="Medium"/>
    <s v="Large"/>
    <s v="January"/>
    <x v="0"/>
  </r>
  <r>
    <d v="2009-01-18T00:00:00"/>
    <x v="0"/>
    <x v="2"/>
    <n v="128381"/>
    <n v="330000"/>
    <x v="0"/>
    <x v="0"/>
    <x v="0"/>
    <n v="3"/>
    <n v="959"/>
    <n v="1.0259529999999999E-2"/>
    <x v="1"/>
    <n v="201619"/>
    <n v="344.10840000000002"/>
    <x v="0"/>
    <s v="Medium"/>
    <s v="Medium"/>
    <s v="January"/>
    <x v="0"/>
  </r>
  <r>
    <d v="2009-01-19T00:00:00"/>
    <x v="0"/>
    <x v="2"/>
    <n v="444584.20699999999"/>
    <n v="137000"/>
    <x v="0"/>
    <x v="0"/>
    <x v="0"/>
    <n v="1"/>
    <n v="1079"/>
    <n v="1.0259529999999999E-2"/>
    <x v="1"/>
    <n v="-307584.20699999999"/>
    <n v="126.96939999999999"/>
    <x v="1"/>
    <s v="Low"/>
    <s v="Medium"/>
    <s v="January"/>
    <x v="0"/>
  </r>
  <r>
    <d v="2009-01-22T00:00:00"/>
    <x v="0"/>
    <x v="0"/>
    <n v="53200"/>
    <n v="289000"/>
    <x v="0"/>
    <x v="0"/>
    <x v="0"/>
    <n v="3"/>
    <n v="999"/>
    <n v="1.0259529999999999E-2"/>
    <x v="1"/>
    <n v="235800"/>
    <n v="289.28930000000003"/>
    <x v="0"/>
    <s v="Medium"/>
    <s v="Medium"/>
    <s v="January"/>
    <x v="0"/>
  </r>
  <r>
    <d v="2009-01-23T00:00:00"/>
    <x v="0"/>
    <x v="2"/>
    <n v="105560"/>
    <n v="224500"/>
    <x v="0"/>
    <x v="0"/>
    <x v="0"/>
    <n v="1"/>
    <n v="1062"/>
    <n v="1.0259529999999999E-2"/>
    <x v="3"/>
    <n v="118940"/>
    <n v="211.39359999999999"/>
    <x v="0"/>
    <s v="Medium"/>
    <s v="Medium"/>
    <s v="January"/>
    <x v="0"/>
  </r>
  <r>
    <d v="2009-01-26T00:00:00"/>
    <x v="0"/>
    <x v="4"/>
    <n v="451500"/>
    <n v="1000000"/>
    <x v="0"/>
    <x v="0"/>
    <x v="0"/>
    <n v="1"/>
    <n v="1064"/>
    <n v="1.0259529999999999E-2"/>
    <x v="0"/>
    <n v="548500"/>
    <n v="939.84960000000001"/>
    <x v="0"/>
    <s v="High"/>
    <s v="Medium"/>
    <s v="January"/>
    <x v="0"/>
  </r>
  <r>
    <d v="2009-01-27T00:00:00"/>
    <x v="0"/>
    <x v="5"/>
    <n v="78050"/>
    <n v="82500"/>
    <x v="0"/>
    <x v="0"/>
    <x v="0"/>
    <n v="2"/>
    <n v="934"/>
    <n v="1.0259529999999999E-2"/>
    <x v="1"/>
    <n v="4450"/>
    <n v="88.329800000000006"/>
    <x v="0"/>
    <s v="Low"/>
    <s v="Medium"/>
    <s v="January"/>
    <x v="0"/>
  </r>
  <r>
    <d v="2009-01-29T00:00:00"/>
    <x v="0"/>
    <x v="5"/>
    <n v="2501660"/>
    <n v="4475000"/>
    <x v="0"/>
    <x v="0"/>
    <x v="0"/>
    <n v="1"/>
    <n v="1111.6589814177564"/>
    <n v="1.0259529999999999E-2"/>
    <x v="2"/>
    <n v="1973340"/>
    <n v="4025.5151000000001"/>
    <x v="0"/>
    <s v="High"/>
    <s v="Medium"/>
    <s v="January"/>
    <x v="0"/>
  </r>
  <r>
    <d v="2009-01-30T00:00:00"/>
    <x v="0"/>
    <x v="0"/>
    <n v="59010"/>
    <n v="129900"/>
    <x v="0"/>
    <x v="0"/>
    <x v="0"/>
    <n v="1"/>
    <n v="1046"/>
    <n v="1.0259529999999999E-2"/>
    <x v="0"/>
    <n v="70890"/>
    <n v="124.1874"/>
    <x v="0"/>
    <s v="Low"/>
    <s v="Medium"/>
    <s v="January"/>
    <x v="0"/>
  </r>
  <r>
    <d v="2009-01-31T00:00:00"/>
    <x v="0"/>
    <x v="3"/>
    <n v="6246170"/>
    <n v="8500000"/>
    <x v="0"/>
    <x v="0"/>
    <x v="0"/>
    <n v="1"/>
    <n v="1080"/>
    <n v="1.0259529999999999E-2"/>
    <x v="0"/>
    <n v="2253830"/>
    <n v="7870.3703999999998"/>
    <x v="0"/>
    <s v="High"/>
    <s v="Medium"/>
    <s v="January"/>
    <x v="0"/>
  </r>
  <r>
    <d v="2009-02-02T00:00:00"/>
    <x v="0"/>
    <x v="5"/>
    <n v="95410"/>
    <n v="159000"/>
    <x v="0"/>
    <x v="0"/>
    <x v="0"/>
    <n v="1"/>
    <n v="947"/>
    <n v="1.0259529999999999E-2"/>
    <x v="3"/>
    <n v="63590"/>
    <n v="167.89859999999999"/>
    <x v="0"/>
    <s v="Low"/>
    <s v="Medium"/>
    <s v="February"/>
    <x v="1"/>
  </r>
  <r>
    <d v="2009-02-05T00:00:00"/>
    <x v="0"/>
    <x v="2"/>
    <n v="133070"/>
    <n v="290000"/>
    <x v="0"/>
    <x v="0"/>
    <x v="0"/>
    <n v="3"/>
    <n v="1023"/>
    <n v="1.0259529999999999E-2"/>
    <x v="3"/>
    <n v="156930"/>
    <n v="283.48"/>
    <x v="0"/>
    <s v="Medium"/>
    <s v="Medium"/>
    <s v="February"/>
    <x v="1"/>
  </r>
  <r>
    <d v="2009-02-08T00:00:00"/>
    <x v="0"/>
    <x v="2"/>
    <n v="174231"/>
    <n v="363000"/>
    <x v="3"/>
    <x v="3"/>
    <x v="3"/>
    <n v="6"/>
    <n v="2935"/>
    <n v="1.0259529999999999E-2"/>
    <x v="0"/>
    <n v="188769"/>
    <n v="123.6797"/>
    <x v="0"/>
    <s v="Medium"/>
    <s v="Large"/>
    <s v="February"/>
    <x v="1"/>
  </r>
  <r>
    <d v="2009-02-09T00:00:00"/>
    <x v="0"/>
    <x v="5"/>
    <n v="162890"/>
    <n v="288000"/>
    <x v="0"/>
    <x v="0"/>
    <x v="0"/>
    <n v="3"/>
    <n v="1111.6589814177564"/>
    <n v="1.0259529999999999E-2"/>
    <x v="3"/>
    <n v="125110"/>
    <n v="259.07229999999998"/>
    <x v="0"/>
    <s v="Medium"/>
    <s v="Medium"/>
    <s v="February"/>
    <x v="1"/>
  </r>
  <r>
    <d v="2009-02-12T00:00:00"/>
    <x v="0"/>
    <x v="3"/>
    <n v="2828910"/>
    <n v="4450000"/>
    <x v="0"/>
    <x v="0"/>
    <x v="0"/>
    <n v="2"/>
    <n v="920"/>
    <n v="1.0259529999999999E-2"/>
    <x v="3"/>
    <n v="1621090"/>
    <n v="4836.9565000000002"/>
    <x v="0"/>
    <s v="High"/>
    <s v="Medium"/>
    <s v="February"/>
    <x v="1"/>
  </r>
  <r>
    <d v="2009-02-15T00:00:00"/>
    <x v="0"/>
    <x v="2"/>
    <n v="73220"/>
    <n v="299900"/>
    <x v="2"/>
    <x v="2"/>
    <x v="2"/>
    <n v="4"/>
    <n v="2142"/>
    <n v="1.0259529999999999E-2"/>
    <x v="2"/>
    <n v="226680"/>
    <n v="140.0093"/>
    <x v="0"/>
    <s v="Medium"/>
    <s v="Large"/>
    <s v="February"/>
    <x v="1"/>
  </r>
  <r>
    <d v="2009-02-20T00:00:00"/>
    <x v="0"/>
    <x v="2"/>
    <n v="61228"/>
    <n v="7000"/>
    <x v="0"/>
    <x v="0"/>
    <x v="0"/>
    <n v="1"/>
    <n v="1058"/>
    <n v="1.0259529999999999E-2"/>
    <x v="3"/>
    <n v="-54228"/>
    <n v="6.6162999999999998"/>
    <x v="1"/>
    <s v="Low"/>
    <s v="Medium"/>
    <s v="February"/>
    <x v="1"/>
  </r>
  <r>
    <d v="2009-02-21T00:00:00"/>
    <x v="0"/>
    <x v="3"/>
    <n v="653450"/>
    <n v="1250000"/>
    <x v="0"/>
    <x v="0"/>
    <x v="0"/>
    <n v="2"/>
    <n v="932"/>
    <n v="1.0259529999999999E-2"/>
    <x v="0"/>
    <n v="596550"/>
    <n v="1341.2017000000001"/>
    <x v="0"/>
    <s v="High"/>
    <s v="Medium"/>
    <s v="February"/>
    <x v="1"/>
  </r>
  <r>
    <d v="2009-02-26T00:00:00"/>
    <x v="0"/>
    <x v="4"/>
    <n v="221060"/>
    <n v="300000"/>
    <x v="0"/>
    <x v="0"/>
    <x v="0"/>
    <n v="3"/>
    <n v="1009"/>
    <n v="1.0259529999999999E-2"/>
    <x v="1"/>
    <n v="78940"/>
    <n v="297.32409999999999"/>
    <x v="0"/>
    <s v="Medium"/>
    <s v="Medium"/>
    <s v="February"/>
    <x v="1"/>
  </r>
  <r>
    <d v="2009-02-27T00:00:00"/>
    <x v="0"/>
    <x v="0"/>
    <n v="59010"/>
    <n v="230000"/>
    <x v="2"/>
    <x v="2"/>
    <x v="2"/>
    <n v="5"/>
    <n v="2041"/>
    <n v="1.0259529999999999E-2"/>
    <x v="1"/>
    <n v="170990"/>
    <n v="112.68989999999999"/>
    <x v="0"/>
    <s v="Medium"/>
    <s v="Large"/>
    <s v="February"/>
    <x v="1"/>
  </r>
  <r>
    <d v="2009-02-28T00:00:00"/>
    <x v="0"/>
    <x v="3"/>
    <n v="608720"/>
    <n v="826000"/>
    <x v="1"/>
    <x v="1"/>
    <x v="1"/>
    <n v="4"/>
    <n v="1365"/>
    <n v="1.0259529999999999E-2"/>
    <x v="0"/>
    <n v="217280"/>
    <n v="605.12819999999999"/>
    <x v="0"/>
    <s v="High"/>
    <s v="Large"/>
    <s v="February"/>
    <x v="1"/>
  </r>
  <r>
    <d v="2009-03-01T00:00:00"/>
    <x v="0"/>
    <x v="3"/>
    <n v="1400910"/>
    <n v="1900000"/>
    <x v="0"/>
    <x v="0"/>
    <x v="0"/>
    <n v="2"/>
    <n v="960"/>
    <n v="1.0259529999999999E-2"/>
    <x v="2"/>
    <n v="499090"/>
    <n v="1979.1667"/>
    <x v="0"/>
    <s v="High"/>
    <s v="Medium"/>
    <s v="March"/>
    <x v="2"/>
  </r>
  <r>
    <d v="2009-03-02T00:00:00"/>
    <x v="0"/>
    <x v="5"/>
    <n v="139300"/>
    <n v="285000"/>
    <x v="0"/>
    <x v="0"/>
    <x v="0"/>
    <n v="3"/>
    <n v="929"/>
    <n v="1.0259529999999999E-2"/>
    <x v="0"/>
    <n v="145700"/>
    <n v="306.78149999999999"/>
    <x v="0"/>
    <s v="Medium"/>
    <s v="Medium"/>
    <s v="March"/>
    <x v="2"/>
  </r>
  <r>
    <d v="2009-03-05T00:00:00"/>
    <x v="0"/>
    <x v="2"/>
    <n v="96600"/>
    <n v="183000"/>
    <x v="1"/>
    <x v="1"/>
    <x v="1"/>
    <n v="3"/>
    <n v="1426"/>
    <n v="1.0259529999999999E-2"/>
    <x v="3"/>
    <n v="86400"/>
    <n v="128.33099999999999"/>
    <x v="0"/>
    <s v="Low"/>
    <s v="Large"/>
    <s v="March"/>
    <x v="2"/>
  </r>
  <r>
    <d v="2009-03-06T00:00:00"/>
    <x v="0"/>
    <x v="1"/>
    <n v="444584.20699999999"/>
    <n v="448000"/>
    <x v="1"/>
    <x v="1"/>
    <x v="1"/>
    <n v="4"/>
    <n v="1261"/>
    <n v="1.0259529999999999E-2"/>
    <x v="1"/>
    <n v="3415.7930000000001"/>
    <n v="355.27359999999999"/>
    <x v="0"/>
    <s v="Medium"/>
    <s v="Medium"/>
    <s v="March"/>
    <x v="2"/>
  </r>
  <r>
    <d v="2009-03-07T00:00:00"/>
    <x v="0"/>
    <x v="1"/>
    <n v="444584.20699999999"/>
    <n v="370000"/>
    <x v="1"/>
    <x v="1"/>
    <x v="1"/>
    <n v="2"/>
    <n v="1490"/>
    <n v="1.0259529999999999E-2"/>
    <x v="2"/>
    <n v="-74584.206999999995"/>
    <n v="248.32210000000001"/>
    <x v="1"/>
    <s v="Medium"/>
    <s v="Large"/>
    <s v="March"/>
    <x v="2"/>
  </r>
  <r>
    <d v="2009-03-08T00:00:00"/>
    <x v="0"/>
    <x v="0"/>
    <n v="85820"/>
    <n v="229000"/>
    <x v="2"/>
    <x v="2"/>
    <x v="2"/>
    <n v="6"/>
    <n v="1111.6589814177564"/>
    <n v="1.0259529999999999E-2"/>
    <x v="2"/>
    <n v="143180"/>
    <n v="205.9984"/>
    <x v="0"/>
    <s v="Medium"/>
    <s v="Medium"/>
    <s v="March"/>
    <x v="2"/>
  </r>
  <r>
    <d v="2009-03-12T00:00:00"/>
    <x v="0"/>
    <x v="0"/>
    <n v="15050"/>
    <n v="102000"/>
    <x v="0"/>
    <x v="0"/>
    <x v="0"/>
    <n v="2"/>
    <n v="1111.6589814177564"/>
    <n v="1.0259529999999999E-2"/>
    <x v="2"/>
    <n v="86950"/>
    <n v="91.754800000000003"/>
    <x v="0"/>
    <s v="Low"/>
    <s v="Medium"/>
    <s v="March"/>
    <x v="2"/>
  </r>
  <r>
    <d v="2009-03-13T00:00:00"/>
    <x v="0"/>
    <x v="5"/>
    <n v="113750"/>
    <n v="195000"/>
    <x v="2"/>
    <x v="2"/>
    <x v="2"/>
    <n v="6"/>
    <n v="2004"/>
    <n v="1.0259529999999999E-2"/>
    <x v="2"/>
    <n v="81250"/>
    <n v="97.305400000000006"/>
    <x v="0"/>
    <s v="Low"/>
    <s v="Large"/>
    <s v="March"/>
    <x v="2"/>
  </r>
  <r>
    <d v="2009-03-14T00:00:00"/>
    <x v="0"/>
    <x v="1"/>
    <n v="444584.20699999999"/>
    <n v="589900"/>
    <x v="0"/>
    <x v="0"/>
    <x v="0"/>
    <n v="3"/>
    <n v="1017"/>
    <n v="1.0259529999999999E-2"/>
    <x v="1"/>
    <n v="145315.79300000001"/>
    <n v="580.03930000000003"/>
    <x v="0"/>
    <s v="Medium"/>
    <s v="Medium"/>
    <s v="March"/>
    <x v="2"/>
  </r>
  <r>
    <d v="2009-03-15T00:00:00"/>
    <x v="0"/>
    <x v="3"/>
    <n v="1214570"/>
    <n v="2200000"/>
    <x v="0"/>
    <x v="0"/>
    <x v="0"/>
    <n v="1"/>
    <n v="908"/>
    <n v="1.0259529999999999E-2"/>
    <x v="3"/>
    <n v="985430"/>
    <n v="2422.9074999999998"/>
    <x v="0"/>
    <s v="High"/>
    <s v="Medium"/>
    <s v="March"/>
    <x v="2"/>
  </r>
  <r>
    <d v="2009-03-16T00:00:00"/>
    <x v="0"/>
    <x v="0"/>
    <n v="444584.20699999999"/>
    <n v="149000"/>
    <x v="0"/>
    <x v="0"/>
    <x v="0"/>
    <n v="3"/>
    <n v="1098"/>
    <n v="1.0259529999999999E-2"/>
    <x v="3"/>
    <n v="-295584.20699999999"/>
    <n v="135.7013"/>
    <x v="1"/>
    <s v="Low"/>
    <s v="Medium"/>
    <s v="March"/>
    <x v="2"/>
  </r>
  <r>
    <d v="2009-03-19T00:00:00"/>
    <x v="0"/>
    <x v="1"/>
    <n v="197400"/>
    <n v="340000"/>
    <x v="0"/>
    <x v="0"/>
    <x v="0"/>
    <n v="2"/>
    <n v="1025"/>
    <n v="1.0259529999999999E-2"/>
    <x v="3"/>
    <n v="142600"/>
    <n v="331.70729999999998"/>
    <x v="0"/>
    <s v="Medium"/>
    <s v="Medium"/>
    <s v="March"/>
    <x v="2"/>
  </r>
  <r>
    <d v="2009-03-20T00:00:00"/>
    <x v="0"/>
    <x v="2"/>
    <n v="444584.20699999999"/>
    <n v="67500"/>
    <x v="1"/>
    <x v="1"/>
    <x v="1"/>
    <n v="3"/>
    <n v="1436"/>
    <n v="1.0259529999999999E-2"/>
    <x v="1"/>
    <n v="-377084.20699999999"/>
    <n v="47.005600000000001"/>
    <x v="1"/>
    <s v="Low"/>
    <s v="Large"/>
    <s v="March"/>
    <x v="2"/>
  </r>
  <r>
    <d v="2009-03-21T00:00:00"/>
    <x v="0"/>
    <x v="4"/>
    <n v="444584.20699999999"/>
    <n v="345000"/>
    <x v="0"/>
    <x v="0"/>
    <x v="0"/>
    <n v="2"/>
    <n v="955"/>
    <n v="1.0259529999999999E-2"/>
    <x v="2"/>
    <n v="-99584.206999999995"/>
    <n v="361.25650000000002"/>
    <x v="1"/>
    <s v="Medium"/>
    <s v="Medium"/>
    <s v="March"/>
    <x v="2"/>
  </r>
  <r>
    <d v="2009-03-22T00:00:00"/>
    <x v="0"/>
    <x v="1"/>
    <n v="219100"/>
    <n v="427000"/>
    <x v="0"/>
    <x v="0"/>
    <x v="0"/>
    <n v="3"/>
    <n v="1021"/>
    <n v="1.0259529999999999E-2"/>
    <x v="2"/>
    <n v="207900"/>
    <n v="418.2174"/>
    <x v="0"/>
    <s v="Medium"/>
    <s v="Medium"/>
    <s v="March"/>
    <x v="2"/>
  </r>
  <r>
    <d v="2009-03-23T00:00:00"/>
    <x v="0"/>
    <x v="1"/>
    <n v="382900"/>
    <n v="777500"/>
    <x v="0"/>
    <x v="0"/>
    <x v="0"/>
    <n v="2"/>
    <n v="900"/>
    <n v="1.0259529999999999E-2"/>
    <x v="3"/>
    <n v="394600"/>
    <n v="863.88890000000004"/>
    <x v="0"/>
    <s v="High"/>
    <s v="Medium"/>
    <s v="March"/>
    <x v="2"/>
  </r>
  <r>
    <d v="2009-03-29T00:00:00"/>
    <x v="0"/>
    <x v="2"/>
    <n v="72380"/>
    <n v="249900"/>
    <x v="1"/>
    <x v="1"/>
    <x v="1"/>
    <n v="4"/>
    <n v="1347"/>
    <n v="1.0259529999999999E-2"/>
    <x v="0"/>
    <n v="177520"/>
    <n v="185.52340000000001"/>
    <x v="0"/>
    <s v="Medium"/>
    <s v="Large"/>
    <s v="March"/>
    <x v="2"/>
  </r>
  <r>
    <d v="2009-03-30T00:00:00"/>
    <x v="0"/>
    <x v="1"/>
    <n v="262500"/>
    <n v="412000"/>
    <x v="0"/>
    <x v="0"/>
    <x v="0"/>
    <n v="3"/>
    <n v="1064"/>
    <n v="1.0259529999999999E-2"/>
    <x v="0"/>
    <n v="149500"/>
    <n v="387.21800000000002"/>
    <x v="0"/>
    <s v="Medium"/>
    <s v="Medium"/>
    <s v="March"/>
    <x v="2"/>
  </r>
  <r>
    <d v="2009-04-02T00:00:00"/>
    <x v="0"/>
    <x v="4"/>
    <n v="303170"/>
    <n v="490000"/>
    <x v="0"/>
    <x v="0"/>
    <x v="0"/>
    <n v="1"/>
    <n v="1111.6589814177564"/>
    <n v="1.0259529999999999E-2"/>
    <x v="2"/>
    <n v="186830"/>
    <n v="440.78269999999998"/>
    <x v="0"/>
    <s v="Medium"/>
    <s v="Medium"/>
    <s v="April"/>
    <x v="3"/>
  </r>
  <r>
    <d v="2009-04-04T00:00:00"/>
    <x v="0"/>
    <x v="0"/>
    <n v="101430"/>
    <n v="329000"/>
    <x v="2"/>
    <x v="2"/>
    <x v="2"/>
    <n v="6"/>
    <n v="2019"/>
    <n v="1.0259529999999999E-2"/>
    <x v="1"/>
    <n v="227570"/>
    <n v="162.952"/>
    <x v="0"/>
    <s v="Medium"/>
    <s v="Large"/>
    <s v="April"/>
    <x v="3"/>
  </r>
  <r>
    <d v="2009-04-05T00:00:00"/>
    <x v="0"/>
    <x v="2"/>
    <n v="245210"/>
    <n v="445000"/>
    <x v="0"/>
    <x v="0"/>
    <x v="0"/>
    <n v="3"/>
    <n v="980"/>
    <n v="1.0259529999999999E-2"/>
    <x v="3"/>
    <n v="199790"/>
    <n v="454.08159999999998"/>
    <x v="0"/>
    <s v="Medium"/>
    <s v="Medium"/>
    <s v="April"/>
    <x v="3"/>
  </r>
  <r>
    <d v="2009-04-09T00:00:00"/>
    <x v="0"/>
    <x v="0"/>
    <n v="444584.20699999999"/>
    <n v="163000"/>
    <x v="0"/>
    <x v="0"/>
    <x v="0"/>
    <n v="1"/>
    <n v="997"/>
    <n v="1.0259529999999999E-2"/>
    <x v="3"/>
    <n v="-281584.20699999999"/>
    <n v="163.4905"/>
    <x v="1"/>
    <s v="Low"/>
    <s v="Medium"/>
    <s v="April"/>
    <x v="3"/>
  </r>
  <r>
    <d v="2009-04-10T00:00:00"/>
    <x v="0"/>
    <x v="4"/>
    <n v="343980"/>
    <n v="410000"/>
    <x v="0"/>
    <x v="0"/>
    <x v="0"/>
    <n v="1"/>
    <n v="991"/>
    <n v="1.0259529999999999E-2"/>
    <x v="2"/>
    <n v="66020"/>
    <n v="413.7235"/>
    <x v="0"/>
    <s v="Medium"/>
    <s v="Medium"/>
    <s v="April"/>
    <x v="3"/>
  </r>
  <r>
    <d v="2009-04-11T00:00:00"/>
    <x v="0"/>
    <x v="3"/>
    <n v="1120350"/>
    <n v="1575000"/>
    <x v="0"/>
    <x v="0"/>
    <x v="0"/>
    <n v="3"/>
    <n v="945"/>
    <n v="1.0259529999999999E-2"/>
    <x v="0"/>
    <n v="454650"/>
    <n v="1666.6667"/>
    <x v="0"/>
    <s v="High"/>
    <s v="Medium"/>
    <s v="April"/>
    <x v="3"/>
  </r>
  <r>
    <d v="2009-04-12T00:00:00"/>
    <x v="0"/>
    <x v="2"/>
    <n v="11830"/>
    <n v="206000"/>
    <x v="0"/>
    <x v="0"/>
    <x v="0"/>
    <n v="1"/>
    <n v="913"/>
    <n v="1.0259529999999999E-2"/>
    <x v="3"/>
    <n v="194170"/>
    <n v="225.62979999999999"/>
    <x v="0"/>
    <s v="Medium"/>
    <s v="Medium"/>
    <s v="April"/>
    <x v="3"/>
  </r>
  <r>
    <d v="2009-04-13T00:00:00"/>
    <x v="0"/>
    <x v="4"/>
    <n v="444584.20699999999"/>
    <n v="407500"/>
    <x v="0"/>
    <x v="0"/>
    <x v="0"/>
    <n v="2"/>
    <n v="981"/>
    <n v="1.0259529999999999E-2"/>
    <x v="1"/>
    <n v="-37084.207000000002"/>
    <n v="415.39249999999998"/>
    <x v="1"/>
    <s v="Medium"/>
    <s v="Medium"/>
    <s v="April"/>
    <x v="3"/>
  </r>
  <r>
    <d v="2009-04-16T00:00:00"/>
    <x v="0"/>
    <x v="2"/>
    <n v="115850"/>
    <n v="243750"/>
    <x v="1"/>
    <x v="1"/>
    <x v="1"/>
    <n v="2"/>
    <n v="1241"/>
    <n v="1.0259529999999999E-2"/>
    <x v="1"/>
    <n v="127900"/>
    <n v="196.41419999999999"/>
    <x v="0"/>
    <s v="Medium"/>
    <s v="Medium"/>
    <s v="April"/>
    <x v="3"/>
  </r>
  <r>
    <d v="2009-04-17T00:00:00"/>
    <x v="0"/>
    <x v="3"/>
    <n v="2624790"/>
    <n v="2899000"/>
    <x v="0"/>
    <x v="0"/>
    <x v="0"/>
    <n v="3"/>
    <n v="1044"/>
    <n v="1.0259529999999999E-2"/>
    <x v="3"/>
    <n v="274210"/>
    <n v="2776.8199"/>
    <x v="0"/>
    <s v="High"/>
    <s v="Medium"/>
    <s v="April"/>
    <x v="3"/>
  </r>
  <r>
    <d v="2009-04-18T00:00:00"/>
    <x v="0"/>
    <x v="2"/>
    <n v="71680"/>
    <n v="164000"/>
    <x v="0"/>
    <x v="0"/>
    <x v="0"/>
    <n v="1"/>
    <n v="1054"/>
    <n v="1.0259529999999999E-2"/>
    <x v="0"/>
    <n v="92320"/>
    <n v="155.5977"/>
    <x v="0"/>
    <s v="Low"/>
    <s v="Medium"/>
    <s v="April"/>
    <x v="3"/>
  </r>
  <r>
    <d v="2009-04-19T00:00:00"/>
    <x v="0"/>
    <x v="5"/>
    <n v="75810"/>
    <n v="193400"/>
    <x v="1"/>
    <x v="1"/>
    <x v="1"/>
    <n v="4"/>
    <n v="1307"/>
    <n v="1.0259529999999999E-2"/>
    <x v="2"/>
    <n v="117590"/>
    <n v="147.9725"/>
    <x v="0"/>
    <s v="Low"/>
    <s v="Large"/>
    <s v="April"/>
    <x v="3"/>
  </r>
  <r>
    <d v="2009-04-20T00:00:00"/>
    <x v="0"/>
    <x v="2"/>
    <n v="184800"/>
    <n v="130000"/>
    <x v="0"/>
    <x v="0"/>
    <x v="0"/>
    <n v="3"/>
    <n v="909"/>
    <n v="1.0259529999999999E-2"/>
    <x v="1"/>
    <n v="-54800"/>
    <n v="143.01429999999999"/>
    <x v="1"/>
    <s v="Low"/>
    <s v="Medium"/>
    <s v="April"/>
    <x v="3"/>
  </r>
  <r>
    <d v="2009-04-23T00:00:00"/>
    <x v="0"/>
    <x v="2"/>
    <n v="113890"/>
    <n v="225000"/>
    <x v="1"/>
    <x v="1"/>
    <x v="1"/>
    <n v="3"/>
    <n v="1111.6589814177564"/>
    <n v="1.0259529999999999E-2"/>
    <x v="1"/>
    <n v="111110"/>
    <n v="202.40020000000001"/>
    <x v="0"/>
    <s v="Medium"/>
    <s v="Medium"/>
    <s v="April"/>
    <x v="3"/>
  </r>
  <r>
    <d v="2009-04-24T00:00:00"/>
    <x v="0"/>
    <x v="4"/>
    <n v="389900"/>
    <n v="389900"/>
    <x v="0"/>
    <x v="0"/>
    <x v="0"/>
    <n v="1"/>
    <n v="1023"/>
    <n v="1.0259529999999999E-2"/>
    <x v="3"/>
    <n v="0"/>
    <n v="381.13389999999998"/>
    <x v="2"/>
    <s v="Medium"/>
    <s v="Medium"/>
    <s v="April"/>
    <x v="3"/>
  </r>
  <r>
    <d v="2009-04-25T00:00:00"/>
    <x v="0"/>
    <x v="2"/>
    <n v="176890"/>
    <n v="320000"/>
    <x v="0"/>
    <x v="0"/>
    <x v="0"/>
    <n v="3"/>
    <n v="1111.6589814177564"/>
    <n v="1.0259529999999999E-2"/>
    <x v="0"/>
    <n v="143110"/>
    <n v="287.85809999999998"/>
    <x v="0"/>
    <s v="Medium"/>
    <s v="Medium"/>
    <s v="April"/>
    <x v="3"/>
  </r>
  <r>
    <d v="2009-04-26T00:00:00"/>
    <x v="0"/>
    <x v="5"/>
    <n v="70210"/>
    <n v="160000"/>
    <x v="0"/>
    <x v="0"/>
    <x v="0"/>
    <n v="3"/>
    <n v="1008"/>
    <n v="1.0259529999999999E-2"/>
    <x v="2"/>
    <n v="89790"/>
    <n v="158.7302"/>
    <x v="0"/>
    <s v="Low"/>
    <s v="Medium"/>
    <s v="April"/>
    <x v="3"/>
  </r>
  <r>
    <d v="2009-04-27T00:00:00"/>
    <x v="0"/>
    <x v="0"/>
    <n v="104090"/>
    <n v="254000"/>
    <x v="0"/>
    <x v="0"/>
    <x v="0"/>
    <n v="2"/>
    <n v="1010"/>
    <n v="1.0259529999999999E-2"/>
    <x v="0"/>
    <n v="149910"/>
    <n v="251.48509999999999"/>
    <x v="0"/>
    <s v="Medium"/>
    <s v="Medium"/>
    <s v="April"/>
    <x v="3"/>
  </r>
  <r>
    <d v="2009-04-30T00:00:00"/>
    <x v="0"/>
    <x v="1"/>
    <n v="297780"/>
    <n v="570000"/>
    <x v="0"/>
    <x v="0"/>
    <x v="0"/>
    <n v="2"/>
    <n v="976"/>
    <n v="1.0259529999999999E-2"/>
    <x v="2"/>
    <n v="272220"/>
    <n v="584.01639999999998"/>
    <x v="0"/>
    <s v="Medium"/>
    <s v="Medium"/>
    <s v="April"/>
    <x v="3"/>
  </r>
  <r>
    <d v="2009-05-01T00:00:00"/>
    <x v="0"/>
    <x v="0"/>
    <n v="3500"/>
    <n v="195900"/>
    <x v="0"/>
    <x v="0"/>
    <x v="0"/>
    <n v="2"/>
    <n v="988"/>
    <n v="1.0259529999999999E-2"/>
    <x v="2"/>
    <n v="192400"/>
    <n v="198.27940000000001"/>
    <x v="0"/>
    <s v="Low"/>
    <s v="Medium"/>
    <s v="May"/>
    <x v="4"/>
  </r>
  <r>
    <d v="2009-05-02T00:00:00"/>
    <x v="0"/>
    <x v="4"/>
    <n v="1515640"/>
    <n v="2100000"/>
    <x v="0"/>
    <x v="0"/>
    <x v="0"/>
    <n v="1"/>
    <n v="1111.6589814177564"/>
    <n v="1.0259529999999999E-2"/>
    <x v="1"/>
    <n v="584360"/>
    <n v="1889.0685000000001"/>
    <x v="0"/>
    <s v="High"/>
    <s v="Medium"/>
    <s v="May"/>
    <x v="4"/>
  </r>
  <r>
    <d v="2009-05-03T00:00:00"/>
    <x v="0"/>
    <x v="4"/>
    <n v="1064840"/>
    <n v="1550000"/>
    <x v="0"/>
    <x v="0"/>
    <x v="0"/>
    <n v="2"/>
    <n v="1015"/>
    <n v="1.0259529999999999E-2"/>
    <x v="2"/>
    <n v="485160"/>
    <n v="1527.0935999999999"/>
    <x v="0"/>
    <s v="High"/>
    <s v="Medium"/>
    <s v="May"/>
    <x v="4"/>
  </r>
  <r>
    <d v="2009-05-04T00:00:00"/>
    <x v="0"/>
    <x v="1"/>
    <n v="325290"/>
    <n v="400000"/>
    <x v="0"/>
    <x v="0"/>
    <x v="0"/>
    <n v="1"/>
    <n v="1059"/>
    <n v="1.0259529999999999E-2"/>
    <x v="2"/>
    <n v="74710"/>
    <n v="377.71480000000003"/>
    <x v="0"/>
    <s v="Medium"/>
    <s v="Medium"/>
    <s v="May"/>
    <x v="4"/>
  </r>
  <r>
    <d v="2009-05-07T00:00:00"/>
    <x v="0"/>
    <x v="2"/>
    <n v="104580"/>
    <n v="226000"/>
    <x v="0"/>
    <x v="0"/>
    <x v="0"/>
    <n v="2"/>
    <n v="1078"/>
    <n v="1.0259529999999999E-2"/>
    <x v="1"/>
    <n v="121420"/>
    <n v="209.64750000000001"/>
    <x v="0"/>
    <s v="Medium"/>
    <s v="Medium"/>
    <s v="May"/>
    <x v="4"/>
  </r>
  <r>
    <d v="2009-05-08T00:00:00"/>
    <x v="0"/>
    <x v="1"/>
    <n v="444584.20699999999"/>
    <n v="755000"/>
    <x v="0"/>
    <x v="0"/>
    <x v="0"/>
    <n v="2"/>
    <n v="996"/>
    <n v="1.0259529999999999E-2"/>
    <x v="1"/>
    <n v="310415.79300000001"/>
    <n v="758.03210000000001"/>
    <x v="0"/>
    <s v="High"/>
    <s v="Medium"/>
    <s v="May"/>
    <x v="4"/>
  </r>
  <r>
    <d v="2009-05-09T00:00:00"/>
    <x v="0"/>
    <x v="2"/>
    <n v="68320"/>
    <n v="137120"/>
    <x v="1"/>
    <x v="1"/>
    <x v="1"/>
    <n v="4"/>
    <n v="1343"/>
    <n v="1.0259529999999999E-2"/>
    <x v="0"/>
    <n v="68800"/>
    <n v="102.0998"/>
    <x v="0"/>
    <s v="Low"/>
    <s v="Large"/>
    <s v="May"/>
    <x v="4"/>
  </r>
  <r>
    <d v="2009-05-14T00:00:00"/>
    <x v="0"/>
    <x v="2"/>
    <n v="131670"/>
    <n v="190000"/>
    <x v="0"/>
    <x v="0"/>
    <x v="0"/>
    <n v="3"/>
    <n v="1099"/>
    <n v="1.0259529999999999E-2"/>
    <x v="0"/>
    <n v="58330"/>
    <n v="172.8844"/>
    <x v="0"/>
    <s v="Low"/>
    <s v="Medium"/>
    <s v="May"/>
    <x v="4"/>
  </r>
  <r>
    <d v="2009-05-15T00:00:00"/>
    <x v="0"/>
    <x v="3"/>
    <n v="640150"/>
    <n v="407500"/>
    <x v="0"/>
    <x v="0"/>
    <x v="0"/>
    <n v="1"/>
    <n v="908"/>
    <n v="1.0259529999999999E-2"/>
    <x v="1"/>
    <n v="-232650"/>
    <n v="448.7885"/>
    <x v="1"/>
    <s v="Medium"/>
    <s v="Medium"/>
    <s v="May"/>
    <x v="4"/>
  </r>
  <r>
    <d v="2009-05-16T00:00:00"/>
    <x v="0"/>
    <x v="0"/>
    <n v="68040"/>
    <n v="178000"/>
    <x v="1"/>
    <x v="1"/>
    <x v="1"/>
    <n v="2"/>
    <n v="1300"/>
    <n v="1.0259529999999999E-2"/>
    <x v="1"/>
    <n v="109960"/>
    <n v="136.92310000000001"/>
    <x v="0"/>
    <s v="Low"/>
    <s v="Large"/>
    <s v="May"/>
    <x v="4"/>
  </r>
  <r>
    <d v="2009-05-17T00:00:00"/>
    <x v="0"/>
    <x v="0"/>
    <n v="84700"/>
    <n v="174900"/>
    <x v="0"/>
    <x v="0"/>
    <x v="0"/>
    <n v="3"/>
    <n v="951"/>
    <n v="1.0259529999999999E-2"/>
    <x v="2"/>
    <n v="90200"/>
    <n v="183.9117"/>
    <x v="0"/>
    <s v="Low"/>
    <s v="Medium"/>
    <s v="May"/>
    <x v="4"/>
  </r>
  <r>
    <d v="2009-05-18T00:00:00"/>
    <x v="0"/>
    <x v="4"/>
    <n v="617820"/>
    <n v="575000"/>
    <x v="0"/>
    <x v="0"/>
    <x v="0"/>
    <n v="2"/>
    <n v="926"/>
    <n v="1.0259529999999999E-2"/>
    <x v="2"/>
    <n v="-42820"/>
    <n v="620.95029999999997"/>
    <x v="1"/>
    <s v="Medium"/>
    <s v="Medium"/>
    <s v="May"/>
    <x v="4"/>
  </r>
  <r>
    <d v="2009-05-21T00:00:00"/>
    <x v="0"/>
    <x v="0"/>
    <n v="71190"/>
    <n v="209000"/>
    <x v="2"/>
    <x v="2"/>
    <x v="2"/>
    <n v="6"/>
    <n v="1838"/>
    <n v="1.0259529999999999E-2"/>
    <x v="0"/>
    <n v="137810"/>
    <n v="113.7106"/>
    <x v="0"/>
    <s v="Medium"/>
    <s v="Large"/>
    <s v="May"/>
    <x v="4"/>
  </r>
  <r>
    <d v="2009-05-22T00:00:00"/>
    <x v="0"/>
    <x v="4"/>
    <n v="212940"/>
    <n v="290000"/>
    <x v="0"/>
    <x v="0"/>
    <x v="0"/>
    <n v="1"/>
    <n v="1032"/>
    <n v="1.0259529999999999E-2"/>
    <x v="1"/>
    <n v="77060"/>
    <n v="281.00779999999997"/>
    <x v="0"/>
    <s v="Medium"/>
    <s v="Medium"/>
    <s v="May"/>
    <x v="4"/>
  </r>
  <r>
    <d v="2009-05-23T00:00:00"/>
    <x v="0"/>
    <x v="5"/>
    <n v="68880"/>
    <n v="172000"/>
    <x v="0"/>
    <x v="0"/>
    <x v="0"/>
    <n v="2"/>
    <n v="991"/>
    <n v="1.0259529999999999E-2"/>
    <x v="3"/>
    <n v="103120"/>
    <n v="173.56209999999999"/>
    <x v="0"/>
    <s v="Low"/>
    <s v="Medium"/>
    <s v="May"/>
    <x v="4"/>
  </r>
  <r>
    <d v="2009-05-24T00:00:00"/>
    <x v="0"/>
    <x v="1"/>
    <n v="286226"/>
    <n v="679000"/>
    <x v="0"/>
    <x v="0"/>
    <x v="0"/>
    <n v="1"/>
    <n v="925"/>
    <n v="1.0259529999999999E-2"/>
    <x v="1"/>
    <n v="392774"/>
    <n v="734.05409999999995"/>
    <x v="0"/>
    <s v="High"/>
    <s v="Medium"/>
    <s v="May"/>
    <x v="4"/>
  </r>
  <r>
    <d v="2009-05-25T00:00:00"/>
    <x v="0"/>
    <x v="0"/>
    <n v="104860"/>
    <n v="191250"/>
    <x v="0"/>
    <x v="0"/>
    <x v="0"/>
    <n v="3"/>
    <n v="1086"/>
    <n v="1.0259529999999999E-2"/>
    <x v="0"/>
    <n v="86390"/>
    <n v="176.10499999999999"/>
    <x v="0"/>
    <s v="Low"/>
    <s v="Medium"/>
    <s v="May"/>
    <x v="4"/>
  </r>
  <r>
    <d v="2009-05-29T00:00:00"/>
    <x v="0"/>
    <x v="2"/>
    <n v="108710"/>
    <n v="78833"/>
    <x v="0"/>
    <x v="0"/>
    <x v="0"/>
    <n v="1"/>
    <n v="1081"/>
    <n v="1.0259529999999999E-2"/>
    <x v="2"/>
    <n v="-29877"/>
    <n v="72.926000000000002"/>
    <x v="1"/>
    <s v="Low"/>
    <s v="Medium"/>
    <s v="May"/>
    <x v="4"/>
  </r>
  <r>
    <d v="2009-05-30T00:00:00"/>
    <x v="0"/>
    <x v="1"/>
    <n v="310800"/>
    <n v="635000"/>
    <x v="0"/>
    <x v="0"/>
    <x v="0"/>
    <n v="1"/>
    <n v="923"/>
    <n v="1.0259529999999999E-2"/>
    <x v="0"/>
    <n v="324200"/>
    <n v="687.97400000000005"/>
    <x v="0"/>
    <s v="High"/>
    <s v="Medium"/>
    <s v="May"/>
    <x v="4"/>
  </r>
  <r>
    <d v="2009-05-31T00:00:00"/>
    <x v="0"/>
    <x v="3"/>
    <n v="1577240"/>
    <n v="2400000"/>
    <x v="0"/>
    <x v="0"/>
    <x v="0"/>
    <n v="3"/>
    <n v="1111.6589814177564"/>
    <n v="1.0259529999999999E-2"/>
    <x v="2"/>
    <n v="822760"/>
    <n v="2158.9355"/>
    <x v="0"/>
    <s v="High"/>
    <s v="Medium"/>
    <s v="May"/>
    <x v="4"/>
  </r>
  <r>
    <d v="2009-06-01T00:00:00"/>
    <x v="0"/>
    <x v="2"/>
    <n v="114170"/>
    <n v="197500"/>
    <x v="0"/>
    <x v="0"/>
    <x v="0"/>
    <n v="3"/>
    <n v="1098"/>
    <n v="1.0259529999999999E-2"/>
    <x v="2"/>
    <n v="83330"/>
    <n v="179.8725"/>
    <x v="0"/>
    <s v="Low"/>
    <s v="Medium"/>
    <s v="June"/>
    <x v="5"/>
  </r>
  <r>
    <d v="2009-06-04T00:00:00"/>
    <x v="0"/>
    <x v="3"/>
    <n v="1455300"/>
    <n v="2200000"/>
    <x v="0"/>
    <x v="0"/>
    <x v="0"/>
    <n v="2"/>
    <n v="1061"/>
    <n v="1.0259529999999999E-2"/>
    <x v="2"/>
    <n v="744700"/>
    <n v="2073.5156000000002"/>
    <x v="0"/>
    <s v="High"/>
    <s v="Medium"/>
    <s v="June"/>
    <x v="5"/>
  </r>
  <r>
    <d v="2009-06-07T00:00:00"/>
    <x v="0"/>
    <x v="4"/>
    <n v="444584.20699999999"/>
    <n v="380000"/>
    <x v="0"/>
    <x v="0"/>
    <x v="0"/>
    <n v="2"/>
    <n v="1111.6589814177564"/>
    <n v="1.0259529999999999E-2"/>
    <x v="3"/>
    <n v="-64584.207000000002"/>
    <n v="341.83139999999997"/>
    <x v="1"/>
    <s v="Medium"/>
    <s v="Medium"/>
    <s v="June"/>
    <x v="5"/>
  </r>
  <r>
    <d v="2009-06-11T00:00:00"/>
    <x v="0"/>
    <x v="4"/>
    <n v="341530"/>
    <n v="497500"/>
    <x v="0"/>
    <x v="0"/>
    <x v="0"/>
    <n v="3"/>
    <n v="1078"/>
    <n v="1.0259529999999999E-2"/>
    <x v="1"/>
    <n v="155970"/>
    <n v="461.50279999999998"/>
    <x v="0"/>
    <s v="Medium"/>
    <s v="Medium"/>
    <s v="June"/>
    <x v="5"/>
  </r>
  <r>
    <d v="2009-06-13T00:00:00"/>
    <x v="0"/>
    <x v="2"/>
    <n v="444584.20699999999"/>
    <n v="399000"/>
    <x v="1"/>
    <x v="1"/>
    <x v="1"/>
    <n v="2"/>
    <n v="1384"/>
    <n v="1.0259529999999999E-2"/>
    <x v="0"/>
    <n v="-45584.207000000002"/>
    <n v="288.29480000000001"/>
    <x v="1"/>
    <s v="Medium"/>
    <s v="Large"/>
    <s v="June"/>
    <x v="5"/>
  </r>
  <r>
    <d v="2009-06-15T00:00:00"/>
    <x v="0"/>
    <x v="2"/>
    <n v="176890"/>
    <n v="374500"/>
    <x v="0"/>
    <x v="0"/>
    <x v="0"/>
    <n v="2"/>
    <n v="1046"/>
    <n v="1.0259529999999999E-2"/>
    <x v="0"/>
    <n v="197610"/>
    <n v="358.03059999999999"/>
    <x v="0"/>
    <s v="Medium"/>
    <s v="Medium"/>
    <s v="June"/>
    <x v="5"/>
  </r>
  <r>
    <d v="2009-06-18T00:00:00"/>
    <x v="0"/>
    <x v="0"/>
    <n v="81900"/>
    <n v="234900"/>
    <x v="0"/>
    <x v="0"/>
    <x v="0"/>
    <n v="2"/>
    <n v="906"/>
    <n v="1.0259529999999999E-2"/>
    <x v="2"/>
    <n v="153000"/>
    <n v="259.2715"/>
    <x v="0"/>
    <s v="Medium"/>
    <s v="Medium"/>
    <s v="June"/>
    <x v="5"/>
  </r>
  <r>
    <d v="2009-06-19T00:00:00"/>
    <x v="0"/>
    <x v="2"/>
    <n v="72660"/>
    <n v="197000"/>
    <x v="0"/>
    <x v="0"/>
    <x v="0"/>
    <n v="2"/>
    <n v="1051"/>
    <n v="1.0259529999999999E-2"/>
    <x v="1"/>
    <n v="124340"/>
    <n v="187.44049999999999"/>
    <x v="0"/>
    <s v="Low"/>
    <s v="Medium"/>
    <s v="June"/>
    <x v="5"/>
  </r>
  <r>
    <d v="2009-06-20T00:00:00"/>
    <x v="0"/>
    <x v="3"/>
    <n v="1274560"/>
    <n v="2000000"/>
    <x v="0"/>
    <x v="0"/>
    <x v="0"/>
    <n v="2"/>
    <n v="1000"/>
    <n v="1.0259529999999999E-2"/>
    <x v="0"/>
    <n v="725440"/>
    <n v="2000"/>
    <x v="0"/>
    <s v="High"/>
    <s v="Medium"/>
    <s v="June"/>
    <x v="5"/>
  </r>
  <r>
    <d v="2009-06-21T00:00:00"/>
    <x v="0"/>
    <x v="4"/>
    <n v="416080"/>
    <n v="675000"/>
    <x v="0"/>
    <x v="0"/>
    <x v="0"/>
    <n v="3"/>
    <n v="1060"/>
    <n v="1.0259529999999999E-2"/>
    <x v="3"/>
    <n v="258920"/>
    <n v="636.79250000000002"/>
    <x v="0"/>
    <s v="High"/>
    <s v="Medium"/>
    <s v="June"/>
    <x v="5"/>
  </r>
  <r>
    <d v="2009-06-22T00:00:00"/>
    <x v="0"/>
    <x v="2"/>
    <n v="117321"/>
    <n v="40000"/>
    <x v="0"/>
    <x v="0"/>
    <x v="0"/>
    <n v="2"/>
    <n v="1074"/>
    <n v="1.0259529999999999E-2"/>
    <x v="3"/>
    <n v="-77321"/>
    <n v="37.243899999999996"/>
    <x v="1"/>
    <s v="Low"/>
    <s v="Medium"/>
    <s v="June"/>
    <x v="5"/>
  </r>
  <r>
    <d v="2009-06-26T00:00:00"/>
    <x v="0"/>
    <x v="1"/>
    <n v="444584.20699999999"/>
    <n v="570000"/>
    <x v="1"/>
    <x v="1"/>
    <x v="1"/>
    <n v="4"/>
    <n v="1367"/>
    <n v="1.0259529999999999E-2"/>
    <x v="2"/>
    <n v="125415.79300000001"/>
    <n v="416.97149999999999"/>
    <x v="0"/>
    <s v="Medium"/>
    <s v="Large"/>
    <s v="June"/>
    <x v="5"/>
  </r>
  <r>
    <d v="2009-06-27T00:00:00"/>
    <x v="0"/>
    <x v="0"/>
    <n v="36330"/>
    <n v="143000"/>
    <x v="1"/>
    <x v="1"/>
    <x v="1"/>
    <n v="3"/>
    <n v="1399"/>
    <n v="1.0259529999999999E-2"/>
    <x v="3"/>
    <n v="106670"/>
    <n v="102.2159"/>
    <x v="0"/>
    <s v="Low"/>
    <s v="Large"/>
    <s v="June"/>
    <x v="5"/>
  </r>
  <r>
    <d v="2009-06-28T00:00:00"/>
    <x v="0"/>
    <x v="4"/>
    <n v="1052590"/>
    <n v="1100000"/>
    <x v="0"/>
    <x v="0"/>
    <x v="0"/>
    <n v="1"/>
    <n v="936"/>
    <n v="1.0259529999999999E-2"/>
    <x v="2"/>
    <n v="47410"/>
    <n v="1175.2137"/>
    <x v="0"/>
    <s v="High"/>
    <s v="Medium"/>
    <s v="June"/>
    <x v="5"/>
  </r>
  <r>
    <d v="2009-07-02T00:00:00"/>
    <x v="0"/>
    <x v="4"/>
    <n v="394940"/>
    <n v="655000"/>
    <x v="0"/>
    <x v="0"/>
    <x v="0"/>
    <n v="1"/>
    <n v="1004"/>
    <n v="1.0259529999999999E-2"/>
    <x v="3"/>
    <n v="260060"/>
    <n v="652.3904"/>
    <x v="0"/>
    <s v="High"/>
    <s v="Medium"/>
    <s v="July"/>
    <x v="6"/>
  </r>
  <r>
    <d v="2009-07-03T00:00:00"/>
    <x v="0"/>
    <x v="1"/>
    <n v="444584.20699999999"/>
    <n v="560000"/>
    <x v="0"/>
    <x v="0"/>
    <x v="0"/>
    <n v="1"/>
    <n v="978"/>
    <n v="1.0259529999999999E-2"/>
    <x v="3"/>
    <n v="115415.79300000001"/>
    <n v="572.59709999999995"/>
    <x v="0"/>
    <s v="Medium"/>
    <s v="Medium"/>
    <s v="July"/>
    <x v="6"/>
  </r>
  <r>
    <d v="2009-07-05T00:00:00"/>
    <x v="0"/>
    <x v="2"/>
    <n v="109550"/>
    <n v="230000"/>
    <x v="0"/>
    <x v="0"/>
    <x v="0"/>
    <n v="2"/>
    <n v="1009"/>
    <n v="1.0259529999999999E-2"/>
    <x v="1"/>
    <n v="120450"/>
    <n v="227.9485"/>
    <x v="0"/>
    <s v="Medium"/>
    <s v="Medium"/>
    <s v="July"/>
    <x v="6"/>
  </r>
  <r>
    <d v="2009-07-06T00:00:00"/>
    <x v="0"/>
    <x v="4"/>
    <n v="1365140"/>
    <n v="2650000"/>
    <x v="0"/>
    <x v="0"/>
    <x v="0"/>
    <n v="2"/>
    <n v="1060"/>
    <n v="1.0259529999999999E-2"/>
    <x v="2"/>
    <n v="1284860"/>
    <n v="2500"/>
    <x v="0"/>
    <s v="High"/>
    <s v="Medium"/>
    <s v="July"/>
    <x v="6"/>
  </r>
  <r>
    <d v="2009-07-09T00:00:00"/>
    <x v="0"/>
    <x v="3"/>
    <n v="3850000"/>
    <n v="7400000"/>
    <x v="0"/>
    <x v="0"/>
    <x v="0"/>
    <n v="3"/>
    <n v="1006"/>
    <n v="1.0259529999999999E-2"/>
    <x v="0"/>
    <n v="3550000"/>
    <n v="7355.8648000000003"/>
    <x v="0"/>
    <s v="High"/>
    <s v="Medium"/>
    <s v="July"/>
    <x v="6"/>
  </r>
  <r>
    <d v="2009-07-10T00:00:00"/>
    <x v="0"/>
    <x v="2"/>
    <n v="126910"/>
    <n v="335000"/>
    <x v="1"/>
    <x v="1"/>
    <x v="1"/>
    <n v="4"/>
    <n v="1111.6589814177564"/>
    <n v="1.0259529999999999E-2"/>
    <x v="2"/>
    <n v="208090"/>
    <n v="301.35140000000001"/>
    <x v="0"/>
    <s v="Medium"/>
    <s v="Medium"/>
    <s v="July"/>
    <x v="6"/>
  </r>
  <r>
    <d v="2009-07-11T00:00:00"/>
    <x v="0"/>
    <x v="1"/>
    <n v="313810"/>
    <n v="605000"/>
    <x v="0"/>
    <x v="0"/>
    <x v="0"/>
    <n v="1"/>
    <n v="1068"/>
    <n v="1.0259529999999999E-2"/>
    <x v="0"/>
    <n v="291190"/>
    <n v="566.47940000000006"/>
    <x v="0"/>
    <s v="High"/>
    <s v="Medium"/>
    <s v="July"/>
    <x v="6"/>
  </r>
  <r>
    <d v="2009-07-12T00:00:00"/>
    <x v="0"/>
    <x v="2"/>
    <n v="106471"/>
    <n v="234600"/>
    <x v="0"/>
    <x v="0"/>
    <x v="0"/>
    <n v="2"/>
    <n v="1111.6589814177564"/>
    <n v="1.0259529999999999E-2"/>
    <x v="2"/>
    <n v="128129"/>
    <n v="211.0359"/>
    <x v="0"/>
    <s v="Medium"/>
    <s v="Medium"/>
    <s v="July"/>
    <x v="6"/>
  </r>
  <r>
    <d v="2009-07-13T00:00:00"/>
    <x v="0"/>
    <x v="4"/>
    <n v="611170"/>
    <n v="715000"/>
    <x v="0"/>
    <x v="0"/>
    <x v="0"/>
    <n v="1"/>
    <n v="948"/>
    <n v="1.0259529999999999E-2"/>
    <x v="0"/>
    <n v="103830"/>
    <n v="754.21939999999995"/>
    <x v="0"/>
    <s v="High"/>
    <s v="Medium"/>
    <s v="July"/>
    <x v="6"/>
  </r>
  <r>
    <d v="2009-07-16T00:00:00"/>
    <x v="0"/>
    <x v="2"/>
    <n v="93940"/>
    <n v="150000"/>
    <x v="0"/>
    <x v="0"/>
    <x v="0"/>
    <n v="3"/>
    <n v="1045"/>
    <n v="1.0259529999999999E-2"/>
    <x v="2"/>
    <n v="56060"/>
    <n v="143.54069999999999"/>
    <x v="0"/>
    <s v="Low"/>
    <s v="Medium"/>
    <s v="July"/>
    <x v="6"/>
  </r>
  <r>
    <d v="2009-07-18T00:00:00"/>
    <x v="0"/>
    <x v="3"/>
    <n v="1260420"/>
    <n v="2300000"/>
    <x v="0"/>
    <x v="0"/>
    <x v="0"/>
    <n v="2"/>
    <n v="964"/>
    <n v="1.0259529999999999E-2"/>
    <x v="1"/>
    <n v="1039580"/>
    <n v="2385.8921"/>
    <x v="0"/>
    <s v="High"/>
    <s v="Medium"/>
    <s v="July"/>
    <x v="6"/>
  </r>
  <r>
    <d v="2009-07-19T00:00:00"/>
    <x v="0"/>
    <x v="4"/>
    <n v="354480"/>
    <n v="500000"/>
    <x v="0"/>
    <x v="0"/>
    <x v="0"/>
    <n v="1"/>
    <n v="925"/>
    <n v="1.0259529999999999E-2"/>
    <x v="0"/>
    <n v="145520"/>
    <n v="540.54049999999995"/>
    <x v="0"/>
    <s v="Medium"/>
    <s v="Medium"/>
    <s v="July"/>
    <x v="6"/>
  </r>
  <r>
    <d v="2009-07-23T00:00:00"/>
    <x v="0"/>
    <x v="1"/>
    <n v="266560"/>
    <n v="430000"/>
    <x v="1"/>
    <x v="1"/>
    <x v="1"/>
    <n v="4"/>
    <n v="1254"/>
    <n v="1.0259529999999999E-2"/>
    <x v="0"/>
    <n v="163440"/>
    <n v="342.90269999999998"/>
    <x v="0"/>
    <s v="Medium"/>
    <s v="Medium"/>
    <s v="July"/>
    <x v="6"/>
  </r>
  <r>
    <d v="2009-07-24T00:00:00"/>
    <x v="0"/>
    <x v="2"/>
    <n v="112490"/>
    <n v="259000"/>
    <x v="1"/>
    <x v="1"/>
    <x v="1"/>
    <n v="3"/>
    <n v="1296"/>
    <n v="1.0259529999999999E-2"/>
    <x v="1"/>
    <n v="146510"/>
    <n v="199.84569999999999"/>
    <x v="0"/>
    <s v="Medium"/>
    <s v="Medium"/>
    <s v="July"/>
    <x v="6"/>
  </r>
  <r>
    <d v="2009-07-25T00:00:00"/>
    <x v="0"/>
    <x v="3"/>
    <n v="4686290"/>
    <n v="11200000"/>
    <x v="0"/>
    <x v="0"/>
    <x v="0"/>
    <n v="1"/>
    <n v="969"/>
    <n v="1.0259529999999999E-2"/>
    <x v="2"/>
    <n v="6513710"/>
    <n v="11558.307500000001"/>
    <x v="0"/>
    <s v="High"/>
    <s v="Medium"/>
    <s v="July"/>
    <x v="6"/>
  </r>
  <r>
    <d v="2009-07-26T00:00:00"/>
    <x v="0"/>
    <x v="4"/>
    <n v="444584.20699999999"/>
    <n v="744000"/>
    <x v="0"/>
    <x v="0"/>
    <x v="0"/>
    <n v="1"/>
    <n v="1050"/>
    <n v="1.0259529999999999E-2"/>
    <x v="1"/>
    <n v="299415.79300000001"/>
    <n v="708.57140000000004"/>
    <x v="0"/>
    <s v="High"/>
    <s v="Medium"/>
    <s v="July"/>
    <x v="6"/>
  </r>
  <r>
    <d v="2009-07-27T00:00:00"/>
    <x v="0"/>
    <x v="1"/>
    <n v="256130"/>
    <n v="555000"/>
    <x v="0"/>
    <x v="0"/>
    <x v="0"/>
    <n v="2"/>
    <n v="1038"/>
    <n v="1.0259529999999999E-2"/>
    <x v="2"/>
    <n v="298870"/>
    <n v="534.68209999999999"/>
    <x v="0"/>
    <s v="Medium"/>
    <s v="Medium"/>
    <s v="July"/>
    <x v="6"/>
  </r>
  <r>
    <d v="2009-08-01T00:00:00"/>
    <x v="0"/>
    <x v="2"/>
    <n v="112420"/>
    <n v="250000"/>
    <x v="0"/>
    <x v="0"/>
    <x v="0"/>
    <n v="2"/>
    <n v="992"/>
    <n v="1.0259529999999999E-2"/>
    <x v="1"/>
    <n v="137580"/>
    <n v="252.01609999999999"/>
    <x v="0"/>
    <s v="Medium"/>
    <s v="Medium"/>
    <s v="August"/>
    <x v="7"/>
  </r>
  <r>
    <d v="2009-08-03T00:00:00"/>
    <x v="0"/>
    <x v="5"/>
    <n v="74970"/>
    <n v="189000"/>
    <x v="0"/>
    <x v="0"/>
    <x v="0"/>
    <n v="1"/>
    <n v="912"/>
    <n v="1.0259529999999999E-2"/>
    <x v="1"/>
    <n v="114030"/>
    <n v="207.23679999999999"/>
    <x v="0"/>
    <s v="Low"/>
    <s v="Medium"/>
    <s v="August"/>
    <x v="7"/>
  </r>
  <r>
    <d v="2009-08-06T00:00:00"/>
    <x v="0"/>
    <x v="5"/>
    <n v="81760"/>
    <n v="150000"/>
    <x v="0"/>
    <x v="0"/>
    <x v="0"/>
    <n v="2"/>
    <n v="966"/>
    <n v="1.0259529999999999E-2"/>
    <x v="2"/>
    <n v="68240"/>
    <n v="155.27950000000001"/>
    <x v="0"/>
    <s v="Low"/>
    <s v="Medium"/>
    <s v="August"/>
    <x v="7"/>
  </r>
  <r>
    <d v="2009-08-07T00:00:00"/>
    <x v="0"/>
    <x v="3"/>
    <n v="591500"/>
    <n v="697500"/>
    <x v="0"/>
    <x v="0"/>
    <x v="0"/>
    <n v="3"/>
    <n v="1099"/>
    <n v="1.0259529999999999E-2"/>
    <x v="3"/>
    <n v="106000"/>
    <n v="634.66790000000003"/>
    <x v="0"/>
    <s v="High"/>
    <s v="Medium"/>
    <s v="August"/>
    <x v="7"/>
  </r>
  <r>
    <d v="2009-08-08T00:00:00"/>
    <x v="0"/>
    <x v="2"/>
    <n v="444584.20699999999"/>
    <n v="461000"/>
    <x v="1"/>
    <x v="1"/>
    <x v="1"/>
    <n v="3"/>
    <n v="1404"/>
    <n v="1.0259529999999999E-2"/>
    <x v="3"/>
    <n v="16415.793000000001"/>
    <n v="328.3476"/>
    <x v="0"/>
    <s v="Medium"/>
    <s v="Large"/>
    <s v="August"/>
    <x v="7"/>
  </r>
  <r>
    <d v="2009-08-09T00:00:00"/>
    <x v="0"/>
    <x v="5"/>
    <n v="290430"/>
    <n v="433000"/>
    <x v="0"/>
    <x v="0"/>
    <x v="0"/>
    <n v="2"/>
    <n v="996"/>
    <n v="1.0259529999999999E-2"/>
    <x v="3"/>
    <n v="142570"/>
    <n v="434.73899999999998"/>
    <x v="0"/>
    <s v="Medium"/>
    <s v="Medium"/>
    <s v="August"/>
    <x v="7"/>
  </r>
  <r>
    <d v="2009-08-10T00:00:00"/>
    <x v="0"/>
    <x v="1"/>
    <n v="269360"/>
    <n v="550000"/>
    <x v="1"/>
    <x v="1"/>
    <x v="1"/>
    <n v="4"/>
    <n v="1245"/>
    <n v="1.0259529999999999E-2"/>
    <x v="0"/>
    <n v="280640"/>
    <n v="441.76710000000003"/>
    <x v="0"/>
    <s v="Medium"/>
    <s v="Medium"/>
    <s v="August"/>
    <x v="7"/>
  </r>
  <r>
    <d v="2009-08-13T00:00:00"/>
    <x v="0"/>
    <x v="1"/>
    <n v="420210"/>
    <n v="795100"/>
    <x v="0"/>
    <x v="0"/>
    <x v="0"/>
    <n v="2"/>
    <n v="1111.6589814177564"/>
    <n v="1.0259529999999999E-2"/>
    <x v="1"/>
    <n v="374890"/>
    <n v="715.2373"/>
    <x v="0"/>
    <s v="High"/>
    <s v="Medium"/>
    <s v="August"/>
    <x v="7"/>
  </r>
  <r>
    <d v="2009-08-15T00:00:00"/>
    <x v="0"/>
    <x v="2"/>
    <n v="109060"/>
    <n v="155000"/>
    <x v="0"/>
    <x v="0"/>
    <x v="0"/>
    <n v="1"/>
    <n v="934"/>
    <n v="1.0259529999999999E-2"/>
    <x v="3"/>
    <n v="45940"/>
    <n v="165.9529"/>
    <x v="0"/>
    <s v="Low"/>
    <s v="Medium"/>
    <s v="August"/>
    <x v="7"/>
  </r>
  <r>
    <d v="2009-08-17T00:00:00"/>
    <x v="0"/>
    <x v="1"/>
    <n v="257110"/>
    <n v="580000"/>
    <x v="1"/>
    <x v="1"/>
    <x v="1"/>
    <n v="2"/>
    <n v="1420"/>
    <n v="1.0259529999999999E-2"/>
    <x v="0"/>
    <n v="322890"/>
    <n v="408.45069999999998"/>
    <x v="0"/>
    <s v="Medium"/>
    <s v="Large"/>
    <s v="August"/>
    <x v="7"/>
  </r>
  <r>
    <d v="2009-08-20T00:00:00"/>
    <x v="0"/>
    <x v="4"/>
    <n v="2060240"/>
    <n v="3000000"/>
    <x v="0"/>
    <x v="0"/>
    <x v="0"/>
    <n v="2"/>
    <n v="1070"/>
    <n v="1.0259529999999999E-2"/>
    <x v="3"/>
    <n v="939760"/>
    <n v="2803.7383"/>
    <x v="0"/>
    <s v="High"/>
    <s v="Medium"/>
    <s v="August"/>
    <x v="7"/>
  </r>
  <r>
    <d v="2009-08-21T00:00:00"/>
    <x v="0"/>
    <x v="4"/>
    <n v="924210"/>
    <n v="1237500"/>
    <x v="0"/>
    <x v="0"/>
    <x v="0"/>
    <n v="3"/>
    <n v="1033"/>
    <n v="1.0259529999999999E-2"/>
    <x v="0"/>
    <n v="313290"/>
    <n v="1197.9671000000001"/>
    <x v="0"/>
    <s v="High"/>
    <s v="Medium"/>
    <s v="August"/>
    <x v="7"/>
  </r>
  <r>
    <d v="2009-08-22T00:00:00"/>
    <x v="0"/>
    <x v="0"/>
    <n v="444584.20699999999"/>
    <n v="219900"/>
    <x v="0"/>
    <x v="0"/>
    <x v="0"/>
    <n v="3"/>
    <n v="915"/>
    <n v="1.0259529999999999E-2"/>
    <x v="3"/>
    <n v="-224684.20699999999"/>
    <n v="240.3279"/>
    <x v="1"/>
    <s v="Medium"/>
    <s v="Medium"/>
    <s v="August"/>
    <x v="7"/>
  </r>
  <r>
    <d v="2009-08-23T00:00:00"/>
    <x v="0"/>
    <x v="0"/>
    <n v="73780"/>
    <n v="81450"/>
    <x v="0"/>
    <x v="0"/>
    <x v="0"/>
    <n v="3"/>
    <n v="991"/>
    <n v="1.0259529999999999E-2"/>
    <x v="2"/>
    <n v="7670"/>
    <n v="82.189700000000002"/>
    <x v="0"/>
    <s v="Low"/>
    <s v="Medium"/>
    <s v="August"/>
    <x v="7"/>
  </r>
  <r>
    <d v="2009-08-24T00:00:00"/>
    <x v="0"/>
    <x v="0"/>
    <n v="79380"/>
    <n v="186000"/>
    <x v="0"/>
    <x v="0"/>
    <x v="0"/>
    <n v="3"/>
    <n v="940"/>
    <n v="1.0259529999999999E-2"/>
    <x v="0"/>
    <n v="106620"/>
    <n v="197.8723"/>
    <x v="0"/>
    <s v="Low"/>
    <s v="Medium"/>
    <s v="August"/>
    <x v="7"/>
  </r>
  <r>
    <d v="2009-08-27T00:00:00"/>
    <x v="0"/>
    <x v="2"/>
    <n v="131574"/>
    <n v="175000"/>
    <x v="0"/>
    <x v="0"/>
    <x v="0"/>
    <n v="2"/>
    <n v="1053"/>
    <n v="1.0259529999999999E-2"/>
    <x v="0"/>
    <n v="43426"/>
    <n v="166.1918"/>
    <x v="0"/>
    <s v="Low"/>
    <s v="Medium"/>
    <s v="August"/>
    <x v="7"/>
  </r>
  <r>
    <d v="2009-08-28T00:00:00"/>
    <x v="0"/>
    <x v="2"/>
    <n v="130410"/>
    <n v="282500"/>
    <x v="0"/>
    <x v="0"/>
    <x v="0"/>
    <n v="2"/>
    <n v="1050"/>
    <n v="1.0259529999999999E-2"/>
    <x v="2"/>
    <n v="152090"/>
    <n v="269.04759999999999"/>
    <x v="0"/>
    <s v="Medium"/>
    <s v="Medium"/>
    <s v="August"/>
    <x v="7"/>
  </r>
  <r>
    <d v="2009-08-29T00:00:00"/>
    <x v="0"/>
    <x v="2"/>
    <n v="47040"/>
    <n v="256000"/>
    <x v="2"/>
    <x v="2"/>
    <x v="2"/>
    <n v="4"/>
    <n v="1811"/>
    <n v="1.0259529999999999E-2"/>
    <x v="1"/>
    <n v="208960"/>
    <n v="141.35839999999999"/>
    <x v="0"/>
    <s v="Medium"/>
    <s v="Large"/>
    <s v="August"/>
    <x v="7"/>
  </r>
  <r>
    <d v="2009-08-30T00:00:00"/>
    <x v="0"/>
    <x v="2"/>
    <n v="46340"/>
    <n v="113500"/>
    <x v="0"/>
    <x v="0"/>
    <x v="0"/>
    <n v="3"/>
    <n v="1044"/>
    <n v="1.0259529999999999E-2"/>
    <x v="2"/>
    <n v="67160"/>
    <n v="108.7165"/>
    <x v="0"/>
    <s v="Low"/>
    <s v="Medium"/>
    <s v="August"/>
    <x v="7"/>
  </r>
  <r>
    <d v="2009-09-04T00:00:00"/>
    <x v="0"/>
    <x v="4"/>
    <n v="1351000"/>
    <n v="1999000"/>
    <x v="0"/>
    <x v="0"/>
    <x v="0"/>
    <n v="2"/>
    <n v="1111.6589814177564"/>
    <n v="1.0259529999999999E-2"/>
    <x v="2"/>
    <n v="648000"/>
    <n v="1798.2132999999999"/>
    <x v="0"/>
    <s v="High"/>
    <s v="Medium"/>
    <s v="September"/>
    <x v="8"/>
  </r>
  <r>
    <d v="2009-09-05T00:00:00"/>
    <x v="0"/>
    <x v="5"/>
    <n v="73500"/>
    <n v="200000"/>
    <x v="2"/>
    <x v="2"/>
    <x v="2"/>
    <n v="6"/>
    <n v="2185"/>
    <n v="1.0259529999999999E-2"/>
    <x v="0"/>
    <n v="126500"/>
    <n v="91.533199999999994"/>
    <x v="0"/>
    <s v="Medium"/>
    <s v="Large"/>
    <s v="September"/>
    <x v="8"/>
  </r>
  <r>
    <d v="2009-09-07T00:00:00"/>
    <x v="0"/>
    <x v="4"/>
    <n v="444584.20699999999"/>
    <n v="1320000"/>
    <x v="0"/>
    <x v="0"/>
    <x v="0"/>
    <n v="1"/>
    <n v="1078"/>
    <n v="1.0259529999999999E-2"/>
    <x v="2"/>
    <n v="875415.79299999995"/>
    <n v="1224.4898000000001"/>
    <x v="0"/>
    <s v="High"/>
    <s v="Medium"/>
    <s v="September"/>
    <x v="8"/>
  </r>
  <r>
    <d v="2009-09-10T00:00:00"/>
    <x v="0"/>
    <x v="0"/>
    <n v="70770"/>
    <n v="140000"/>
    <x v="0"/>
    <x v="0"/>
    <x v="0"/>
    <n v="2"/>
    <n v="1012"/>
    <n v="1.0259529999999999E-2"/>
    <x v="2"/>
    <n v="69230"/>
    <n v="138.3399"/>
    <x v="0"/>
    <s v="Low"/>
    <s v="Medium"/>
    <s v="September"/>
    <x v="8"/>
  </r>
  <r>
    <d v="2009-09-17T00:00:00"/>
    <x v="0"/>
    <x v="1"/>
    <n v="271950"/>
    <n v="520000"/>
    <x v="0"/>
    <x v="0"/>
    <x v="0"/>
    <n v="1"/>
    <n v="937"/>
    <n v="1.0259529999999999E-2"/>
    <x v="3"/>
    <n v="248050"/>
    <n v="554.96259999999995"/>
    <x v="0"/>
    <s v="Medium"/>
    <s v="Medium"/>
    <s v="September"/>
    <x v="8"/>
  </r>
  <r>
    <d v="2009-09-18T00:00:00"/>
    <x v="0"/>
    <x v="5"/>
    <n v="115150"/>
    <n v="183000"/>
    <x v="0"/>
    <x v="0"/>
    <x v="0"/>
    <n v="2"/>
    <n v="979"/>
    <n v="1.0259529999999999E-2"/>
    <x v="1"/>
    <n v="67850"/>
    <n v="186.9254"/>
    <x v="0"/>
    <s v="Low"/>
    <s v="Medium"/>
    <s v="September"/>
    <x v="8"/>
  </r>
  <r>
    <d v="2009-09-20T00:00:00"/>
    <x v="0"/>
    <x v="5"/>
    <n v="115290"/>
    <n v="200000"/>
    <x v="0"/>
    <x v="0"/>
    <x v="0"/>
    <n v="1"/>
    <n v="1028"/>
    <n v="1.0259529999999999E-2"/>
    <x v="2"/>
    <n v="84710"/>
    <n v="194.55250000000001"/>
    <x v="0"/>
    <s v="Medium"/>
    <s v="Medium"/>
    <s v="September"/>
    <x v="8"/>
  </r>
  <r>
    <d v="2009-09-21T00:00:00"/>
    <x v="0"/>
    <x v="4"/>
    <n v="367290"/>
    <n v="470000"/>
    <x v="0"/>
    <x v="0"/>
    <x v="0"/>
    <n v="2"/>
    <n v="945"/>
    <n v="1.0259529999999999E-2"/>
    <x v="1"/>
    <n v="102710"/>
    <n v="497.35449999999997"/>
    <x v="0"/>
    <s v="Medium"/>
    <s v="Medium"/>
    <s v="September"/>
    <x v="8"/>
  </r>
  <r>
    <d v="2009-09-24T00:00:00"/>
    <x v="0"/>
    <x v="3"/>
    <n v="1017730"/>
    <n v="1950000"/>
    <x v="0"/>
    <x v="0"/>
    <x v="0"/>
    <n v="3"/>
    <n v="967"/>
    <n v="1.0259529999999999E-2"/>
    <x v="2"/>
    <n v="932270"/>
    <n v="2016.546"/>
    <x v="0"/>
    <s v="High"/>
    <s v="Medium"/>
    <s v="September"/>
    <x v="8"/>
  </r>
  <r>
    <d v="2009-09-25T00:00:00"/>
    <x v="0"/>
    <x v="4"/>
    <n v="325920"/>
    <n v="370000"/>
    <x v="0"/>
    <x v="0"/>
    <x v="0"/>
    <n v="1"/>
    <n v="1094"/>
    <n v="1.0259529999999999E-2"/>
    <x v="0"/>
    <n v="44080"/>
    <n v="338.20839999999998"/>
    <x v="0"/>
    <s v="Medium"/>
    <s v="Medium"/>
    <s v="September"/>
    <x v="8"/>
  </r>
  <r>
    <d v="2009-09-26T00:00:00"/>
    <x v="0"/>
    <x v="0"/>
    <n v="91980"/>
    <n v="270000"/>
    <x v="0"/>
    <x v="0"/>
    <x v="0"/>
    <n v="3"/>
    <n v="900"/>
    <n v="1.0259529999999999E-2"/>
    <x v="0"/>
    <n v="178020"/>
    <n v="300"/>
    <x v="0"/>
    <s v="Medium"/>
    <s v="Medium"/>
    <s v="September"/>
    <x v="8"/>
  </r>
  <r>
    <d v="2009-09-28T00:00:00"/>
    <x v="0"/>
    <x v="2"/>
    <n v="137130"/>
    <n v="255000"/>
    <x v="1"/>
    <x v="1"/>
    <x v="1"/>
    <n v="3"/>
    <n v="1200"/>
    <n v="1.0259529999999999E-2"/>
    <x v="2"/>
    <n v="117870"/>
    <n v="212.5"/>
    <x v="0"/>
    <s v="Medium"/>
    <s v="Medium"/>
    <s v="September"/>
    <x v="8"/>
  </r>
  <r>
    <d v="2009-10-01T00:00:00"/>
    <x v="0"/>
    <x v="6"/>
    <n v="174800"/>
    <n v="275000"/>
    <x v="0"/>
    <x v="0"/>
    <x v="0"/>
    <n v="1"/>
    <n v="917"/>
    <n v="1.0259529999999999E-2"/>
    <x v="0"/>
    <n v="100200"/>
    <n v="299.89089999999999"/>
    <x v="0"/>
    <s v="Medium"/>
    <s v="Medium"/>
    <s v="October"/>
    <x v="9"/>
  </r>
  <r>
    <d v="2009-10-02T00:00:00"/>
    <x v="0"/>
    <x v="1"/>
    <n v="258720"/>
    <n v="510000"/>
    <x v="0"/>
    <x v="0"/>
    <x v="0"/>
    <n v="3"/>
    <n v="1111.6589814177564"/>
    <n v="1.0259529999999999E-2"/>
    <x v="1"/>
    <n v="251280"/>
    <n v="458.77379999999999"/>
    <x v="0"/>
    <s v="Medium"/>
    <s v="Medium"/>
    <s v="October"/>
    <x v="9"/>
  </r>
  <r>
    <d v="2009-10-03T00:00:00"/>
    <x v="0"/>
    <x v="5"/>
    <n v="82320"/>
    <n v="170000"/>
    <x v="0"/>
    <x v="0"/>
    <x v="0"/>
    <n v="1"/>
    <n v="903"/>
    <n v="1.0259529999999999E-2"/>
    <x v="1"/>
    <n v="87680"/>
    <n v="188.26140000000001"/>
    <x v="0"/>
    <s v="Low"/>
    <s v="Medium"/>
    <s v="October"/>
    <x v="9"/>
  </r>
  <r>
    <d v="2009-10-05T00:00:00"/>
    <x v="0"/>
    <x v="1"/>
    <n v="444584.20699999999"/>
    <n v="400000"/>
    <x v="0"/>
    <x v="0"/>
    <x v="0"/>
    <n v="2"/>
    <n v="935"/>
    <n v="1.0259529999999999E-2"/>
    <x v="1"/>
    <n v="-44584.207000000002"/>
    <n v="427.8075"/>
    <x v="1"/>
    <s v="Medium"/>
    <s v="Medium"/>
    <s v="October"/>
    <x v="9"/>
  </r>
  <r>
    <d v="2009-10-09T00:00:00"/>
    <x v="0"/>
    <x v="4"/>
    <n v="1249080"/>
    <n v="1620000"/>
    <x v="0"/>
    <x v="0"/>
    <x v="0"/>
    <n v="2"/>
    <n v="975"/>
    <n v="1.0259529999999999E-2"/>
    <x v="1"/>
    <n v="370920"/>
    <n v="1661.5385000000001"/>
    <x v="0"/>
    <s v="High"/>
    <s v="Medium"/>
    <s v="October"/>
    <x v="9"/>
  </r>
  <r>
    <d v="2009-10-10T00:00:00"/>
    <x v="0"/>
    <x v="1"/>
    <n v="300440"/>
    <n v="560000"/>
    <x v="0"/>
    <x v="0"/>
    <x v="0"/>
    <n v="2"/>
    <n v="971"/>
    <n v="1.0259529999999999E-2"/>
    <x v="3"/>
    <n v="259560"/>
    <n v="576.72500000000002"/>
    <x v="0"/>
    <s v="Medium"/>
    <s v="Medium"/>
    <s v="October"/>
    <x v="9"/>
  </r>
  <r>
    <d v="2009-10-11T00:00:00"/>
    <x v="0"/>
    <x v="2"/>
    <n v="99050"/>
    <n v="180250"/>
    <x v="0"/>
    <x v="0"/>
    <x v="0"/>
    <n v="3"/>
    <n v="1111.6589814177564"/>
    <n v="1.0259529999999999E-2"/>
    <x v="1"/>
    <n v="81200"/>
    <n v="162.14500000000001"/>
    <x v="0"/>
    <s v="Low"/>
    <s v="Medium"/>
    <s v="October"/>
    <x v="9"/>
  </r>
  <r>
    <d v="2009-10-12T00:00:00"/>
    <x v="0"/>
    <x v="2"/>
    <n v="118130"/>
    <n v="283500"/>
    <x v="0"/>
    <x v="0"/>
    <x v="0"/>
    <n v="1"/>
    <n v="1111.6589814177564"/>
    <n v="1.0259529999999999E-2"/>
    <x v="3"/>
    <n v="165370"/>
    <n v="255.02430000000001"/>
    <x v="0"/>
    <s v="Medium"/>
    <s v="Medium"/>
    <s v="October"/>
    <x v="9"/>
  </r>
  <r>
    <d v="2009-10-16T00:00:00"/>
    <x v="0"/>
    <x v="2"/>
    <n v="116970"/>
    <n v="127000"/>
    <x v="1"/>
    <x v="1"/>
    <x v="1"/>
    <n v="2"/>
    <n v="1288"/>
    <n v="1.0259529999999999E-2"/>
    <x v="0"/>
    <n v="10030"/>
    <n v="98.602500000000006"/>
    <x v="0"/>
    <s v="Low"/>
    <s v="Medium"/>
    <s v="October"/>
    <x v="9"/>
  </r>
  <r>
    <d v="2009-10-17T00:00:00"/>
    <x v="0"/>
    <x v="2"/>
    <n v="114520"/>
    <n v="230000"/>
    <x v="0"/>
    <x v="0"/>
    <x v="0"/>
    <n v="2"/>
    <n v="1001"/>
    <n v="1.0259529999999999E-2"/>
    <x v="1"/>
    <n v="115480"/>
    <n v="229.77019999999999"/>
    <x v="0"/>
    <s v="Medium"/>
    <s v="Medium"/>
    <s v="October"/>
    <x v="9"/>
  </r>
  <r>
    <d v="2009-10-18T00:00:00"/>
    <x v="0"/>
    <x v="4"/>
    <n v="1658230"/>
    <n v="2100000"/>
    <x v="0"/>
    <x v="0"/>
    <x v="0"/>
    <n v="3"/>
    <n v="1037"/>
    <n v="1.0259529999999999E-2"/>
    <x v="2"/>
    <n v="441770"/>
    <n v="2025.0723"/>
    <x v="0"/>
    <s v="High"/>
    <s v="Medium"/>
    <s v="October"/>
    <x v="9"/>
  </r>
  <r>
    <d v="2009-10-19T00:00:00"/>
    <x v="0"/>
    <x v="3"/>
    <n v="1773170"/>
    <n v="2650000"/>
    <x v="0"/>
    <x v="0"/>
    <x v="0"/>
    <n v="3"/>
    <n v="1087"/>
    <n v="1.0259529999999999E-2"/>
    <x v="2"/>
    <n v="876830"/>
    <n v="2437.9025000000001"/>
    <x v="0"/>
    <s v="High"/>
    <s v="Medium"/>
    <s v="October"/>
    <x v="9"/>
  </r>
  <r>
    <d v="2009-10-22T00:00:00"/>
    <x v="0"/>
    <x v="2"/>
    <n v="444584.20699999999"/>
    <n v="305550"/>
    <x v="2"/>
    <x v="2"/>
    <x v="2"/>
    <n v="4"/>
    <n v="1909"/>
    <n v="1.0259529999999999E-2"/>
    <x v="2"/>
    <n v="-139034.20699999999"/>
    <n v="160.05760000000001"/>
    <x v="1"/>
    <s v="Medium"/>
    <s v="Large"/>
    <s v="October"/>
    <x v="9"/>
  </r>
  <r>
    <d v="2009-10-25T00:00:00"/>
    <x v="0"/>
    <x v="2"/>
    <n v="99700"/>
    <n v="220000"/>
    <x v="0"/>
    <x v="0"/>
    <x v="0"/>
    <n v="1"/>
    <n v="937"/>
    <n v="1.0259529999999999E-2"/>
    <x v="1"/>
    <n v="120300"/>
    <n v="234.7919"/>
    <x v="0"/>
    <s v="Medium"/>
    <s v="Medium"/>
    <s v="October"/>
    <x v="9"/>
  </r>
  <r>
    <d v="2009-10-26T00:00:00"/>
    <x v="0"/>
    <x v="2"/>
    <n v="174670"/>
    <n v="304100"/>
    <x v="0"/>
    <x v="0"/>
    <x v="0"/>
    <n v="2"/>
    <n v="933"/>
    <n v="1.0259529999999999E-2"/>
    <x v="1"/>
    <n v="129430"/>
    <n v="325.93779999999998"/>
    <x v="0"/>
    <s v="Medium"/>
    <s v="Medium"/>
    <s v="October"/>
    <x v="9"/>
  </r>
  <r>
    <d v="2009-10-30T00:00:00"/>
    <x v="0"/>
    <x v="6"/>
    <n v="249900"/>
    <n v="356000"/>
    <x v="0"/>
    <x v="0"/>
    <x v="0"/>
    <n v="3"/>
    <n v="1083"/>
    <n v="1.0259529999999999E-2"/>
    <x v="0"/>
    <n v="106100"/>
    <n v="328.7165"/>
    <x v="0"/>
    <s v="Medium"/>
    <s v="Medium"/>
    <s v="October"/>
    <x v="9"/>
  </r>
  <r>
    <d v="2009-10-31T00:00:00"/>
    <x v="0"/>
    <x v="5"/>
    <n v="184730"/>
    <n v="225000"/>
    <x v="0"/>
    <x v="0"/>
    <x v="0"/>
    <n v="3"/>
    <n v="1031"/>
    <n v="1.0259529999999999E-2"/>
    <x v="1"/>
    <n v="40270"/>
    <n v="218.2347"/>
    <x v="0"/>
    <s v="Medium"/>
    <s v="Medium"/>
    <s v="October"/>
    <x v="9"/>
  </r>
  <r>
    <d v="2009-11-01T00:00:00"/>
    <x v="0"/>
    <x v="4"/>
    <n v="631820"/>
    <n v="925000"/>
    <x v="0"/>
    <x v="0"/>
    <x v="0"/>
    <n v="3"/>
    <n v="1079"/>
    <n v="1.0259529999999999E-2"/>
    <x v="2"/>
    <n v="293180"/>
    <n v="857.27530000000002"/>
    <x v="0"/>
    <s v="High"/>
    <s v="Medium"/>
    <s v="November"/>
    <x v="10"/>
  </r>
  <r>
    <d v="2009-11-02T00:00:00"/>
    <x v="0"/>
    <x v="1"/>
    <n v="393260"/>
    <n v="785000"/>
    <x v="0"/>
    <x v="0"/>
    <x v="0"/>
    <n v="3"/>
    <n v="1111.6589814177564"/>
    <n v="1.0259529999999999E-2"/>
    <x v="2"/>
    <n v="391740"/>
    <n v="706.15179999999998"/>
    <x v="0"/>
    <s v="High"/>
    <s v="Medium"/>
    <s v="November"/>
    <x v="10"/>
  </r>
  <r>
    <d v="2009-11-05T00:00:00"/>
    <x v="0"/>
    <x v="3"/>
    <n v="1479870"/>
    <n v="2075000"/>
    <x v="0"/>
    <x v="0"/>
    <x v="0"/>
    <n v="3"/>
    <n v="1111.6589814177564"/>
    <n v="1.0259529999999999E-2"/>
    <x v="2"/>
    <n v="595130"/>
    <n v="1866.5796"/>
    <x v="0"/>
    <s v="High"/>
    <s v="Medium"/>
    <s v="November"/>
    <x v="10"/>
  </r>
  <r>
    <d v="2009-11-07T00:00:00"/>
    <x v="0"/>
    <x v="6"/>
    <n v="142600"/>
    <n v="170000"/>
    <x v="0"/>
    <x v="0"/>
    <x v="0"/>
    <n v="3"/>
    <n v="1111.6589814177564"/>
    <n v="1.0259529999999999E-2"/>
    <x v="1"/>
    <n v="27400"/>
    <n v="152.9246"/>
    <x v="0"/>
    <s v="Low"/>
    <s v="Medium"/>
    <s v="November"/>
    <x v="10"/>
  </r>
  <r>
    <d v="2009-11-08T00:00:00"/>
    <x v="0"/>
    <x v="2"/>
    <n v="115080"/>
    <n v="125000"/>
    <x v="0"/>
    <x v="0"/>
    <x v="0"/>
    <n v="2"/>
    <n v="992"/>
    <n v="1.0259529999999999E-2"/>
    <x v="1"/>
    <n v="9920"/>
    <n v="126.0081"/>
    <x v="0"/>
    <s v="Low"/>
    <s v="Medium"/>
    <s v="November"/>
    <x v="10"/>
  </r>
  <r>
    <d v="2009-11-13T00:00:00"/>
    <x v="0"/>
    <x v="4"/>
    <n v="903420"/>
    <n v="2100000"/>
    <x v="0"/>
    <x v="0"/>
    <x v="0"/>
    <n v="1"/>
    <n v="1057"/>
    <n v="1.0259529999999999E-2"/>
    <x v="0"/>
    <n v="1196580"/>
    <n v="1986.7550000000001"/>
    <x v="0"/>
    <s v="High"/>
    <s v="Medium"/>
    <s v="November"/>
    <x v="10"/>
  </r>
  <r>
    <d v="2009-11-14T00:00:00"/>
    <x v="0"/>
    <x v="5"/>
    <n v="186200"/>
    <n v="297000"/>
    <x v="0"/>
    <x v="0"/>
    <x v="0"/>
    <n v="1"/>
    <n v="923"/>
    <n v="1.0259529999999999E-2"/>
    <x v="0"/>
    <n v="110800"/>
    <n v="321.77679999999998"/>
    <x v="0"/>
    <s v="Medium"/>
    <s v="Medium"/>
    <s v="November"/>
    <x v="10"/>
  </r>
  <r>
    <d v="2009-11-15T00:00:00"/>
    <x v="0"/>
    <x v="3"/>
    <n v="626780"/>
    <n v="827000"/>
    <x v="0"/>
    <x v="0"/>
    <x v="0"/>
    <n v="2"/>
    <n v="933"/>
    <n v="1.0259529999999999E-2"/>
    <x v="1"/>
    <n v="200220"/>
    <n v="886.38800000000003"/>
    <x v="0"/>
    <s v="High"/>
    <s v="Medium"/>
    <s v="November"/>
    <x v="10"/>
  </r>
  <r>
    <d v="2009-11-16T00:00:00"/>
    <x v="0"/>
    <x v="1"/>
    <n v="344050"/>
    <n v="725000"/>
    <x v="0"/>
    <x v="0"/>
    <x v="0"/>
    <n v="3"/>
    <n v="977"/>
    <n v="1.0259529999999999E-2"/>
    <x v="2"/>
    <n v="380950"/>
    <n v="742.06759999999997"/>
    <x v="0"/>
    <s v="High"/>
    <s v="Medium"/>
    <s v="November"/>
    <x v="10"/>
  </r>
  <r>
    <d v="2009-11-19T00:00:00"/>
    <x v="0"/>
    <x v="2"/>
    <n v="82671"/>
    <n v="155000"/>
    <x v="1"/>
    <x v="1"/>
    <x v="1"/>
    <n v="2"/>
    <n v="1111.6589814177564"/>
    <n v="1.0259529999999999E-2"/>
    <x v="2"/>
    <n v="72329"/>
    <n v="139.43119999999999"/>
    <x v="0"/>
    <s v="Low"/>
    <s v="Medium"/>
    <s v="November"/>
    <x v="10"/>
  </r>
  <r>
    <d v="2009-11-20T00:00:00"/>
    <x v="0"/>
    <x v="2"/>
    <n v="97440"/>
    <n v="174900"/>
    <x v="0"/>
    <x v="0"/>
    <x v="0"/>
    <n v="3"/>
    <n v="956"/>
    <n v="1.0259529999999999E-2"/>
    <x v="2"/>
    <n v="77460"/>
    <n v="182.94980000000001"/>
    <x v="0"/>
    <s v="Low"/>
    <s v="Medium"/>
    <s v="November"/>
    <x v="10"/>
  </r>
  <r>
    <d v="2009-11-21T00:00:00"/>
    <x v="0"/>
    <x v="4"/>
    <n v="419020"/>
    <n v="665000"/>
    <x v="0"/>
    <x v="0"/>
    <x v="0"/>
    <n v="1"/>
    <n v="1030"/>
    <n v="1.0259529999999999E-2"/>
    <x v="2"/>
    <n v="245980"/>
    <n v="645.63109999999995"/>
    <x v="0"/>
    <s v="High"/>
    <s v="Medium"/>
    <s v="November"/>
    <x v="10"/>
  </r>
  <r>
    <d v="2009-11-26T00:00:00"/>
    <x v="0"/>
    <x v="2"/>
    <n v="89810"/>
    <n v="205000"/>
    <x v="0"/>
    <x v="0"/>
    <x v="0"/>
    <n v="3"/>
    <n v="1111.6589814177564"/>
    <n v="1.0259529999999999E-2"/>
    <x v="2"/>
    <n v="115190"/>
    <n v="184.4091"/>
    <x v="0"/>
    <s v="Medium"/>
    <s v="Medium"/>
    <s v="November"/>
    <x v="10"/>
  </r>
  <r>
    <d v="2009-11-27T00:00:00"/>
    <x v="0"/>
    <x v="3"/>
    <n v="1966300"/>
    <n v="2750000"/>
    <x v="0"/>
    <x v="0"/>
    <x v="0"/>
    <n v="1"/>
    <n v="1050"/>
    <n v="1.0259529999999999E-2"/>
    <x v="3"/>
    <n v="783700"/>
    <n v="2619.0475999999999"/>
    <x v="0"/>
    <s v="High"/>
    <s v="Medium"/>
    <s v="November"/>
    <x v="10"/>
  </r>
  <r>
    <d v="2009-11-28T00:00:00"/>
    <x v="0"/>
    <x v="2"/>
    <n v="444584.20699999999"/>
    <n v="300000"/>
    <x v="1"/>
    <x v="1"/>
    <x v="1"/>
    <n v="2"/>
    <n v="1412"/>
    <n v="1.0259529999999999E-2"/>
    <x v="0"/>
    <n v="-144584.20699999999"/>
    <n v="212.46459999999999"/>
    <x v="1"/>
    <s v="Medium"/>
    <s v="Large"/>
    <s v="November"/>
    <x v="10"/>
  </r>
  <r>
    <d v="2009-11-30T00:00:00"/>
    <x v="0"/>
    <x v="5"/>
    <n v="365330"/>
    <n v="518000"/>
    <x v="0"/>
    <x v="0"/>
    <x v="0"/>
    <n v="3"/>
    <n v="1002"/>
    <n v="1.0259529999999999E-2"/>
    <x v="3"/>
    <n v="152670"/>
    <n v="516.96609999999998"/>
    <x v="0"/>
    <s v="Medium"/>
    <s v="Medium"/>
    <s v="November"/>
    <x v="10"/>
  </r>
  <r>
    <d v="2009-12-03T00:00:00"/>
    <x v="0"/>
    <x v="2"/>
    <n v="110180"/>
    <n v="203000"/>
    <x v="0"/>
    <x v="0"/>
    <x v="0"/>
    <n v="2"/>
    <n v="977"/>
    <n v="1.0259529999999999E-2"/>
    <x v="3"/>
    <n v="92820"/>
    <n v="207.77889999999999"/>
    <x v="0"/>
    <s v="Medium"/>
    <s v="Medium"/>
    <s v="December"/>
    <x v="11"/>
  </r>
  <r>
    <d v="2009-12-04T00:00:00"/>
    <x v="0"/>
    <x v="3"/>
    <n v="444584.20699999999"/>
    <n v="1200000"/>
    <x v="0"/>
    <x v="0"/>
    <x v="0"/>
    <n v="2"/>
    <n v="910"/>
    <n v="1.0259529999999999E-2"/>
    <x v="0"/>
    <n v="755415.79299999995"/>
    <n v="1318.6813"/>
    <x v="0"/>
    <s v="High"/>
    <s v="Medium"/>
    <s v="December"/>
    <x v="11"/>
  </r>
  <r>
    <d v="2009-12-05T00:00:00"/>
    <x v="0"/>
    <x v="2"/>
    <n v="76020"/>
    <n v="185000"/>
    <x v="0"/>
    <x v="0"/>
    <x v="0"/>
    <n v="3"/>
    <n v="925"/>
    <n v="1.0259529999999999E-2"/>
    <x v="2"/>
    <n v="108980"/>
    <n v="200"/>
    <x v="0"/>
    <s v="Low"/>
    <s v="Medium"/>
    <s v="December"/>
    <x v="11"/>
  </r>
  <r>
    <d v="2009-12-06T00:00:00"/>
    <x v="0"/>
    <x v="5"/>
    <n v="170380"/>
    <n v="308000"/>
    <x v="1"/>
    <x v="1"/>
    <x v="1"/>
    <n v="3"/>
    <n v="1111.6589814177564"/>
    <n v="1.0259529999999999E-2"/>
    <x v="2"/>
    <n v="137620"/>
    <n v="277.0634"/>
    <x v="0"/>
    <s v="Medium"/>
    <s v="Medium"/>
    <s v="December"/>
    <x v="11"/>
  </r>
  <r>
    <d v="2009-12-07T00:00:00"/>
    <x v="0"/>
    <x v="1"/>
    <n v="1433880"/>
    <n v="3150000"/>
    <x v="0"/>
    <x v="0"/>
    <x v="0"/>
    <n v="2"/>
    <n v="1069"/>
    <n v="1.0259529999999999E-2"/>
    <x v="0"/>
    <n v="1716120"/>
    <n v="2946.6790999999998"/>
    <x v="0"/>
    <s v="High"/>
    <s v="Medium"/>
    <s v="December"/>
    <x v="11"/>
  </r>
  <r>
    <d v="2009-12-11T00:00:00"/>
    <x v="0"/>
    <x v="4"/>
    <n v="360150"/>
    <n v="400000"/>
    <x v="0"/>
    <x v="0"/>
    <x v="0"/>
    <n v="2"/>
    <n v="974"/>
    <n v="1.0259529999999999E-2"/>
    <x v="0"/>
    <n v="39850"/>
    <n v="410.67759999999998"/>
    <x v="0"/>
    <s v="Medium"/>
    <s v="Medium"/>
    <s v="December"/>
    <x v="11"/>
  </r>
  <r>
    <d v="2009-12-12T00:00:00"/>
    <x v="0"/>
    <x v="2"/>
    <n v="125230"/>
    <n v="217000"/>
    <x v="0"/>
    <x v="0"/>
    <x v="0"/>
    <n v="3"/>
    <n v="971"/>
    <n v="1.0259529999999999E-2"/>
    <x v="0"/>
    <n v="91770"/>
    <n v="223.48089999999999"/>
    <x v="0"/>
    <s v="Medium"/>
    <s v="Medium"/>
    <s v="December"/>
    <x v="11"/>
  </r>
  <r>
    <d v="2009-12-14T00:00:00"/>
    <x v="0"/>
    <x v="1"/>
    <n v="402150"/>
    <n v="1075000"/>
    <x v="0"/>
    <x v="0"/>
    <x v="0"/>
    <n v="1"/>
    <n v="953"/>
    <n v="1.0259529999999999E-2"/>
    <x v="2"/>
    <n v="672850"/>
    <n v="1128.0168000000001"/>
    <x v="0"/>
    <s v="High"/>
    <s v="Medium"/>
    <s v="December"/>
    <x v="11"/>
  </r>
  <r>
    <d v="2009-12-17T00:00:00"/>
    <x v="0"/>
    <x v="2"/>
    <n v="444584.20699999999"/>
    <n v="153352"/>
    <x v="0"/>
    <x v="0"/>
    <x v="0"/>
    <n v="3"/>
    <n v="915"/>
    <n v="1.0259529999999999E-2"/>
    <x v="2"/>
    <n v="-291232.20699999999"/>
    <n v="167.59780000000001"/>
    <x v="1"/>
    <s v="Low"/>
    <s v="Medium"/>
    <s v="December"/>
    <x v="11"/>
  </r>
  <r>
    <d v="2009-12-18T00:00:00"/>
    <x v="0"/>
    <x v="1"/>
    <n v="245000"/>
    <n v="487000"/>
    <x v="1"/>
    <x v="1"/>
    <x v="1"/>
    <n v="3"/>
    <n v="1373"/>
    <n v="1.0259529999999999E-2"/>
    <x v="1"/>
    <n v="242000"/>
    <n v="354.6977"/>
    <x v="0"/>
    <s v="Medium"/>
    <s v="Large"/>
    <s v="December"/>
    <x v="11"/>
  </r>
  <r>
    <d v="2009-12-19T00:00:00"/>
    <x v="0"/>
    <x v="6"/>
    <n v="273300"/>
    <n v="400000"/>
    <x v="0"/>
    <x v="0"/>
    <x v="0"/>
    <n v="2"/>
    <n v="1025"/>
    <n v="1.0259529999999999E-2"/>
    <x v="3"/>
    <n v="126700"/>
    <n v="390.2439"/>
    <x v="0"/>
    <s v="Medium"/>
    <s v="Medium"/>
    <s v="December"/>
    <x v="11"/>
  </r>
  <r>
    <d v="2009-12-20T00:00:00"/>
    <x v="0"/>
    <x v="1"/>
    <n v="444584.20699999999"/>
    <n v="635000"/>
    <x v="0"/>
    <x v="0"/>
    <x v="0"/>
    <n v="3"/>
    <n v="1085"/>
    <n v="1.0259529999999999E-2"/>
    <x v="3"/>
    <n v="190415.79300000001"/>
    <n v="585.25350000000003"/>
    <x v="0"/>
    <s v="High"/>
    <s v="Medium"/>
    <s v="December"/>
    <x v="11"/>
  </r>
  <r>
    <d v="2009-12-24T00:00:00"/>
    <x v="0"/>
    <x v="1"/>
    <n v="444584.20699999999"/>
    <n v="540000"/>
    <x v="0"/>
    <x v="0"/>
    <x v="0"/>
    <n v="1"/>
    <n v="1111.6589814177564"/>
    <n v="1.0259529999999999E-2"/>
    <x v="1"/>
    <n v="95415.793000000005"/>
    <n v="485.76049999999998"/>
    <x v="0"/>
    <s v="Medium"/>
    <s v="Medium"/>
    <s v="December"/>
    <x v="11"/>
  </r>
  <r>
    <d v="2009-12-26T00:00:00"/>
    <x v="0"/>
    <x v="1"/>
    <n v="409080"/>
    <n v="500000"/>
    <x v="0"/>
    <x v="0"/>
    <x v="0"/>
    <n v="1"/>
    <n v="912"/>
    <n v="1.0259529999999999E-2"/>
    <x v="1"/>
    <n v="90920"/>
    <n v="548.24559999999997"/>
    <x v="0"/>
    <s v="Medium"/>
    <s v="Medium"/>
    <s v="December"/>
    <x v="11"/>
  </r>
  <r>
    <d v="2009-12-27T00:00:00"/>
    <x v="0"/>
    <x v="2"/>
    <n v="444584.20699999999"/>
    <n v="115000"/>
    <x v="0"/>
    <x v="0"/>
    <x v="0"/>
    <n v="3"/>
    <n v="938"/>
    <n v="1.0259529999999999E-2"/>
    <x v="0"/>
    <n v="-329584.20699999999"/>
    <n v="122.60129999999999"/>
    <x v="1"/>
    <s v="Low"/>
    <s v="Medium"/>
    <s v="December"/>
    <x v="11"/>
  </r>
  <r>
    <d v="2009-12-28T00:00:00"/>
    <x v="0"/>
    <x v="2"/>
    <n v="80500"/>
    <n v="150000"/>
    <x v="0"/>
    <x v="0"/>
    <x v="0"/>
    <n v="2"/>
    <n v="1043"/>
    <n v="1.0259529999999999E-2"/>
    <x v="0"/>
    <n v="69500"/>
    <n v="143.8159"/>
    <x v="0"/>
    <s v="Low"/>
    <s v="Medium"/>
    <s v="December"/>
    <x v="11"/>
  </r>
  <r>
    <d v="2009-12-31T00:00:00"/>
    <x v="0"/>
    <x v="4"/>
    <n v="898590"/>
    <n v="1195000"/>
    <x v="0"/>
    <x v="0"/>
    <x v="0"/>
    <n v="2"/>
    <n v="947"/>
    <n v="1.0259529999999999E-2"/>
    <x v="0"/>
    <n v="296410"/>
    <n v="1261.8796"/>
    <x v="0"/>
    <s v="High"/>
    <s v="Medium"/>
    <s v="December"/>
    <x v="11"/>
  </r>
  <r>
    <d v="2010-01-02T00:00:00"/>
    <x v="1"/>
    <x v="5"/>
    <n v="444584.20699999999"/>
    <n v="725000"/>
    <x v="0"/>
    <x v="0"/>
    <x v="0"/>
    <n v="1"/>
    <n v="967"/>
    <n v="1.025846E-2"/>
    <x v="1"/>
    <n v="280415.79300000001"/>
    <n v="749.74149999999997"/>
    <x v="0"/>
    <s v="High"/>
    <s v="Medium"/>
    <s v="January"/>
    <x v="0"/>
  </r>
  <r>
    <d v="2010-01-03T00:00:00"/>
    <x v="1"/>
    <x v="2"/>
    <n v="154360"/>
    <n v="375000"/>
    <x v="0"/>
    <x v="0"/>
    <x v="0"/>
    <n v="3"/>
    <n v="1111.6589814177564"/>
    <n v="1.025846E-2"/>
    <x v="0"/>
    <n v="220640"/>
    <n v="337.33370000000002"/>
    <x v="0"/>
    <s v="Medium"/>
    <s v="Medium"/>
    <s v="January"/>
    <x v="0"/>
  </r>
  <r>
    <d v="2010-01-07T00:00:00"/>
    <x v="1"/>
    <x v="3"/>
    <n v="608440"/>
    <n v="850000"/>
    <x v="0"/>
    <x v="0"/>
    <x v="0"/>
    <n v="1"/>
    <n v="900"/>
    <n v="1.025846E-2"/>
    <x v="1"/>
    <n v="241560"/>
    <n v="944.44439999999997"/>
    <x v="0"/>
    <s v="High"/>
    <s v="Medium"/>
    <s v="January"/>
    <x v="0"/>
  </r>
  <r>
    <d v="2010-01-08T00:00:00"/>
    <x v="1"/>
    <x v="3"/>
    <n v="640220"/>
    <n v="60576"/>
    <x v="1"/>
    <x v="1"/>
    <x v="1"/>
    <n v="4"/>
    <n v="1324"/>
    <n v="1.025846E-2"/>
    <x v="1"/>
    <n v="-579644"/>
    <n v="45.752299999999998"/>
    <x v="1"/>
    <s v="Low"/>
    <s v="Large"/>
    <s v="January"/>
    <x v="0"/>
  </r>
  <r>
    <d v="2010-01-09T00:00:00"/>
    <x v="1"/>
    <x v="1"/>
    <n v="216160"/>
    <n v="385000"/>
    <x v="0"/>
    <x v="0"/>
    <x v="0"/>
    <n v="3"/>
    <n v="1048"/>
    <n v="1.025846E-2"/>
    <x v="2"/>
    <n v="168840"/>
    <n v="367.3664"/>
    <x v="0"/>
    <s v="Medium"/>
    <s v="Medium"/>
    <s v="January"/>
    <x v="0"/>
  </r>
  <r>
    <d v="2010-01-10T00:00:00"/>
    <x v="1"/>
    <x v="5"/>
    <n v="127260"/>
    <n v="240000"/>
    <x v="2"/>
    <x v="2"/>
    <x v="2"/>
    <n v="6"/>
    <n v="1988"/>
    <n v="1.025846E-2"/>
    <x v="2"/>
    <n v="112740"/>
    <n v="120.7243"/>
    <x v="0"/>
    <s v="Medium"/>
    <s v="Large"/>
    <s v="January"/>
    <x v="0"/>
  </r>
  <r>
    <d v="2010-01-15T00:00:00"/>
    <x v="1"/>
    <x v="4"/>
    <n v="304360"/>
    <n v="351000"/>
    <x v="0"/>
    <x v="0"/>
    <x v="0"/>
    <n v="3"/>
    <n v="901"/>
    <n v="1.025846E-2"/>
    <x v="0"/>
    <n v="46640"/>
    <n v="389.56709999999998"/>
    <x v="0"/>
    <s v="Medium"/>
    <s v="Medium"/>
    <s v="January"/>
    <x v="0"/>
  </r>
  <r>
    <d v="2010-01-17T00:00:00"/>
    <x v="1"/>
    <x v="6"/>
    <n v="117100"/>
    <n v="130000"/>
    <x v="0"/>
    <x v="0"/>
    <x v="0"/>
    <n v="1"/>
    <n v="924"/>
    <n v="1.025846E-2"/>
    <x v="3"/>
    <n v="12900"/>
    <n v="140.6926"/>
    <x v="0"/>
    <s v="Low"/>
    <s v="Medium"/>
    <s v="January"/>
    <x v="0"/>
  </r>
  <r>
    <d v="2010-01-18T00:00:00"/>
    <x v="1"/>
    <x v="3"/>
    <n v="699510"/>
    <n v="790000"/>
    <x v="0"/>
    <x v="0"/>
    <x v="0"/>
    <n v="1"/>
    <n v="1076"/>
    <n v="1.025846E-2"/>
    <x v="3"/>
    <n v="90490"/>
    <n v="734.20069999999998"/>
    <x v="0"/>
    <s v="High"/>
    <s v="Medium"/>
    <s v="January"/>
    <x v="0"/>
  </r>
  <r>
    <d v="2010-01-24T00:00:00"/>
    <x v="1"/>
    <x v="6"/>
    <n v="738500"/>
    <n v="1430000"/>
    <x v="0"/>
    <x v="0"/>
    <x v="0"/>
    <n v="3"/>
    <n v="1005"/>
    <n v="1.025846E-2"/>
    <x v="1"/>
    <n v="691500"/>
    <n v="1422.8856000000001"/>
    <x v="0"/>
    <s v="High"/>
    <s v="Medium"/>
    <s v="January"/>
    <x v="0"/>
  </r>
  <r>
    <d v="2010-01-28T00:00:00"/>
    <x v="1"/>
    <x v="2"/>
    <n v="0"/>
    <n v="199750"/>
    <x v="2"/>
    <x v="2"/>
    <x v="2"/>
    <n v="5"/>
    <n v="1895"/>
    <n v="1.025846E-2"/>
    <x v="3"/>
    <n v="199750"/>
    <n v="105.40900000000001"/>
    <x v="0"/>
    <s v="Low"/>
    <s v="Large"/>
    <s v="January"/>
    <x v="0"/>
  </r>
  <r>
    <d v="2010-01-31T00:00:00"/>
    <x v="1"/>
    <x v="2"/>
    <n v="147840"/>
    <n v="215000"/>
    <x v="0"/>
    <x v="0"/>
    <x v="0"/>
    <n v="1"/>
    <n v="1111.6589814177564"/>
    <n v="1.025846E-2"/>
    <x v="1"/>
    <n v="67160"/>
    <n v="193.40459999999999"/>
    <x v="0"/>
    <s v="Medium"/>
    <s v="Medium"/>
    <s v="January"/>
    <x v="0"/>
  </r>
  <r>
    <d v="2010-02-01T00:00:00"/>
    <x v="1"/>
    <x v="1"/>
    <n v="236670"/>
    <n v="448000"/>
    <x v="0"/>
    <x v="0"/>
    <x v="0"/>
    <n v="1"/>
    <n v="979"/>
    <n v="1.025846E-2"/>
    <x v="3"/>
    <n v="211330"/>
    <n v="457.60980000000001"/>
    <x v="0"/>
    <s v="Medium"/>
    <s v="Medium"/>
    <s v="February"/>
    <x v="1"/>
  </r>
  <r>
    <d v="2010-02-05T00:00:00"/>
    <x v="1"/>
    <x v="4"/>
    <n v="1009260"/>
    <n v="1425000"/>
    <x v="0"/>
    <x v="0"/>
    <x v="0"/>
    <n v="2"/>
    <n v="1111.6589814177564"/>
    <n v="1.025846E-2"/>
    <x v="0"/>
    <n v="415740"/>
    <n v="1281.8679"/>
    <x v="0"/>
    <s v="High"/>
    <s v="Medium"/>
    <s v="February"/>
    <x v="1"/>
  </r>
  <r>
    <d v="2010-02-07T00:00:00"/>
    <x v="1"/>
    <x v="5"/>
    <n v="256200"/>
    <n v="187500"/>
    <x v="2"/>
    <x v="2"/>
    <x v="2"/>
    <n v="6"/>
    <n v="1920"/>
    <n v="1.025846E-2"/>
    <x v="1"/>
    <n v="-68700"/>
    <n v="97.656199999999998"/>
    <x v="1"/>
    <s v="Low"/>
    <s v="Large"/>
    <s v="February"/>
    <x v="1"/>
  </r>
  <r>
    <d v="2010-02-08T00:00:00"/>
    <x v="1"/>
    <x v="2"/>
    <n v="56290"/>
    <n v="131500"/>
    <x v="0"/>
    <x v="0"/>
    <x v="0"/>
    <n v="3"/>
    <n v="1061"/>
    <n v="1.025846E-2"/>
    <x v="2"/>
    <n v="75210"/>
    <n v="123.9397"/>
    <x v="0"/>
    <s v="Low"/>
    <s v="Medium"/>
    <s v="February"/>
    <x v="1"/>
  </r>
  <r>
    <d v="2010-02-12T00:00:00"/>
    <x v="1"/>
    <x v="2"/>
    <n v="177060"/>
    <n v="226770"/>
    <x v="2"/>
    <x v="2"/>
    <x v="2"/>
    <n v="5"/>
    <n v="1111.6589814177564"/>
    <n v="1.025846E-2"/>
    <x v="2"/>
    <n v="49710"/>
    <n v="203.9924"/>
    <x v="0"/>
    <s v="Medium"/>
    <s v="Medium"/>
    <s v="February"/>
    <x v="1"/>
  </r>
  <r>
    <d v="2010-02-14T00:00:00"/>
    <x v="1"/>
    <x v="3"/>
    <n v="1522360"/>
    <n v="2170000"/>
    <x v="0"/>
    <x v="0"/>
    <x v="0"/>
    <n v="3"/>
    <n v="1025"/>
    <n v="1.025846E-2"/>
    <x v="2"/>
    <n v="647640"/>
    <n v="2117.0731999999998"/>
    <x v="0"/>
    <s v="High"/>
    <s v="Medium"/>
    <s v="February"/>
    <x v="1"/>
  </r>
  <r>
    <d v="2010-02-19T00:00:00"/>
    <x v="1"/>
    <x v="4"/>
    <n v="826490"/>
    <n v="1612500"/>
    <x v="0"/>
    <x v="0"/>
    <x v="0"/>
    <n v="3"/>
    <n v="1066"/>
    <n v="1.025846E-2"/>
    <x v="0"/>
    <n v="786010"/>
    <n v="1512.6641999999999"/>
    <x v="0"/>
    <s v="High"/>
    <s v="Medium"/>
    <s v="February"/>
    <x v="1"/>
  </r>
  <r>
    <d v="2010-02-20T00:00:00"/>
    <x v="1"/>
    <x v="4"/>
    <n v="355040"/>
    <n v="310000"/>
    <x v="0"/>
    <x v="0"/>
    <x v="0"/>
    <n v="2"/>
    <n v="1017"/>
    <n v="1.025846E-2"/>
    <x v="2"/>
    <n v="-45040"/>
    <n v="304.81810000000002"/>
    <x v="1"/>
    <s v="Medium"/>
    <s v="Medium"/>
    <s v="February"/>
    <x v="1"/>
  </r>
  <r>
    <d v="2010-02-21T00:00:00"/>
    <x v="1"/>
    <x v="3"/>
    <n v="3373300"/>
    <n v="4200000"/>
    <x v="0"/>
    <x v="0"/>
    <x v="0"/>
    <n v="2"/>
    <n v="1087"/>
    <n v="1.025846E-2"/>
    <x v="0"/>
    <n v="826700"/>
    <n v="3863.8454000000002"/>
    <x v="0"/>
    <s v="High"/>
    <s v="Medium"/>
    <s v="February"/>
    <x v="1"/>
  </r>
  <r>
    <d v="2010-02-27T00:00:00"/>
    <x v="1"/>
    <x v="5"/>
    <n v="1607200"/>
    <n v="1800000"/>
    <x v="0"/>
    <x v="0"/>
    <x v="0"/>
    <n v="2"/>
    <n v="1050"/>
    <n v="1.025846E-2"/>
    <x v="2"/>
    <n v="192800"/>
    <n v="1714.2856999999999"/>
    <x v="0"/>
    <s v="High"/>
    <s v="Medium"/>
    <s v="February"/>
    <x v="1"/>
  </r>
  <r>
    <d v="2010-03-05T00:00:00"/>
    <x v="1"/>
    <x v="3"/>
    <n v="666190"/>
    <n v="925000"/>
    <x v="0"/>
    <x v="0"/>
    <x v="0"/>
    <n v="1"/>
    <n v="1042"/>
    <n v="1.025846E-2"/>
    <x v="0"/>
    <n v="258810"/>
    <n v="887.71590000000003"/>
    <x v="0"/>
    <s v="High"/>
    <s v="Medium"/>
    <s v="March"/>
    <x v="2"/>
  </r>
  <r>
    <d v="2010-03-06T00:00:00"/>
    <x v="1"/>
    <x v="1"/>
    <n v="462420"/>
    <n v="808000"/>
    <x v="0"/>
    <x v="0"/>
    <x v="0"/>
    <n v="2"/>
    <n v="1099"/>
    <n v="1.025846E-2"/>
    <x v="2"/>
    <n v="345580"/>
    <n v="735.21379999999999"/>
    <x v="0"/>
    <s v="High"/>
    <s v="Medium"/>
    <s v="March"/>
    <x v="2"/>
  </r>
  <r>
    <d v="2010-03-10T00:00:00"/>
    <x v="1"/>
    <x v="1"/>
    <n v="194950"/>
    <n v="290000"/>
    <x v="0"/>
    <x v="0"/>
    <x v="0"/>
    <n v="2"/>
    <n v="968"/>
    <n v="1.025846E-2"/>
    <x v="0"/>
    <n v="95050"/>
    <n v="299.58679999999998"/>
    <x v="0"/>
    <s v="Medium"/>
    <s v="Medium"/>
    <s v="March"/>
    <x v="2"/>
  </r>
  <r>
    <d v="2010-03-12T00:00:00"/>
    <x v="1"/>
    <x v="6"/>
    <n v="183000"/>
    <n v="255000"/>
    <x v="0"/>
    <x v="0"/>
    <x v="0"/>
    <n v="3"/>
    <n v="1011"/>
    <n v="1.025846E-2"/>
    <x v="2"/>
    <n v="72000"/>
    <n v="252.22550000000001"/>
    <x v="0"/>
    <s v="Medium"/>
    <s v="Medium"/>
    <s v="March"/>
    <x v="2"/>
  </r>
  <r>
    <d v="2010-03-13T00:00:00"/>
    <x v="1"/>
    <x v="1"/>
    <n v="187880"/>
    <n v="320000"/>
    <x v="0"/>
    <x v="0"/>
    <x v="0"/>
    <n v="3"/>
    <n v="1086"/>
    <n v="1.025846E-2"/>
    <x v="3"/>
    <n v="132120"/>
    <n v="294.65929999999997"/>
    <x v="0"/>
    <s v="Medium"/>
    <s v="Medium"/>
    <s v="March"/>
    <x v="2"/>
  </r>
  <r>
    <d v="2010-03-18T00:00:00"/>
    <x v="1"/>
    <x v="6"/>
    <n v="189300"/>
    <n v="275000"/>
    <x v="0"/>
    <x v="0"/>
    <x v="0"/>
    <n v="2"/>
    <n v="951"/>
    <n v="1.025846E-2"/>
    <x v="1"/>
    <n v="85700"/>
    <n v="289.16930000000002"/>
    <x v="0"/>
    <s v="Medium"/>
    <s v="Medium"/>
    <s v="March"/>
    <x v="2"/>
  </r>
  <r>
    <d v="2010-03-19T00:00:00"/>
    <x v="1"/>
    <x v="2"/>
    <n v="115530"/>
    <n v="180000"/>
    <x v="0"/>
    <x v="0"/>
    <x v="0"/>
    <n v="1"/>
    <n v="1042"/>
    <n v="1.025846E-2"/>
    <x v="2"/>
    <n v="64470"/>
    <n v="172.74469999999999"/>
    <x v="0"/>
    <s v="Low"/>
    <s v="Medium"/>
    <s v="March"/>
    <x v="2"/>
  </r>
  <r>
    <d v="2010-03-20T00:00:00"/>
    <x v="1"/>
    <x v="4"/>
    <n v="512960"/>
    <n v="690000"/>
    <x v="0"/>
    <x v="0"/>
    <x v="0"/>
    <n v="1"/>
    <n v="1111.6589814177564"/>
    <n v="1.025846E-2"/>
    <x v="2"/>
    <n v="177040"/>
    <n v="620.69389999999999"/>
    <x v="0"/>
    <s v="High"/>
    <s v="Medium"/>
    <s v="March"/>
    <x v="2"/>
  </r>
  <r>
    <d v="2010-03-24T00:00:00"/>
    <x v="1"/>
    <x v="4"/>
    <n v="625940"/>
    <n v="655000"/>
    <x v="0"/>
    <x v="0"/>
    <x v="0"/>
    <n v="1"/>
    <n v="1012"/>
    <n v="1.025846E-2"/>
    <x v="3"/>
    <n v="29060"/>
    <n v="647.23320000000001"/>
    <x v="0"/>
    <s v="High"/>
    <s v="Medium"/>
    <s v="March"/>
    <x v="2"/>
  </r>
  <r>
    <d v="2010-03-25T00:00:00"/>
    <x v="1"/>
    <x v="1"/>
    <n v="1262660"/>
    <n v="1775000"/>
    <x v="0"/>
    <x v="0"/>
    <x v="0"/>
    <n v="1"/>
    <n v="1031"/>
    <n v="1.025846E-2"/>
    <x v="3"/>
    <n v="512340"/>
    <n v="1721.6295"/>
    <x v="0"/>
    <s v="High"/>
    <s v="Medium"/>
    <s v="March"/>
    <x v="2"/>
  </r>
  <r>
    <d v="2010-03-28T00:00:00"/>
    <x v="1"/>
    <x v="5"/>
    <n v="444584.20699999999"/>
    <n v="860000"/>
    <x v="0"/>
    <x v="0"/>
    <x v="0"/>
    <n v="3"/>
    <n v="974"/>
    <n v="1.025846E-2"/>
    <x v="0"/>
    <n v="415415.79300000001"/>
    <n v="882.95690000000002"/>
    <x v="0"/>
    <s v="High"/>
    <s v="Medium"/>
    <s v="March"/>
    <x v="2"/>
  </r>
  <r>
    <d v="2010-04-01T00:00:00"/>
    <x v="1"/>
    <x v="4"/>
    <n v="363440"/>
    <n v="475000"/>
    <x v="0"/>
    <x v="0"/>
    <x v="0"/>
    <n v="3"/>
    <n v="939"/>
    <n v="1.025846E-2"/>
    <x v="0"/>
    <n v="111560"/>
    <n v="505.85730000000001"/>
    <x v="0"/>
    <s v="Medium"/>
    <s v="Medium"/>
    <s v="April"/>
    <x v="3"/>
  </r>
  <r>
    <d v="2010-04-02T00:00:00"/>
    <x v="1"/>
    <x v="6"/>
    <n v="186600"/>
    <n v="302000"/>
    <x v="1"/>
    <x v="1"/>
    <x v="1"/>
    <n v="4"/>
    <n v="1439"/>
    <n v="1.025846E-2"/>
    <x v="1"/>
    <n v="115400"/>
    <n v="209.86799999999999"/>
    <x v="0"/>
    <s v="Medium"/>
    <s v="Large"/>
    <s v="April"/>
    <x v="3"/>
  </r>
  <r>
    <d v="2010-04-09T00:00:00"/>
    <x v="1"/>
    <x v="3"/>
    <n v="748930"/>
    <n v="1450000"/>
    <x v="0"/>
    <x v="0"/>
    <x v="0"/>
    <n v="2"/>
    <n v="1046"/>
    <n v="1.025846E-2"/>
    <x v="1"/>
    <n v="701070"/>
    <n v="1386.2333000000001"/>
    <x v="0"/>
    <s v="High"/>
    <s v="Medium"/>
    <s v="April"/>
    <x v="3"/>
  </r>
  <r>
    <d v="2010-04-10T00:00:00"/>
    <x v="1"/>
    <x v="6"/>
    <n v="140400"/>
    <n v="180000"/>
    <x v="0"/>
    <x v="0"/>
    <x v="0"/>
    <n v="1"/>
    <n v="1053"/>
    <n v="1.025846E-2"/>
    <x v="3"/>
    <n v="39600"/>
    <n v="170.9402"/>
    <x v="0"/>
    <s v="Low"/>
    <s v="Medium"/>
    <s v="April"/>
    <x v="3"/>
  </r>
  <r>
    <d v="2010-04-11T00:00:00"/>
    <x v="1"/>
    <x v="1"/>
    <n v="247240"/>
    <n v="497000"/>
    <x v="0"/>
    <x v="0"/>
    <x v="0"/>
    <n v="2"/>
    <n v="1029"/>
    <n v="1.025846E-2"/>
    <x v="1"/>
    <n v="249760"/>
    <n v="482.9932"/>
    <x v="0"/>
    <s v="Medium"/>
    <s v="Medium"/>
    <s v="April"/>
    <x v="3"/>
  </r>
  <r>
    <d v="2010-04-14T00:00:00"/>
    <x v="1"/>
    <x v="4"/>
    <n v="205940"/>
    <n v="166666"/>
    <x v="0"/>
    <x v="0"/>
    <x v="0"/>
    <n v="3"/>
    <n v="1073"/>
    <n v="1.025846E-2"/>
    <x v="1"/>
    <n v="-39274"/>
    <n v="155.3271"/>
    <x v="1"/>
    <s v="Low"/>
    <s v="Medium"/>
    <s v="April"/>
    <x v="3"/>
  </r>
  <r>
    <d v="2010-04-16T00:00:00"/>
    <x v="1"/>
    <x v="2"/>
    <n v="107040"/>
    <n v="150000"/>
    <x v="1"/>
    <x v="1"/>
    <x v="1"/>
    <n v="2"/>
    <n v="1267"/>
    <n v="1.025846E-2"/>
    <x v="2"/>
    <n v="42960"/>
    <n v="118.3899"/>
    <x v="0"/>
    <s v="Low"/>
    <s v="Medium"/>
    <s v="April"/>
    <x v="3"/>
  </r>
  <r>
    <d v="2010-04-21T00:00:00"/>
    <x v="1"/>
    <x v="6"/>
    <n v="149600"/>
    <n v="225000"/>
    <x v="0"/>
    <x v="0"/>
    <x v="0"/>
    <n v="3"/>
    <n v="912"/>
    <n v="1.025846E-2"/>
    <x v="0"/>
    <n v="75400"/>
    <n v="246.7105"/>
    <x v="0"/>
    <s v="Medium"/>
    <s v="Medium"/>
    <s v="April"/>
    <x v="3"/>
  </r>
  <r>
    <d v="2010-04-22T00:00:00"/>
    <x v="1"/>
    <x v="2"/>
    <n v="192360"/>
    <n v="550000"/>
    <x v="0"/>
    <x v="0"/>
    <x v="0"/>
    <n v="1"/>
    <n v="1111.6589814177564"/>
    <n v="1.025846E-2"/>
    <x v="3"/>
    <n v="357640"/>
    <n v="494.75599999999997"/>
    <x v="0"/>
    <s v="Medium"/>
    <s v="Medium"/>
    <s v="April"/>
    <x v="3"/>
  </r>
  <r>
    <d v="2010-04-23T00:00:00"/>
    <x v="1"/>
    <x v="3"/>
    <n v="444584.20699999999"/>
    <n v="1875000"/>
    <x v="0"/>
    <x v="0"/>
    <x v="0"/>
    <n v="3"/>
    <n v="1111.6589814177564"/>
    <n v="1.025846E-2"/>
    <x v="2"/>
    <n v="1430415.7930000001"/>
    <n v="1686.6683"/>
    <x v="0"/>
    <s v="High"/>
    <s v="Medium"/>
    <s v="April"/>
    <x v="3"/>
  </r>
  <r>
    <d v="2010-04-25T00:00:00"/>
    <x v="1"/>
    <x v="2"/>
    <n v="162411"/>
    <n v="249900"/>
    <x v="0"/>
    <x v="0"/>
    <x v="0"/>
    <n v="2"/>
    <n v="1111.6589814177564"/>
    <n v="1.025846E-2"/>
    <x v="2"/>
    <n v="87489"/>
    <n v="224.79920000000001"/>
    <x v="0"/>
    <s v="Medium"/>
    <s v="Medium"/>
    <s v="April"/>
    <x v="3"/>
  </r>
  <r>
    <d v="2010-04-29T00:00:00"/>
    <x v="1"/>
    <x v="2"/>
    <n v="105690"/>
    <n v="165000"/>
    <x v="0"/>
    <x v="0"/>
    <x v="0"/>
    <n v="3"/>
    <n v="910"/>
    <n v="1.025846E-2"/>
    <x v="3"/>
    <n v="59310"/>
    <n v="181.31870000000001"/>
    <x v="0"/>
    <s v="Low"/>
    <s v="Medium"/>
    <s v="April"/>
    <x v="3"/>
  </r>
  <r>
    <d v="2010-04-30T00:00:00"/>
    <x v="1"/>
    <x v="2"/>
    <n v="103460"/>
    <n v="227615"/>
    <x v="0"/>
    <x v="0"/>
    <x v="0"/>
    <n v="1"/>
    <n v="928"/>
    <n v="1.025846E-2"/>
    <x v="0"/>
    <n v="124155"/>
    <n v="245.2748"/>
    <x v="0"/>
    <s v="Medium"/>
    <s v="Medium"/>
    <s v="April"/>
    <x v="3"/>
  </r>
  <r>
    <d v="2010-05-01T00:00:00"/>
    <x v="1"/>
    <x v="3"/>
    <n v="1356390"/>
    <n v="1850000"/>
    <x v="0"/>
    <x v="0"/>
    <x v="0"/>
    <n v="3"/>
    <n v="970"/>
    <n v="1.025846E-2"/>
    <x v="0"/>
    <n v="493610"/>
    <n v="1907.2165"/>
    <x v="0"/>
    <s v="High"/>
    <s v="Medium"/>
    <s v="May"/>
    <x v="4"/>
  </r>
  <r>
    <d v="2010-05-02T00:00:00"/>
    <x v="1"/>
    <x v="2"/>
    <n v="103670"/>
    <n v="234900"/>
    <x v="0"/>
    <x v="0"/>
    <x v="0"/>
    <n v="1"/>
    <n v="958"/>
    <n v="1.025846E-2"/>
    <x v="2"/>
    <n v="131230"/>
    <n v="245.19829999999999"/>
    <x v="0"/>
    <s v="Medium"/>
    <s v="Medium"/>
    <s v="May"/>
    <x v="4"/>
  </r>
  <r>
    <d v="2010-05-05T00:00:00"/>
    <x v="1"/>
    <x v="2"/>
    <n v="99190"/>
    <n v="160000"/>
    <x v="0"/>
    <x v="0"/>
    <x v="0"/>
    <n v="1"/>
    <n v="904"/>
    <n v="1.025846E-2"/>
    <x v="3"/>
    <n v="60810"/>
    <n v="176.99119999999999"/>
    <x v="0"/>
    <s v="Low"/>
    <s v="Medium"/>
    <s v="May"/>
    <x v="4"/>
  </r>
  <r>
    <d v="2010-05-07T00:00:00"/>
    <x v="1"/>
    <x v="1"/>
    <n v="299191"/>
    <n v="389000"/>
    <x v="1"/>
    <x v="1"/>
    <x v="1"/>
    <n v="4"/>
    <n v="1278"/>
    <n v="1.025846E-2"/>
    <x v="1"/>
    <n v="89809"/>
    <n v="304.3818"/>
    <x v="0"/>
    <s v="Medium"/>
    <s v="Medium"/>
    <s v="May"/>
    <x v="4"/>
  </r>
  <r>
    <d v="2010-05-08T00:00:00"/>
    <x v="1"/>
    <x v="2"/>
    <n v="113880"/>
    <n v="177225"/>
    <x v="2"/>
    <x v="2"/>
    <x v="2"/>
    <n v="6"/>
    <n v="1831"/>
    <n v="1.025846E-2"/>
    <x v="3"/>
    <n v="63345"/>
    <n v="96.791399999999996"/>
    <x v="0"/>
    <s v="Low"/>
    <s v="Large"/>
    <s v="May"/>
    <x v="4"/>
  </r>
  <r>
    <d v="2010-05-12T00:00:00"/>
    <x v="1"/>
    <x v="4"/>
    <n v="444584.20699999999"/>
    <n v="1082500"/>
    <x v="0"/>
    <x v="0"/>
    <x v="0"/>
    <n v="3"/>
    <n v="1111.6589814177564"/>
    <n v="1.025846E-2"/>
    <x v="2"/>
    <n v="637915.79299999995"/>
    <n v="973.76990000000001"/>
    <x v="0"/>
    <s v="High"/>
    <s v="Medium"/>
    <s v="May"/>
    <x v="4"/>
  </r>
  <r>
    <d v="2010-05-13T00:00:00"/>
    <x v="1"/>
    <x v="2"/>
    <n v="84620"/>
    <n v="140000"/>
    <x v="0"/>
    <x v="0"/>
    <x v="0"/>
    <n v="1"/>
    <n v="1017"/>
    <n v="1.025846E-2"/>
    <x v="1"/>
    <n v="55380"/>
    <n v="137.65979999999999"/>
    <x v="0"/>
    <s v="Low"/>
    <s v="Medium"/>
    <s v="May"/>
    <x v="4"/>
  </r>
  <r>
    <d v="2010-05-14T00:00:00"/>
    <x v="1"/>
    <x v="3"/>
    <n v="460390"/>
    <n v="690000"/>
    <x v="0"/>
    <x v="0"/>
    <x v="0"/>
    <n v="3"/>
    <n v="1028"/>
    <n v="1.025846E-2"/>
    <x v="0"/>
    <n v="229610"/>
    <n v="671.20619999999997"/>
    <x v="0"/>
    <s v="High"/>
    <s v="Medium"/>
    <s v="May"/>
    <x v="4"/>
  </r>
  <r>
    <d v="2010-05-15T00:00:00"/>
    <x v="1"/>
    <x v="4"/>
    <n v="1154650"/>
    <n v="1737550"/>
    <x v="0"/>
    <x v="0"/>
    <x v="0"/>
    <n v="3"/>
    <n v="1039"/>
    <n v="1.025846E-2"/>
    <x v="1"/>
    <n v="582900"/>
    <n v="1672.3291999999999"/>
    <x v="0"/>
    <s v="High"/>
    <s v="Medium"/>
    <s v="May"/>
    <x v="4"/>
  </r>
  <r>
    <d v="2010-05-16T00:00:00"/>
    <x v="1"/>
    <x v="5"/>
    <n v="238300"/>
    <n v="294556"/>
    <x v="2"/>
    <x v="2"/>
    <x v="2"/>
    <n v="4"/>
    <n v="1834"/>
    <n v="1.025846E-2"/>
    <x v="0"/>
    <n v="56256"/>
    <n v="160.60849999999999"/>
    <x v="0"/>
    <s v="Medium"/>
    <s v="Large"/>
    <s v="May"/>
    <x v="4"/>
  </r>
  <r>
    <d v="2010-05-20T00:00:00"/>
    <x v="1"/>
    <x v="6"/>
    <n v="206000"/>
    <n v="349900"/>
    <x v="0"/>
    <x v="0"/>
    <x v="0"/>
    <n v="1"/>
    <n v="927"/>
    <n v="1.025846E-2"/>
    <x v="3"/>
    <n v="143900"/>
    <n v="377.45420000000001"/>
    <x v="0"/>
    <s v="Medium"/>
    <s v="Medium"/>
    <s v="May"/>
    <x v="4"/>
  </r>
  <r>
    <d v="2010-05-21T00:00:00"/>
    <x v="1"/>
    <x v="4"/>
    <n v="352030"/>
    <n v="423000"/>
    <x v="0"/>
    <x v="0"/>
    <x v="0"/>
    <n v="1"/>
    <n v="945"/>
    <n v="1.025846E-2"/>
    <x v="1"/>
    <n v="70970"/>
    <n v="447.61900000000003"/>
    <x v="0"/>
    <s v="Medium"/>
    <s v="Medium"/>
    <s v="May"/>
    <x v="4"/>
  </r>
  <r>
    <d v="2010-05-22T00:00:00"/>
    <x v="1"/>
    <x v="2"/>
    <n v="68250"/>
    <n v="39000"/>
    <x v="0"/>
    <x v="0"/>
    <x v="0"/>
    <n v="3"/>
    <n v="933"/>
    <n v="1.025846E-2"/>
    <x v="3"/>
    <n v="-29250"/>
    <n v="41.800600000000003"/>
    <x v="1"/>
    <s v="Low"/>
    <s v="Medium"/>
    <s v="May"/>
    <x v="4"/>
  </r>
  <r>
    <d v="2010-05-23T00:00:00"/>
    <x v="1"/>
    <x v="6"/>
    <n v="224200"/>
    <n v="375000"/>
    <x v="0"/>
    <x v="0"/>
    <x v="0"/>
    <n v="1"/>
    <n v="1006"/>
    <n v="1.025846E-2"/>
    <x v="0"/>
    <n v="150800"/>
    <n v="372.76339999999999"/>
    <x v="0"/>
    <s v="Medium"/>
    <s v="Medium"/>
    <s v="May"/>
    <x v="4"/>
  </r>
  <r>
    <d v="2010-05-27T00:00:00"/>
    <x v="1"/>
    <x v="1"/>
    <n v="171430"/>
    <n v="285746"/>
    <x v="0"/>
    <x v="0"/>
    <x v="0"/>
    <n v="3"/>
    <n v="957"/>
    <n v="1.025846E-2"/>
    <x v="1"/>
    <n v="114316"/>
    <n v="298.58519999999999"/>
    <x v="0"/>
    <s v="Medium"/>
    <s v="Medium"/>
    <s v="May"/>
    <x v="4"/>
  </r>
  <r>
    <d v="2010-05-28T00:00:00"/>
    <x v="1"/>
    <x v="4"/>
    <n v="1289820"/>
    <n v="1915000"/>
    <x v="0"/>
    <x v="0"/>
    <x v="0"/>
    <n v="2"/>
    <n v="1111.6589814177564"/>
    <n v="1.025846E-2"/>
    <x v="2"/>
    <n v="625180"/>
    <n v="1722.6505999999999"/>
    <x v="0"/>
    <s v="High"/>
    <s v="Medium"/>
    <s v="May"/>
    <x v="4"/>
  </r>
  <r>
    <d v="2010-05-29T00:00:00"/>
    <x v="1"/>
    <x v="6"/>
    <n v="176400"/>
    <n v="260000"/>
    <x v="0"/>
    <x v="0"/>
    <x v="0"/>
    <n v="2"/>
    <n v="1002"/>
    <n v="1.025846E-2"/>
    <x v="3"/>
    <n v="83600"/>
    <n v="259.48099999999999"/>
    <x v="0"/>
    <s v="Medium"/>
    <s v="Medium"/>
    <s v="May"/>
    <x v="4"/>
  </r>
  <r>
    <d v="2010-05-30T00:00:00"/>
    <x v="1"/>
    <x v="4"/>
    <n v="270060"/>
    <n v="282000"/>
    <x v="0"/>
    <x v="0"/>
    <x v="0"/>
    <n v="1"/>
    <n v="1049"/>
    <n v="1.025846E-2"/>
    <x v="3"/>
    <n v="11940"/>
    <n v="268.82749999999999"/>
    <x v="0"/>
    <s v="Medium"/>
    <s v="Medium"/>
    <s v="May"/>
    <x v="4"/>
  </r>
  <r>
    <d v="2010-06-02T00:00:00"/>
    <x v="1"/>
    <x v="5"/>
    <n v="132520"/>
    <n v="205000"/>
    <x v="1"/>
    <x v="1"/>
    <x v="1"/>
    <n v="4"/>
    <n v="1111.6589814177564"/>
    <n v="1.025846E-2"/>
    <x v="1"/>
    <n v="72480"/>
    <n v="184.4091"/>
    <x v="0"/>
    <s v="Medium"/>
    <s v="Medium"/>
    <s v="June"/>
    <x v="5"/>
  </r>
  <r>
    <d v="2010-06-03T00:00:00"/>
    <x v="1"/>
    <x v="5"/>
    <n v="127400"/>
    <n v="195000"/>
    <x v="0"/>
    <x v="0"/>
    <x v="0"/>
    <n v="1"/>
    <n v="984"/>
    <n v="1.025846E-2"/>
    <x v="2"/>
    <n v="67600"/>
    <n v="198.17070000000001"/>
    <x v="0"/>
    <s v="Low"/>
    <s v="Medium"/>
    <s v="June"/>
    <x v="5"/>
  </r>
  <r>
    <d v="2010-06-04T00:00:00"/>
    <x v="1"/>
    <x v="1"/>
    <n v="554470"/>
    <n v="850000"/>
    <x v="0"/>
    <x v="0"/>
    <x v="0"/>
    <n v="3"/>
    <n v="1004"/>
    <n v="1.025846E-2"/>
    <x v="2"/>
    <n v="295530"/>
    <n v="846.61350000000004"/>
    <x v="0"/>
    <s v="High"/>
    <s v="Medium"/>
    <s v="June"/>
    <x v="5"/>
  </r>
  <r>
    <d v="2010-06-05T00:00:00"/>
    <x v="1"/>
    <x v="4"/>
    <n v="612360"/>
    <n v="925000"/>
    <x v="0"/>
    <x v="0"/>
    <x v="0"/>
    <n v="2"/>
    <n v="968"/>
    <n v="1.025846E-2"/>
    <x v="1"/>
    <n v="312640"/>
    <n v="955.57849999999996"/>
    <x v="0"/>
    <s v="High"/>
    <s v="Medium"/>
    <s v="June"/>
    <x v="5"/>
  </r>
  <r>
    <d v="2010-06-09T00:00:00"/>
    <x v="1"/>
    <x v="6"/>
    <n v="159600"/>
    <n v="243000"/>
    <x v="0"/>
    <x v="0"/>
    <x v="0"/>
    <n v="3"/>
    <n v="1111.6589814177564"/>
    <n v="1.025846E-2"/>
    <x v="3"/>
    <n v="83400"/>
    <n v="218.59219999999999"/>
    <x v="0"/>
    <s v="Medium"/>
    <s v="Medium"/>
    <s v="June"/>
    <x v="5"/>
  </r>
  <r>
    <d v="2010-06-10T00:00:00"/>
    <x v="1"/>
    <x v="4"/>
    <n v="515480"/>
    <n v="1070000"/>
    <x v="0"/>
    <x v="0"/>
    <x v="0"/>
    <n v="2"/>
    <n v="1002"/>
    <n v="1.025846E-2"/>
    <x v="3"/>
    <n v="554520"/>
    <n v="1067.8643"/>
    <x v="0"/>
    <s v="High"/>
    <s v="Medium"/>
    <s v="June"/>
    <x v="5"/>
  </r>
  <r>
    <d v="2010-06-12T00:00:00"/>
    <x v="1"/>
    <x v="2"/>
    <n v="108650"/>
    <n v="185000"/>
    <x v="0"/>
    <x v="0"/>
    <x v="0"/>
    <n v="3"/>
    <n v="909"/>
    <n v="1.025846E-2"/>
    <x v="3"/>
    <n v="76350"/>
    <n v="203.5204"/>
    <x v="0"/>
    <s v="Low"/>
    <s v="Medium"/>
    <s v="June"/>
    <x v="5"/>
  </r>
  <r>
    <d v="2010-06-13T00:00:00"/>
    <x v="1"/>
    <x v="3"/>
    <n v="1006810"/>
    <n v="1265000"/>
    <x v="0"/>
    <x v="0"/>
    <x v="0"/>
    <n v="3"/>
    <n v="956"/>
    <n v="1.025846E-2"/>
    <x v="0"/>
    <n v="258190"/>
    <n v="1323.2218"/>
    <x v="0"/>
    <s v="High"/>
    <s v="Medium"/>
    <s v="June"/>
    <x v="5"/>
  </r>
  <r>
    <d v="2010-06-16T00:00:00"/>
    <x v="1"/>
    <x v="1"/>
    <n v="444584.20699999999"/>
    <n v="490000"/>
    <x v="0"/>
    <x v="0"/>
    <x v="0"/>
    <n v="3"/>
    <n v="932"/>
    <n v="1.025846E-2"/>
    <x v="0"/>
    <n v="45415.792999999998"/>
    <n v="525.75109999999995"/>
    <x v="0"/>
    <s v="Medium"/>
    <s v="Medium"/>
    <s v="June"/>
    <x v="5"/>
  </r>
  <r>
    <d v="2010-06-20T00:00:00"/>
    <x v="1"/>
    <x v="5"/>
    <n v="444584.20699999999"/>
    <n v="300000"/>
    <x v="0"/>
    <x v="0"/>
    <x v="0"/>
    <n v="1"/>
    <n v="962"/>
    <n v="1.025846E-2"/>
    <x v="2"/>
    <n v="-144584.20699999999"/>
    <n v="311.8503"/>
    <x v="1"/>
    <s v="Medium"/>
    <s v="Medium"/>
    <s v="June"/>
    <x v="5"/>
  </r>
  <r>
    <d v="2010-06-23T00:00:00"/>
    <x v="1"/>
    <x v="6"/>
    <n v="409100"/>
    <n v="630000"/>
    <x v="0"/>
    <x v="0"/>
    <x v="0"/>
    <n v="3"/>
    <n v="959"/>
    <n v="1.025846E-2"/>
    <x v="2"/>
    <n v="220900"/>
    <n v="656.93430000000001"/>
    <x v="0"/>
    <s v="High"/>
    <s v="Medium"/>
    <s v="June"/>
    <x v="5"/>
  </r>
  <r>
    <d v="2010-06-25T00:00:00"/>
    <x v="1"/>
    <x v="1"/>
    <n v="1877470"/>
    <n v="3075000"/>
    <x v="0"/>
    <x v="0"/>
    <x v="0"/>
    <n v="1"/>
    <n v="1059"/>
    <n v="1.025846E-2"/>
    <x v="2"/>
    <n v="1197530"/>
    <n v="2903.6826999999998"/>
    <x v="0"/>
    <s v="High"/>
    <s v="Medium"/>
    <s v="June"/>
    <x v="5"/>
  </r>
  <r>
    <d v="2010-06-26T00:00:00"/>
    <x v="1"/>
    <x v="3"/>
    <n v="5140660"/>
    <n v="6375000"/>
    <x v="0"/>
    <x v="0"/>
    <x v="0"/>
    <n v="3"/>
    <n v="1030"/>
    <n v="1.025846E-2"/>
    <x v="0"/>
    <n v="1234340"/>
    <n v="6189.3203999999996"/>
    <x v="0"/>
    <s v="High"/>
    <s v="Medium"/>
    <s v="June"/>
    <x v="5"/>
  </r>
  <r>
    <d v="2010-06-27T00:00:00"/>
    <x v="1"/>
    <x v="2"/>
    <n v="128870"/>
    <n v="205000"/>
    <x v="0"/>
    <x v="0"/>
    <x v="0"/>
    <n v="1"/>
    <n v="1081"/>
    <n v="1.025846E-2"/>
    <x v="3"/>
    <n v="76130"/>
    <n v="189.63919999999999"/>
    <x v="0"/>
    <s v="Medium"/>
    <s v="Medium"/>
    <s v="June"/>
    <x v="5"/>
  </r>
  <r>
    <d v="2010-06-30T00:00:00"/>
    <x v="1"/>
    <x v="3"/>
    <n v="1827910"/>
    <n v="8050000"/>
    <x v="0"/>
    <x v="0"/>
    <x v="0"/>
    <n v="2"/>
    <n v="1093"/>
    <n v="1.025846E-2"/>
    <x v="0"/>
    <n v="6222090"/>
    <n v="7365.0502999999999"/>
    <x v="0"/>
    <s v="High"/>
    <s v="Medium"/>
    <s v="June"/>
    <x v="5"/>
  </r>
  <r>
    <d v="2010-07-01T00:00:00"/>
    <x v="1"/>
    <x v="6"/>
    <n v="146200"/>
    <n v="230000"/>
    <x v="0"/>
    <x v="0"/>
    <x v="0"/>
    <n v="3"/>
    <n v="951"/>
    <n v="1.025846E-2"/>
    <x v="0"/>
    <n v="83800"/>
    <n v="241.85069999999999"/>
    <x v="0"/>
    <s v="Medium"/>
    <s v="Medium"/>
    <s v="July"/>
    <x v="6"/>
  </r>
  <r>
    <d v="2010-07-02T00:00:00"/>
    <x v="1"/>
    <x v="3"/>
    <n v="501270"/>
    <n v="595000"/>
    <x v="0"/>
    <x v="0"/>
    <x v="0"/>
    <n v="2"/>
    <n v="918"/>
    <n v="1.025846E-2"/>
    <x v="1"/>
    <n v="93730"/>
    <n v="648.1481"/>
    <x v="0"/>
    <s v="Medium"/>
    <s v="Medium"/>
    <s v="July"/>
    <x v="6"/>
  </r>
  <r>
    <d v="2010-07-03T00:00:00"/>
    <x v="1"/>
    <x v="6"/>
    <n v="127100"/>
    <n v="160000"/>
    <x v="0"/>
    <x v="0"/>
    <x v="0"/>
    <n v="2"/>
    <n v="1111.6589814177564"/>
    <n v="1.025846E-2"/>
    <x v="2"/>
    <n v="32900"/>
    <n v="143.929"/>
    <x v="0"/>
    <s v="Low"/>
    <s v="Medium"/>
    <s v="July"/>
    <x v="6"/>
  </r>
  <r>
    <d v="2010-07-07T00:00:00"/>
    <x v="1"/>
    <x v="4"/>
    <n v="593530"/>
    <n v="775000"/>
    <x v="0"/>
    <x v="0"/>
    <x v="0"/>
    <n v="3"/>
    <n v="936"/>
    <n v="1.025846E-2"/>
    <x v="0"/>
    <n v="181470"/>
    <n v="827.99149999999997"/>
    <x v="0"/>
    <s v="High"/>
    <s v="Medium"/>
    <s v="July"/>
    <x v="6"/>
  </r>
  <r>
    <d v="2010-07-08T00:00:00"/>
    <x v="1"/>
    <x v="5"/>
    <n v="221700"/>
    <n v="401000"/>
    <x v="0"/>
    <x v="0"/>
    <x v="0"/>
    <n v="1"/>
    <n v="931"/>
    <n v="1.025846E-2"/>
    <x v="3"/>
    <n v="179300"/>
    <n v="430.71969999999999"/>
    <x v="0"/>
    <s v="Medium"/>
    <s v="Medium"/>
    <s v="July"/>
    <x v="6"/>
  </r>
  <r>
    <d v="2010-07-10T00:00:00"/>
    <x v="1"/>
    <x v="5"/>
    <n v="227800"/>
    <n v="315000"/>
    <x v="0"/>
    <x v="0"/>
    <x v="0"/>
    <n v="2"/>
    <n v="1111.6589814177564"/>
    <n v="1.025846E-2"/>
    <x v="0"/>
    <n v="87200"/>
    <n v="283.3603"/>
    <x v="0"/>
    <s v="Medium"/>
    <s v="Medium"/>
    <s v="July"/>
    <x v="6"/>
  </r>
  <r>
    <d v="2010-07-14T00:00:00"/>
    <x v="1"/>
    <x v="1"/>
    <n v="270410"/>
    <n v="530000"/>
    <x v="0"/>
    <x v="0"/>
    <x v="0"/>
    <n v="2"/>
    <n v="1084"/>
    <n v="1.025846E-2"/>
    <x v="1"/>
    <n v="259590"/>
    <n v="488.92989999999998"/>
    <x v="0"/>
    <s v="Medium"/>
    <s v="Medium"/>
    <s v="July"/>
    <x v="6"/>
  </r>
  <r>
    <d v="2010-07-15T00:00:00"/>
    <x v="1"/>
    <x v="4"/>
    <n v="245000"/>
    <n v="333000"/>
    <x v="0"/>
    <x v="0"/>
    <x v="0"/>
    <n v="3"/>
    <n v="1111.6589814177564"/>
    <n v="1.025846E-2"/>
    <x v="3"/>
    <n v="88000"/>
    <n v="299.5523"/>
    <x v="0"/>
    <s v="Medium"/>
    <s v="Medium"/>
    <s v="July"/>
    <x v="6"/>
  </r>
  <r>
    <d v="2010-07-17T00:00:00"/>
    <x v="1"/>
    <x v="6"/>
    <n v="213000"/>
    <n v="325000"/>
    <x v="0"/>
    <x v="0"/>
    <x v="0"/>
    <n v="2"/>
    <n v="981"/>
    <n v="1.025846E-2"/>
    <x v="3"/>
    <n v="112000"/>
    <n v="331.2946"/>
    <x v="0"/>
    <s v="Medium"/>
    <s v="Medium"/>
    <s v="July"/>
    <x v="6"/>
  </r>
  <r>
    <d v="2010-07-22T00:00:00"/>
    <x v="1"/>
    <x v="2"/>
    <n v="118160"/>
    <n v="206000"/>
    <x v="0"/>
    <x v="0"/>
    <x v="0"/>
    <n v="2"/>
    <n v="1036"/>
    <n v="1.025846E-2"/>
    <x v="2"/>
    <n v="87840"/>
    <n v="198.8417"/>
    <x v="0"/>
    <s v="Medium"/>
    <s v="Medium"/>
    <s v="July"/>
    <x v="6"/>
  </r>
  <r>
    <d v="2010-07-23T00:00:00"/>
    <x v="1"/>
    <x v="2"/>
    <n v="444584.20699999999"/>
    <n v="215000"/>
    <x v="0"/>
    <x v="0"/>
    <x v="0"/>
    <n v="3"/>
    <n v="937"/>
    <n v="1.025846E-2"/>
    <x v="3"/>
    <n v="-229584.20699999999"/>
    <n v="229.45570000000001"/>
    <x v="1"/>
    <s v="Medium"/>
    <s v="Medium"/>
    <s v="July"/>
    <x v="6"/>
  </r>
  <r>
    <d v="2010-07-24T00:00:00"/>
    <x v="1"/>
    <x v="4"/>
    <n v="444584.20699999999"/>
    <n v="615000"/>
    <x v="0"/>
    <x v="0"/>
    <x v="0"/>
    <n v="2"/>
    <n v="984"/>
    <n v="1.025846E-2"/>
    <x v="2"/>
    <n v="170415.79300000001"/>
    <n v="625"/>
    <x v="0"/>
    <s v="High"/>
    <s v="Medium"/>
    <s v="July"/>
    <x v="6"/>
  </r>
  <r>
    <d v="2010-07-25T00:00:00"/>
    <x v="1"/>
    <x v="3"/>
    <n v="519280"/>
    <n v="675000"/>
    <x v="0"/>
    <x v="0"/>
    <x v="0"/>
    <n v="3"/>
    <n v="919"/>
    <n v="1.025846E-2"/>
    <x v="1"/>
    <n v="155720"/>
    <n v="734.49400000000003"/>
    <x v="0"/>
    <s v="High"/>
    <s v="Medium"/>
    <s v="July"/>
    <x v="6"/>
  </r>
  <r>
    <d v="2010-07-28T00:00:00"/>
    <x v="1"/>
    <x v="6"/>
    <n v="444584.20699999999"/>
    <n v="318000"/>
    <x v="0"/>
    <x v="0"/>
    <x v="0"/>
    <n v="3"/>
    <n v="1031"/>
    <n v="1.025846E-2"/>
    <x v="2"/>
    <n v="-126584.20699999999"/>
    <n v="308.4384"/>
    <x v="1"/>
    <s v="Medium"/>
    <s v="Medium"/>
    <s v="July"/>
    <x v="6"/>
  </r>
  <r>
    <d v="2010-07-30T00:00:00"/>
    <x v="1"/>
    <x v="5"/>
    <n v="117470"/>
    <n v="180000"/>
    <x v="0"/>
    <x v="0"/>
    <x v="0"/>
    <n v="2"/>
    <n v="954"/>
    <n v="1.025846E-2"/>
    <x v="0"/>
    <n v="62530"/>
    <n v="188.67920000000001"/>
    <x v="0"/>
    <s v="Low"/>
    <s v="Medium"/>
    <s v="July"/>
    <x v="6"/>
  </r>
  <r>
    <d v="2010-08-01T00:00:00"/>
    <x v="1"/>
    <x v="2"/>
    <n v="167800"/>
    <n v="210000"/>
    <x v="1"/>
    <x v="1"/>
    <x v="1"/>
    <n v="3"/>
    <n v="1381"/>
    <n v="1.025846E-2"/>
    <x v="1"/>
    <n v="42200"/>
    <n v="152.06370000000001"/>
    <x v="0"/>
    <s v="Medium"/>
    <s v="Large"/>
    <s v="August"/>
    <x v="7"/>
  </r>
  <r>
    <d v="2010-08-04T00:00:00"/>
    <x v="1"/>
    <x v="6"/>
    <n v="199400"/>
    <n v="337000"/>
    <x v="0"/>
    <x v="0"/>
    <x v="0"/>
    <n v="1"/>
    <n v="950"/>
    <n v="1.025846E-2"/>
    <x v="1"/>
    <n v="137600"/>
    <n v="354.73680000000002"/>
    <x v="0"/>
    <s v="Medium"/>
    <s v="Medium"/>
    <s v="August"/>
    <x v="7"/>
  </r>
  <r>
    <d v="2010-08-06T00:00:00"/>
    <x v="1"/>
    <x v="6"/>
    <n v="203800"/>
    <n v="390000"/>
    <x v="0"/>
    <x v="0"/>
    <x v="0"/>
    <n v="3"/>
    <n v="987"/>
    <n v="1.025846E-2"/>
    <x v="1"/>
    <n v="186200"/>
    <n v="395.13679999999999"/>
    <x v="0"/>
    <s v="Medium"/>
    <s v="Medium"/>
    <s v="August"/>
    <x v="7"/>
  </r>
  <r>
    <d v="2010-08-08T00:00:00"/>
    <x v="1"/>
    <x v="3"/>
    <n v="1782410"/>
    <n v="2250000"/>
    <x v="0"/>
    <x v="0"/>
    <x v="0"/>
    <n v="3"/>
    <n v="1030"/>
    <n v="1.025846E-2"/>
    <x v="1"/>
    <n v="467590"/>
    <n v="2184.4659999999999"/>
    <x v="0"/>
    <s v="High"/>
    <s v="Medium"/>
    <s v="August"/>
    <x v="7"/>
  </r>
  <r>
    <d v="2010-08-12T00:00:00"/>
    <x v="1"/>
    <x v="6"/>
    <n v="444584.20699999999"/>
    <n v="629100"/>
    <x v="0"/>
    <x v="0"/>
    <x v="0"/>
    <n v="2"/>
    <n v="1083"/>
    <n v="1.025846E-2"/>
    <x v="2"/>
    <n v="184515.79300000001"/>
    <n v="580.88639999999998"/>
    <x v="0"/>
    <s v="High"/>
    <s v="Medium"/>
    <s v="August"/>
    <x v="7"/>
  </r>
  <r>
    <d v="2010-08-13T00:00:00"/>
    <x v="1"/>
    <x v="3"/>
    <n v="1060360"/>
    <n v="1250000"/>
    <x v="0"/>
    <x v="0"/>
    <x v="0"/>
    <n v="1"/>
    <n v="1018"/>
    <n v="1.025846E-2"/>
    <x v="3"/>
    <n v="189640"/>
    <n v="1227.8978"/>
    <x v="0"/>
    <s v="High"/>
    <s v="Medium"/>
    <s v="August"/>
    <x v="7"/>
  </r>
  <r>
    <d v="2010-08-14T00:00:00"/>
    <x v="1"/>
    <x v="1"/>
    <n v="285600"/>
    <n v="430000"/>
    <x v="0"/>
    <x v="0"/>
    <x v="0"/>
    <n v="1"/>
    <n v="911"/>
    <n v="1.025846E-2"/>
    <x v="3"/>
    <n v="144400"/>
    <n v="472.00880000000001"/>
    <x v="0"/>
    <s v="Medium"/>
    <s v="Medium"/>
    <s v="August"/>
    <x v="7"/>
  </r>
  <r>
    <d v="2010-08-15T00:00:00"/>
    <x v="1"/>
    <x v="2"/>
    <n v="131870"/>
    <n v="247000"/>
    <x v="0"/>
    <x v="0"/>
    <x v="0"/>
    <n v="2"/>
    <n v="918"/>
    <n v="1.025846E-2"/>
    <x v="1"/>
    <n v="115130"/>
    <n v="269.06319999999999"/>
    <x v="0"/>
    <s v="Medium"/>
    <s v="Medium"/>
    <s v="August"/>
    <x v="7"/>
  </r>
  <r>
    <d v="2010-08-18T00:00:00"/>
    <x v="1"/>
    <x v="6"/>
    <n v="208000"/>
    <n v="284500"/>
    <x v="0"/>
    <x v="0"/>
    <x v="0"/>
    <n v="2"/>
    <n v="943"/>
    <n v="1.025846E-2"/>
    <x v="0"/>
    <n v="76500"/>
    <n v="301.69670000000002"/>
    <x v="0"/>
    <s v="Medium"/>
    <s v="Medium"/>
    <s v="August"/>
    <x v="7"/>
  </r>
  <r>
    <d v="2010-08-20T00:00:00"/>
    <x v="1"/>
    <x v="1"/>
    <n v="318220"/>
    <n v="549000"/>
    <x v="0"/>
    <x v="0"/>
    <x v="0"/>
    <n v="1"/>
    <n v="947"/>
    <n v="1.025846E-2"/>
    <x v="0"/>
    <n v="230780"/>
    <n v="579.72540000000004"/>
    <x v="0"/>
    <s v="Medium"/>
    <s v="Medium"/>
    <s v="August"/>
    <x v="7"/>
  </r>
  <r>
    <d v="2010-08-25T00:00:00"/>
    <x v="1"/>
    <x v="2"/>
    <n v="100460"/>
    <n v="190000"/>
    <x v="0"/>
    <x v="0"/>
    <x v="0"/>
    <n v="1"/>
    <n v="1100"/>
    <n v="1.025846E-2"/>
    <x v="1"/>
    <n v="89540"/>
    <n v="172.72730000000001"/>
    <x v="0"/>
    <s v="Low"/>
    <s v="Medium"/>
    <s v="August"/>
    <x v="7"/>
  </r>
  <r>
    <d v="2010-08-26T00:00:00"/>
    <x v="1"/>
    <x v="6"/>
    <n v="144200"/>
    <n v="209000"/>
    <x v="0"/>
    <x v="0"/>
    <x v="0"/>
    <n v="3"/>
    <n v="1111.6589814177564"/>
    <n v="1.025846E-2"/>
    <x v="3"/>
    <n v="64800"/>
    <n v="188.00729999999999"/>
    <x v="0"/>
    <s v="Medium"/>
    <s v="Medium"/>
    <s v="August"/>
    <x v="7"/>
  </r>
  <r>
    <d v="2010-08-27T00:00:00"/>
    <x v="1"/>
    <x v="6"/>
    <n v="153000"/>
    <n v="225000"/>
    <x v="0"/>
    <x v="0"/>
    <x v="0"/>
    <n v="1"/>
    <n v="964"/>
    <n v="1.025846E-2"/>
    <x v="3"/>
    <n v="72000"/>
    <n v="233.4025"/>
    <x v="0"/>
    <s v="Medium"/>
    <s v="Medium"/>
    <s v="August"/>
    <x v="7"/>
  </r>
  <r>
    <d v="2010-08-29T00:00:00"/>
    <x v="1"/>
    <x v="2"/>
    <n v="133340"/>
    <n v="190500"/>
    <x v="0"/>
    <x v="0"/>
    <x v="0"/>
    <n v="3"/>
    <n v="956"/>
    <n v="1.025846E-2"/>
    <x v="2"/>
    <n v="57160"/>
    <n v="199.26779999999999"/>
    <x v="0"/>
    <s v="Low"/>
    <s v="Medium"/>
    <s v="August"/>
    <x v="7"/>
  </r>
  <r>
    <d v="2010-09-02T00:00:00"/>
    <x v="1"/>
    <x v="6"/>
    <n v="146300"/>
    <n v="255000"/>
    <x v="0"/>
    <x v="0"/>
    <x v="0"/>
    <n v="1"/>
    <n v="1027"/>
    <n v="1.025846E-2"/>
    <x v="2"/>
    <n v="108700"/>
    <n v="248.29599999999999"/>
    <x v="0"/>
    <s v="Medium"/>
    <s v="Medium"/>
    <s v="September"/>
    <x v="8"/>
  </r>
  <r>
    <d v="2010-09-03T00:00:00"/>
    <x v="1"/>
    <x v="2"/>
    <n v="144340"/>
    <n v="57500"/>
    <x v="0"/>
    <x v="0"/>
    <x v="0"/>
    <n v="2"/>
    <n v="965"/>
    <n v="1.025846E-2"/>
    <x v="0"/>
    <n v="-86840"/>
    <n v="59.585500000000003"/>
    <x v="1"/>
    <s v="Low"/>
    <s v="Medium"/>
    <s v="September"/>
    <x v="8"/>
  </r>
  <r>
    <d v="2010-09-04T00:00:00"/>
    <x v="1"/>
    <x v="4"/>
    <n v="444584.20699999999"/>
    <n v="500000"/>
    <x v="0"/>
    <x v="0"/>
    <x v="0"/>
    <n v="2"/>
    <n v="1005"/>
    <n v="1.025846E-2"/>
    <x v="2"/>
    <n v="55415.792999999998"/>
    <n v="497.51240000000001"/>
    <x v="0"/>
    <s v="Medium"/>
    <s v="Medium"/>
    <s v="September"/>
    <x v="8"/>
  </r>
  <r>
    <d v="2010-09-05T00:00:00"/>
    <x v="1"/>
    <x v="6"/>
    <n v="226400"/>
    <n v="312500"/>
    <x v="0"/>
    <x v="0"/>
    <x v="0"/>
    <n v="3"/>
    <n v="1111.6589814177564"/>
    <n v="1.025846E-2"/>
    <x v="1"/>
    <n v="86100"/>
    <n v="281.1114"/>
    <x v="0"/>
    <s v="Medium"/>
    <s v="Medium"/>
    <s v="September"/>
    <x v="8"/>
  </r>
  <r>
    <d v="2010-09-09T00:00:00"/>
    <x v="1"/>
    <x v="5"/>
    <n v="845460"/>
    <n v="845000"/>
    <x v="0"/>
    <x v="0"/>
    <x v="0"/>
    <n v="1"/>
    <n v="1038"/>
    <n v="1.025846E-2"/>
    <x v="3"/>
    <n v="-460"/>
    <n v="814.06550000000004"/>
    <x v="1"/>
    <s v="High"/>
    <s v="Medium"/>
    <s v="September"/>
    <x v="8"/>
  </r>
  <r>
    <d v="2010-09-10T00:00:00"/>
    <x v="1"/>
    <x v="6"/>
    <n v="243400"/>
    <n v="380000"/>
    <x v="0"/>
    <x v="0"/>
    <x v="0"/>
    <n v="1"/>
    <n v="1056"/>
    <n v="1.025846E-2"/>
    <x v="1"/>
    <n v="136600"/>
    <n v="359.8485"/>
    <x v="0"/>
    <s v="Medium"/>
    <s v="Medium"/>
    <s v="September"/>
    <x v="8"/>
  </r>
  <r>
    <d v="2010-09-11T00:00:00"/>
    <x v="1"/>
    <x v="2"/>
    <n v="444584.20699999999"/>
    <n v="55500"/>
    <x v="0"/>
    <x v="0"/>
    <x v="0"/>
    <n v="1"/>
    <n v="1067"/>
    <n v="1.025846E-2"/>
    <x v="0"/>
    <n v="-389084.20699999999"/>
    <n v="52.015000000000001"/>
    <x v="1"/>
    <s v="Low"/>
    <s v="Medium"/>
    <s v="September"/>
    <x v="8"/>
  </r>
  <r>
    <d v="2010-09-12T00:00:00"/>
    <x v="1"/>
    <x v="2"/>
    <n v="113330"/>
    <n v="170000"/>
    <x v="2"/>
    <x v="2"/>
    <x v="2"/>
    <n v="4"/>
    <n v="2047"/>
    <n v="1.025846E-2"/>
    <x v="1"/>
    <n v="56670"/>
    <n v="83.048400000000001"/>
    <x v="0"/>
    <s v="Low"/>
    <s v="Large"/>
    <s v="September"/>
    <x v="8"/>
  </r>
  <r>
    <d v="2010-09-15T00:00:00"/>
    <x v="1"/>
    <x v="4"/>
    <n v="589400"/>
    <n v="750000"/>
    <x v="0"/>
    <x v="0"/>
    <x v="0"/>
    <n v="2"/>
    <n v="1006"/>
    <n v="1.025846E-2"/>
    <x v="3"/>
    <n v="160600"/>
    <n v="745.52679999999998"/>
    <x v="0"/>
    <s v="High"/>
    <s v="Medium"/>
    <s v="September"/>
    <x v="8"/>
  </r>
  <r>
    <d v="2010-09-16T00:00:00"/>
    <x v="1"/>
    <x v="2"/>
    <n v="162470"/>
    <n v="172500"/>
    <x v="0"/>
    <x v="0"/>
    <x v="0"/>
    <n v="1"/>
    <n v="1111.6589814177564"/>
    <n v="1.025846E-2"/>
    <x v="3"/>
    <n v="10030"/>
    <n v="155.17349999999999"/>
    <x v="0"/>
    <s v="Low"/>
    <s v="Medium"/>
    <s v="September"/>
    <x v="8"/>
  </r>
  <r>
    <d v="2010-09-17T00:00:00"/>
    <x v="1"/>
    <x v="6"/>
    <n v="157600"/>
    <n v="243800"/>
    <x v="0"/>
    <x v="0"/>
    <x v="0"/>
    <n v="1"/>
    <n v="947"/>
    <n v="1.025846E-2"/>
    <x v="0"/>
    <n v="86200"/>
    <n v="257.44459999999998"/>
    <x v="0"/>
    <s v="Medium"/>
    <s v="Medium"/>
    <s v="September"/>
    <x v="8"/>
  </r>
  <r>
    <d v="2010-09-19T00:00:00"/>
    <x v="1"/>
    <x v="3"/>
    <n v="1551760"/>
    <n v="1900000"/>
    <x v="0"/>
    <x v="0"/>
    <x v="0"/>
    <n v="3"/>
    <n v="930"/>
    <n v="1.025846E-2"/>
    <x v="2"/>
    <n v="348240"/>
    <n v="2043.0108"/>
    <x v="0"/>
    <s v="High"/>
    <s v="Medium"/>
    <s v="September"/>
    <x v="8"/>
  </r>
  <r>
    <d v="2010-09-22T00:00:00"/>
    <x v="1"/>
    <x v="4"/>
    <n v="350770"/>
    <n v="360000"/>
    <x v="0"/>
    <x v="0"/>
    <x v="0"/>
    <n v="2"/>
    <n v="907"/>
    <n v="1.025846E-2"/>
    <x v="3"/>
    <n v="9230"/>
    <n v="396.91289999999998"/>
    <x v="0"/>
    <s v="Medium"/>
    <s v="Medium"/>
    <s v="September"/>
    <x v="8"/>
  </r>
  <r>
    <d v="2010-09-23T00:00:00"/>
    <x v="1"/>
    <x v="6"/>
    <n v="263900"/>
    <n v="200450"/>
    <x v="0"/>
    <x v="0"/>
    <x v="0"/>
    <n v="1"/>
    <n v="981"/>
    <n v="1.025846E-2"/>
    <x v="2"/>
    <n v="-63450"/>
    <n v="204.3323"/>
    <x v="1"/>
    <s v="Medium"/>
    <s v="Medium"/>
    <s v="September"/>
    <x v="8"/>
  </r>
  <r>
    <d v="2010-09-24T00:00:00"/>
    <x v="1"/>
    <x v="2"/>
    <n v="444584.20699999999"/>
    <n v="165000"/>
    <x v="0"/>
    <x v="0"/>
    <x v="0"/>
    <n v="2"/>
    <n v="941"/>
    <n v="1.025846E-2"/>
    <x v="3"/>
    <n v="-279584.20699999999"/>
    <n v="175.34540000000001"/>
    <x v="1"/>
    <s v="Low"/>
    <s v="Medium"/>
    <s v="September"/>
    <x v="8"/>
  </r>
  <r>
    <d v="2010-09-26T00:00:00"/>
    <x v="1"/>
    <x v="2"/>
    <n v="70850"/>
    <n v="60000"/>
    <x v="0"/>
    <x v="0"/>
    <x v="0"/>
    <n v="2"/>
    <n v="902"/>
    <n v="1.025846E-2"/>
    <x v="0"/>
    <n v="-10850"/>
    <n v="66.518799999999999"/>
    <x v="1"/>
    <s v="Low"/>
    <s v="Medium"/>
    <s v="September"/>
    <x v="8"/>
  </r>
  <r>
    <d v="2010-09-29T00:00:00"/>
    <x v="1"/>
    <x v="1"/>
    <n v="497910"/>
    <n v="731000"/>
    <x v="0"/>
    <x v="0"/>
    <x v="0"/>
    <n v="2"/>
    <n v="949"/>
    <n v="1.025846E-2"/>
    <x v="1"/>
    <n v="233090"/>
    <n v="770.28449999999998"/>
    <x v="0"/>
    <s v="High"/>
    <s v="Medium"/>
    <s v="September"/>
    <x v="8"/>
  </r>
  <r>
    <d v="2010-09-30T00:00:00"/>
    <x v="1"/>
    <x v="5"/>
    <n v="444584.20699999999"/>
    <n v="1861128"/>
    <x v="0"/>
    <x v="0"/>
    <x v="0"/>
    <n v="2"/>
    <n v="1097"/>
    <n v="1.025846E-2"/>
    <x v="3"/>
    <n v="1416543.7930000001"/>
    <n v="1696.5615"/>
    <x v="0"/>
    <s v="High"/>
    <s v="Medium"/>
    <s v="September"/>
    <x v="8"/>
  </r>
  <r>
    <d v="2010-10-01T00:00:00"/>
    <x v="1"/>
    <x v="4"/>
    <n v="931700"/>
    <n v="832000"/>
    <x v="0"/>
    <x v="0"/>
    <x v="0"/>
    <n v="1"/>
    <n v="977"/>
    <n v="1.025846E-2"/>
    <x v="1"/>
    <n v="-99700"/>
    <n v="851.5865"/>
    <x v="1"/>
    <s v="High"/>
    <s v="Medium"/>
    <s v="October"/>
    <x v="9"/>
  </r>
  <r>
    <d v="2010-10-03T00:00:00"/>
    <x v="1"/>
    <x v="3"/>
    <n v="1895460"/>
    <n v="3900000"/>
    <x v="0"/>
    <x v="0"/>
    <x v="0"/>
    <n v="2"/>
    <n v="1038"/>
    <n v="1.025846E-2"/>
    <x v="1"/>
    <n v="2004540"/>
    <n v="3757.2253999999998"/>
    <x v="0"/>
    <s v="High"/>
    <s v="Medium"/>
    <s v="October"/>
    <x v="9"/>
  </r>
  <r>
    <d v="2010-10-07T00:00:00"/>
    <x v="1"/>
    <x v="4"/>
    <n v="272720"/>
    <n v="385000"/>
    <x v="0"/>
    <x v="0"/>
    <x v="0"/>
    <n v="3"/>
    <n v="1006"/>
    <n v="1.025846E-2"/>
    <x v="0"/>
    <n v="112280"/>
    <n v="382.7038"/>
    <x v="0"/>
    <s v="Medium"/>
    <s v="Medium"/>
    <s v="October"/>
    <x v="9"/>
  </r>
  <r>
    <d v="2010-10-08T00:00:00"/>
    <x v="1"/>
    <x v="4"/>
    <n v="590660"/>
    <n v="750000"/>
    <x v="0"/>
    <x v="0"/>
    <x v="0"/>
    <n v="3"/>
    <n v="1059"/>
    <n v="1.025846E-2"/>
    <x v="2"/>
    <n v="159340"/>
    <n v="708.21529999999996"/>
    <x v="0"/>
    <s v="High"/>
    <s v="Medium"/>
    <s v="October"/>
    <x v="9"/>
  </r>
  <r>
    <d v="2010-10-09T00:00:00"/>
    <x v="1"/>
    <x v="0"/>
    <n v="94130"/>
    <n v="40000"/>
    <x v="0"/>
    <x v="0"/>
    <x v="0"/>
    <n v="2"/>
    <n v="1111.6589814177564"/>
    <n v="1.025846E-2"/>
    <x v="1"/>
    <n v="-54130"/>
    <n v="35.982300000000002"/>
    <x v="1"/>
    <s v="Low"/>
    <s v="Medium"/>
    <s v="October"/>
    <x v="9"/>
  </r>
  <r>
    <d v="2010-10-14T00:00:00"/>
    <x v="1"/>
    <x v="0"/>
    <n v="188990"/>
    <n v="200000"/>
    <x v="0"/>
    <x v="0"/>
    <x v="0"/>
    <n v="2"/>
    <n v="1111.6589814177564"/>
    <n v="1.025846E-2"/>
    <x v="0"/>
    <n v="11010"/>
    <n v="179.91130000000001"/>
    <x v="0"/>
    <s v="Medium"/>
    <s v="Medium"/>
    <s v="October"/>
    <x v="9"/>
  </r>
  <r>
    <d v="2010-10-15T00:00:00"/>
    <x v="1"/>
    <x v="3"/>
    <n v="444584.20699999999"/>
    <n v="1885000"/>
    <x v="0"/>
    <x v="0"/>
    <x v="0"/>
    <n v="1"/>
    <n v="1086"/>
    <n v="1.025846E-2"/>
    <x v="3"/>
    <n v="1440415.7930000001"/>
    <n v="1735.7274"/>
    <x v="0"/>
    <s v="High"/>
    <s v="Medium"/>
    <s v="October"/>
    <x v="9"/>
  </r>
  <r>
    <d v="2010-10-17T00:00:00"/>
    <x v="1"/>
    <x v="4"/>
    <n v="420770"/>
    <n v="475000"/>
    <x v="0"/>
    <x v="0"/>
    <x v="0"/>
    <n v="3"/>
    <n v="972"/>
    <n v="1.025846E-2"/>
    <x v="2"/>
    <n v="54230"/>
    <n v="488.68310000000002"/>
    <x v="0"/>
    <s v="Medium"/>
    <s v="Medium"/>
    <s v="October"/>
    <x v="9"/>
  </r>
  <r>
    <d v="2010-10-22T00:00:00"/>
    <x v="1"/>
    <x v="6"/>
    <n v="286000"/>
    <n v="687530"/>
    <x v="0"/>
    <x v="0"/>
    <x v="0"/>
    <n v="1"/>
    <n v="916"/>
    <n v="1.025846E-2"/>
    <x v="0"/>
    <n v="401530"/>
    <n v="750.57860000000005"/>
    <x v="0"/>
    <s v="High"/>
    <s v="Medium"/>
    <s v="October"/>
    <x v="9"/>
  </r>
  <r>
    <d v="2010-10-23T00:00:00"/>
    <x v="1"/>
    <x v="6"/>
    <n v="183700"/>
    <n v="309000"/>
    <x v="0"/>
    <x v="0"/>
    <x v="0"/>
    <n v="2"/>
    <n v="1031"/>
    <n v="1.025846E-2"/>
    <x v="0"/>
    <n v="125300"/>
    <n v="299.709"/>
    <x v="0"/>
    <s v="Medium"/>
    <s v="Medium"/>
    <s v="October"/>
    <x v="9"/>
  </r>
  <r>
    <d v="2010-10-27T00:00:00"/>
    <x v="1"/>
    <x v="7"/>
    <n v="440070"/>
    <n v="640000"/>
    <x v="0"/>
    <x v="0"/>
    <x v="0"/>
    <n v="3"/>
    <n v="1099"/>
    <n v="1.025846E-2"/>
    <x v="0"/>
    <n v="199930"/>
    <n v="582.34760000000006"/>
    <x v="0"/>
    <s v="High"/>
    <s v="Medium"/>
    <s v="October"/>
    <x v="9"/>
  </r>
  <r>
    <d v="2010-10-28T00:00:00"/>
    <x v="1"/>
    <x v="5"/>
    <n v="338080"/>
    <n v="510000"/>
    <x v="1"/>
    <x v="1"/>
    <x v="1"/>
    <n v="4"/>
    <n v="1475"/>
    <n v="1.025846E-2"/>
    <x v="2"/>
    <n v="171920"/>
    <n v="345.7627"/>
    <x v="0"/>
    <s v="Medium"/>
    <s v="Large"/>
    <s v="October"/>
    <x v="9"/>
  </r>
  <r>
    <d v="2010-10-29T00:00:00"/>
    <x v="1"/>
    <x v="3"/>
    <n v="819910"/>
    <n v="336000"/>
    <x v="0"/>
    <x v="0"/>
    <x v="0"/>
    <n v="1"/>
    <n v="1038"/>
    <n v="1.025846E-2"/>
    <x v="2"/>
    <n v="-483910"/>
    <n v="323.69940000000003"/>
    <x v="1"/>
    <s v="Medium"/>
    <s v="Medium"/>
    <s v="October"/>
    <x v="9"/>
  </r>
  <r>
    <d v="2010-11-03T00:00:00"/>
    <x v="1"/>
    <x v="7"/>
    <n v="444584.20699999999"/>
    <n v="798000"/>
    <x v="0"/>
    <x v="0"/>
    <x v="0"/>
    <n v="2"/>
    <n v="1028"/>
    <n v="1.025846E-2"/>
    <x v="1"/>
    <n v="353415.79300000001"/>
    <n v="776.26459999999997"/>
    <x v="0"/>
    <s v="High"/>
    <s v="Medium"/>
    <s v="November"/>
    <x v="10"/>
  </r>
  <r>
    <d v="2010-11-04T00:00:00"/>
    <x v="1"/>
    <x v="5"/>
    <n v="160300"/>
    <n v="225000"/>
    <x v="0"/>
    <x v="0"/>
    <x v="0"/>
    <n v="3"/>
    <n v="1055"/>
    <n v="1.025846E-2"/>
    <x v="0"/>
    <n v="64700"/>
    <n v="213.27010000000001"/>
    <x v="0"/>
    <s v="Medium"/>
    <s v="Medium"/>
    <s v="November"/>
    <x v="10"/>
  </r>
  <r>
    <d v="2010-11-05T00:00:00"/>
    <x v="1"/>
    <x v="4"/>
    <n v="369320"/>
    <n v="558000"/>
    <x v="0"/>
    <x v="0"/>
    <x v="0"/>
    <n v="1"/>
    <n v="903"/>
    <n v="1.025846E-2"/>
    <x v="3"/>
    <n v="188680"/>
    <n v="617.9402"/>
    <x v="0"/>
    <s v="Medium"/>
    <s v="Medium"/>
    <s v="November"/>
    <x v="10"/>
  </r>
  <r>
    <d v="2010-11-06T00:00:00"/>
    <x v="1"/>
    <x v="0"/>
    <n v="145810"/>
    <n v="99397"/>
    <x v="2"/>
    <x v="2"/>
    <x v="2"/>
    <n v="4"/>
    <n v="1893"/>
    <n v="1.025846E-2"/>
    <x v="1"/>
    <n v="-46413"/>
    <n v="52.5077"/>
    <x v="1"/>
    <s v="Low"/>
    <s v="Large"/>
    <s v="November"/>
    <x v="10"/>
  </r>
  <r>
    <d v="2010-11-07T00:00:00"/>
    <x v="1"/>
    <x v="0"/>
    <n v="98780"/>
    <n v="135000"/>
    <x v="0"/>
    <x v="0"/>
    <x v="0"/>
    <n v="3"/>
    <n v="1095"/>
    <n v="1.025846E-2"/>
    <x v="2"/>
    <n v="36220"/>
    <n v="123.2877"/>
    <x v="0"/>
    <s v="Low"/>
    <s v="Medium"/>
    <s v="November"/>
    <x v="10"/>
  </r>
  <r>
    <d v="2010-11-10T00:00:00"/>
    <x v="1"/>
    <x v="7"/>
    <n v="367420"/>
    <n v="390000"/>
    <x v="0"/>
    <x v="0"/>
    <x v="0"/>
    <n v="3"/>
    <n v="905"/>
    <n v="1.025846E-2"/>
    <x v="2"/>
    <n v="22580"/>
    <n v="430.93920000000003"/>
    <x v="0"/>
    <s v="Medium"/>
    <s v="Medium"/>
    <s v="November"/>
    <x v="10"/>
  </r>
  <r>
    <d v="2010-11-13T00:00:00"/>
    <x v="1"/>
    <x v="3"/>
    <n v="553140"/>
    <n v="570000"/>
    <x v="0"/>
    <x v="0"/>
    <x v="0"/>
    <n v="1"/>
    <n v="905"/>
    <n v="1.025846E-2"/>
    <x v="2"/>
    <n v="16860"/>
    <n v="629.83429999999998"/>
    <x v="0"/>
    <s v="Medium"/>
    <s v="Medium"/>
    <s v="November"/>
    <x v="10"/>
  </r>
  <r>
    <d v="2010-11-14T00:00:00"/>
    <x v="1"/>
    <x v="7"/>
    <n v="522120"/>
    <n v="710000"/>
    <x v="0"/>
    <x v="0"/>
    <x v="0"/>
    <n v="1"/>
    <n v="1021"/>
    <n v="1.025846E-2"/>
    <x v="2"/>
    <n v="187880"/>
    <n v="695.39670000000001"/>
    <x v="0"/>
    <s v="High"/>
    <s v="Medium"/>
    <s v="November"/>
    <x v="10"/>
  </r>
  <r>
    <d v="2010-11-17T00:00:00"/>
    <x v="1"/>
    <x v="5"/>
    <n v="343880"/>
    <n v="415000"/>
    <x v="0"/>
    <x v="0"/>
    <x v="0"/>
    <n v="1"/>
    <n v="947"/>
    <n v="1.025846E-2"/>
    <x v="0"/>
    <n v="71120"/>
    <n v="438.226"/>
    <x v="0"/>
    <s v="Medium"/>
    <s v="Medium"/>
    <s v="November"/>
    <x v="10"/>
  </r>
  <r>
    <d v="2010-11-19T00:00:00"/>
    <x v="1"/>
    <x v="0"/>
    <n v="444584.20699999999"/>
    <n v="167500"/>
    <x v="0"/>
    <x v="0"/>
    <x v="0"/>
    <n v="3"/>
    <n v="1111.6589814177564"/>
    <n v="1.025846E-2"/>
    <x v="1"/>
    <n v="-277084.20699999999"/>
    <n v="150.67570000000001"/>
    <x v="1"/>
    <s v="Low"/>
    <s v="Medium"/>
    <s v="November"/>
    <x v="10"/>
  </r>
  <r>
    <d v="2010-11-20T00:00:00"/>
    <x v="1"/>
    <x v="6"/>
    <n v="137700"/>
    <n v="174000"/>
    <x v="0"/>
    <x v="0"/>
    <x v="0"/>
    <n v="3"/>
    <n v="1097"/>
    <n v="1.025846E-2"/>
    <x v="1"/>
    <n v="36300"/>
    <n v="158.61439999999999"/>
    <x v="0"/>
    <s v="Low"/>
    <s v="Medium"/>
    <s v="November"/>
    <x v="10"/>
  </r>
  <r>
    <d v="2010-11-21T00:00:00"/>
    <x v="1"/>
    <x v="5"/>
    <n v="105670"/>
    <n v="109000"/>
    <x v="1"/>
    <x v="1"/>
    <x v="1"/>
    <n v="4"/>
    <n v="1111.6589814177564"/>
    <n v="1.025846E-2"/>
    <x v="3"/>
    <n v="3330"/>
    <n v="98.051699999999997"/>
    <x v="0"/>
    <s v="Low"/>
    <s v="Medium"/>
    <s v="November"/>
    <x v="10"/>
  </r>
  <r>
    <d v="2010-11-24T00:00:00"/>
    <x v="1"/>
    <x v="0"/>
    <n v="124120"/>
    <n v="63000"/>
    <x v="0"/>
    <x v="0"/>
    <x v="0"/>
    <n v="3"/>
    <n v="1111.6589814177564"/>
    <n v="1.025846E-2"/>
    <x v="0"/>
    <n v="-61120"/>
    <n v="56.6721"/>
    <x v="1"/>
    <s v="Low"/>
    <s v="Medium"/>
    <s v="November"/>
    <x v="10"/>
  </r>
  <r>
    <d v="2010-11-25T00:00:00"/>
    <x v="1"/>
    <x v="6"/>
    <n v="218600"/>
    <n v="290000"/>
    <x v="0"/>
    <x v="0"/>
    <x v="0"/>
    <n v="2"/>
    <n v="957"/>
    <n v="1.025846E-2"/>
    <x v="3"/>
    <n v="71400"/>
    <n v="303.03030000000001"/>
    <x v="0"/>
    <s v="Medium"/>
    <s v="Medium"/>
    <s v="November"/>
    <x v="10"/>
  </r>
  <r>
    <d v="2010-12-02T00:00:00"/>
    <x v="1"/>
    <x v="5"/>
    <n v="1024940"/>
    <n v="1440000"/>
    <x v="0"/>
    <x v="0"/>
    <x v="0"/>
    <n v="1"/>
    <n v="958"/>
    <n v="1.025846E-2"/>
    <x v="1"/>
    <n v="415060"/>
    <n v="1503.1315"/>
    <x v="0"/>
    <s v="High"/>
    <s v="Medium"/>
    <s v="December"/>
    <x v="11"/>
  </r>
  <r>
    <d v="2010-12-04T00:00:00"/>
    <x v="1"/>
    <x v="5"/>
    <n v="435570"/>
    <n v="415000"/>
    <x v="0"/>
    <x v="0"/>
    <x v="0"/>
    <n v="1"/>
    <n v="914"/>
    <n v="1.025846E-2"/>
    <x v="0"/>
    <n v="-20570"/>
    <n v="454.04809999999998"/>
    <x v="1"/>
    <s v="Medium"/>
    <s v="Medium"/>
    <s v="December"/>
    <x v="11"/>
  </r>
  <r>
    <d v="2010-12-05T00:00:00"/>
    <x v="1"/>
    <x v="0"/>
    <n v="119450"/>
    <n v="150000"/>
    <x v="0"/>
    <x v="0"/>
    <x v="0"/>
    <n v="3"/>
    <n v="1049"/>
    <n v="1.025846E-2"/>
    <x v="2"/>
    <n v="30550"/>
    <n v="142.9933"/>
    <x v="0"/>
    <s v="Low"/>
    <s v="Medium"/>
    <s v="December"/>
    <x v="11"/>
  </r>
  <r>
    <d v="2010-12-11T00:00:00"/>
    <x v="1"/>
    <x v="6"/>
    <n v="444584.20699999999"/>
    <n v="370000"/>
    <x v="2"/>
    <x v="2"/>
    <x v="2"/>
    <n v="4"/>
    <n v="1969"/>
    <n v="1.025846E-2"/>
    <x v="0"/>
    <n v="-74584.206999999995"/>
    <n v="187.9126"/>
    <x v="1"/>
    <s v="Medium"/>
    <s v="Large"/>
    <s v="December"/>
    <x v="11"/>
  </r>
  <r>
    <d v="2010-12-12T00:00:00"/>
    <x v="1"/>
    <x v="4"/>
    <n v="249760"/>
    <n v="348000"/>
    <x v="1"/>
    <x v="1"/>
    <x v="1"/>
    <n v="3"/>
    <n v="1111.6589814177564"/>
    <n v="1.025846E-2"/>
    <x v="1"/>
    <n v="98240"/>
    <n v="313.04559999999998"/>
    <x v="0"/>
    <s v="Medium"/>
    <s v="Medium"/>
    <s v="December"/>
    <x v="11"/>
  </r>
  <r>
    <d v="2010-12-15T00:00:00"/>
    <x v="1"/>
    <x v="0"/>
    <n v="130360"/>
    <n v="85000"/>
    <x v="2"/>
    <x v="2"/>
    <x v="2"/>
    <n v="4"/>
    <n v="2148"/>
    <n v="1.025846E-2"/>
    <x v="3"/>
    <n v="-45360"/>
    <n v="39.5717"/>
    <x v="1"/>
    <s v="Low"/>
    <s v="Large"/>
    <s v="December"/>
    <x v="11"/>
  </r>
  <r>
    <d v="2010-12-17T00:00:00"/>
    <x v="1"/>
    <x v="7"/>
    <n v="491200"/>
    <n v="725000"/>
    <x v="1"/>
    <x v="1"/>
    <x v="1"/>
    <n v="2"/>
    <n v="1425"/>
    <n v="1.025846E-2"/>
    <x v="3"/>
    <n v="233800"/>
    <n v="508.77190000000002"/>
    <x v="0"/>
    <s v="High"/>
    <s v="Large"/>
    <s v="December"/>
    <x v="11"/>
  </r>
  <r>
    <d v="2010-12-19T00:00:00"/>
    <x v="1"/>
    <x v="0"/>
    <n v="151300"/>
    <n v="170000"/>
    <x v="0"/>
    <x v="0"/>
    <x v="0"/>
    <n v="3"/>
    <n v="933"/>
    <n v="1.025846E-2"/>
    <x v="0"/>
    <n v="18700"/>
    <n v="182.2079"/>
    <x v="0"/>
    <s v="Low"/>
    <s v="Medium"/>
    <s v="December"/>
    <x v="11"/>
  </r>
  <r>
    <d v="2010-12-23T00:00:00"/>
    <x v="1"/>
    <x v="0"/>
    <n v="444584.20699999999"/>
    <n v="129800"/>
    <x v="0"/>
    <x v="0"/>
    <x v="0"/>
    <n v="1"/>
    <n v="1042"/>
    <n v="1.025846E-2"/>
    <x v="0"/>
    <n v="-314784.20699999999"/>
    <n v="124.5681"/>
    <x v="1"/>
    <s v="Low"/>
    <s v="Medium"/>
    <s v="December"/>
    <x v="11"/>
  </r>
  <r>
    <d v="2010-12-29T00:00:00"/>
    <x v="1"/>
    <x v="7"/>
    <n v="343880"/>
    <n v="375000"/>
    <x v="0"/>
    <x v="0"/>
    <x v="0"/>
    <n v="3"/>
    <n v="1070"/>
    <n v="1.025846E-2"/>
    <x v="3"/>
    <n v="31120"/>
    <n v="350.46730000000002"/>
    <x v="0"/>
    <s v="Medium"/>
    <s v="Medium"/>
    <s v="December"/>
    <x v="11"/>
  </r>
  <r>
    <d v="2010-12-31T00:00:00"/>
    <x v="1"/>
    <x v="0"/>
    <n v="84610"/>
    <n v="23000"/>
    <x v="1"/>
    <x v="1"/>
    <x v="1"/>
    <n v="4"/>
    <n v="1200"/>
    <n v="1.025846E-2"/>
    <x v="0"/>
    <n v="-61610"/>
    <n v="19.166699999999999"/>
    <x v="1"/>
    <s v="Low"/>
    <s v="Medium"/>
    <s v="December"/>
    <x v="11"/>
  </r>
  <r>
    <d v="2011-01-09T00:00:00"/>
    <x v="2"/>
    <x v="4"/>
    <n v="353570"/>
    <n v="400000"/>
    <x v="0"/>
    <x v="0"/>
    <x v="0"/>
    <n v="2"/>
    <n v="972"/>
    <n v="1.025033E-2"/>
    <x v="0"/>
    <n v="46430"/>
    <n v="411.52260000000001"/>
    <x v="0"/>
    <s v="Medium"/>
    <s v="Medium"/>
    <s v="January"/>
    <x v="0"/>
  </r>
  <r>
    <d v="2011-01-14T00:00:00"/>
    <x v="2"/>
    <x v="5"/>
    <n v="720650"/>
    <n v="1015000"/>
    <x v="0"/>
    <x v="0"/>
    <x v="0"/>
    <n v="3"/>
    <n v="1093"/>
    <n v="1.025033E-2"/>
    <x v="1"/>
    <n v="294350"/>
    <n v="928.63679999999999"/>
    <x v="0"/>
    <s v="High"/>
    <s v="Medium"/>
    <s v="January"/>
    <x v="0"/>
  </r>
  <r>
    <d v="2011-01-15T00:00:00"/>
    <x v="2"/>
    <x v="5"/>
    <n v="559790"/>
    <n v="426000"/>
    <x v="0"/>
    <x v="0"/>
    <x v="0"/>
    <n v="3"/>
    <n v="1087"/>
    <n v="1.025033E-2"/>
    <x v="1"/>
    <n v="-133790"/>
    <n v="391.90429999999998"/>
    <x v="1"/>
    <s v="Medium"/>
    <s v="Medium"/>
    <s v="January"/>
    <x v="0"/>
  </r>
  <r>
    <d v="2011-01-20T00:00:00"/>
    <x v="2"/>
    <x v="5"/>
    <n v="84300"/>
    <n v="65100"/>
    <x v="0"/>
    <x v="0"/>
    <x v="0"/>
    <n v="3"/>
    <n v="1004"/>
    <n v="1.025033E-2"/>
    <x v="1"/>
    <n v="-19200"/>
    <n v="64.840599999999995"/>
    <x v="1"/>
    <s v="Low"/>
    <s v="Medium"/>
    <s v="January"/>
    <x v="0"/>
  </r>
  <r>
    <d v="2011-01-22T00:00:00"/>
    <x v="2"/>
    <x v="0"/>
    <n v="104660"/>
    <n v="129000"/>
    <x v="0"/>
    <x v="0"/>
    <x v="0"/>
    <n v="1"/>
    <n v="1015"/>
    <n v="1.025033E-2"/>
    <x v="1"/>
    <n v="24340"/>
    <n v="127.0936"/>
    <x v="0"/>
    <s v="Low"/>
    <s v="Medium"/>
    <s v="January"/>
    <x v="0"/>
  </r>
  <r>
    <d v="2011-01-23T00:00:00"/>
    <x v="2"/>
    <x v="0"/>
    <n v="444584.20699999999"/>
    <n v="200000"/>
    <x v="0"/>
    <x v="0"/>
    <x v="0"/>
    <n v="1"/>
    <n v="974"/>
    <n v="1.025033E-2"/>
    <x v="2"/>
    <n v="-244584.20699999999"/>
    <n v="205.33879999999999"/>
    <x v="1"/>
    <s v="Medium"/>
    <s v="Medium"/>
    <s v="January"/>
    <x v="0"/>
  </r>
  <r>
    <d v="2011-01-26T00:00:00"/>
    <x v="2"/>
    <x v="4"/>
    <n v="408870"/>
    <n v="410000"/>
    <x v="0"/>
    <x v="0"/>
    <x v="0"/>
    <n v="1"/>
    <n v="1111.6589814177564"/>
    <n v="1.025033E-2"/>
    <x v="0"/>
    <n v="1130"/>
    <n v="368.81810000000002"/>
    <x v="0"/>
    <s v="Medium"/>
    <s v="Medium"/>
    <s v="January"/>
    <x v="0"/>
  </r>
  <r>
    <d v="2011-01-29T00:00:00"/>
    <x v="2"/>
    <x v="3"/>
    <n v="500290"/>
    <n v="600000"/>
    <x v="1"/>
    <x v="1"/>
    <x v="1"/>
    <n v="4"/>
    <n v="1396"/>
    <n v="1.025033E-2"/>
    <x v="1"/>
    <n v="99710"/>
    <n v="429.79939999999999"/>
    <x v="0"/>
    <s v="High"/>
    <s v="Large"/>
    <s v="January"/>
    <x v="0"/>
  </r>
  <r>
    <d v="2011-01-30T00:00:00"/>
    <x v="2"/>
    <x v="5"/>
    <n v="417120"/>
    <n v="580000"/>
    <x v="0"/>
    <x v="0"/>
    <x v="0"/>
    <n v="3"/>
    <n v="1018"/>
    <n v="1.025033E-2"/>
    <x v="2"/>
    <n v="162880"/>
    <n v="569.74459999999999"/>
    <x v="0"/>
    <s v="Medium"/>
    <s v="Medium"/>
    <s v="January"/>
    <x v="0"/>
  </r>
  <r>
    <d v="2011-02-02T00:00:00"/>
    <x v="2"/>
    <x v="7"/>
    <n v="294080"/>
    <n v="325000"/>
    <x v="0"/>
    <x v="0"/>
    <x v="0"/>
    <n v="1"/>
    <n v="931"/>
    <n v="1.025033E-2"/>
    <x v="0"/>
    <n v="30920"/>
    <n v="349.08699999999999"/>
    <x v="0"/>
    <s v="Medium"/>
    <s v="Medium"/>
    <s v="February"/>
    <x v="1"/>
  </r>
  <r>
    <d v="2011-02-05T00:00:00"/>
    <x v="2"/>
    <x v="0"/>
    <n v="94460"/>
    <n v="92000"/>
    <x v="0"/>
    <x v="0"/>
    <x v="0"/>
    <n v="2"/>
    <n v="939"/>
    <n v="1.025033E-2"/>
    <x v="1"/>
    <n v="-2460"/>
    <n v="97.976600000000005"/>
    <x v="1"/>
    <s v="Low"/>
    <s v="Medium"/>
    <s v="February"/>
    <x v="1"/>
  </r>
  <r>
    <d v="2011-02-06T00:00:00"/>
    <x v="2"/>
    <x v="0"/>
    <n v="444584.20699999999"/>
    <n v="19900"/>
    <x v="2"/>
    <x v="2"/>
    <x v="2"/>
    <n v="5"/>
    <n v="2092"/>
    <n v="1.025033E-2"/>
    <x v="1"/>
    <n v="-424684.20699999999"/>
    <n v="9.5123999999999995"/>
    <x v="1"/>
    <s v="Low"/>
    <s v="Large"/>
    <s v="February"/>
    <x v="1"/>
  </r>
  <r>
    <d v="2011-02-09T00:00:00"/>
    <x v="2"/>
    <x v="3"/>
    <n v="806120"/>
    <n v="900000"/>
    <x v="0"/>
    <x v="0"/>
    <x v="0"/>
    <n v="1"/>
    <n v="976"/>
    <n v="1.025033E-2"/>
    <x v="2"/>
    <n v="93880"/>
    <n v="922.13109999999995"/>
    <x v="0"/>
    <s v="High"/>
    <s v="Medium"/>
    <s v="February"/>
    <x v="1"/>
  </r>
  <r>
    <d v="2011-02-13T00:00:00"/>
    <x v="2"/>
    <x v="3"/>
    <n v="1688540"/>
    <n v="1600000"/>
    <x v="0"/>
    <x v="0"/>
    <x v="0"/>
    <n v="3"/>
    <n v="933"/>
    <n v="1.025033E-2"/>
    <x v="1"/>
    <n v="-88540"/>
    <n v="1714.8982000000001"/>
    <x v="1"/>
    <s v="High"/>
    <s v="Medium"/>
    <s v="February"/>
    <x v="1"/>
  </r>
  <r>
    <d v="2011-02-17T00:00:00"/>
    <x v="2"/>
    <x v="0"/>
    <n v="124300"/>
    <n v="86500"/>
    <x v="1"/>
    <x v="1"/>
    <x v="1"/>
    <n v="4"/>
    <n v="1475"/>
    <n v="1.025033E-2"/>
    <x v="1"/>
    <n v="-37800"/>
    <n v="58.644100000000002"/>
    <x v="1"/>
    <s v="Low"/>
    <s v="Large"/>
    <s v="February"/>
    <x v="1"/>
  </r>
  <r>
    <d v="2011-02-19T00:00:00"/>
    <x v="2"/>
    <x v="4"/>
    <n v="356440"/>
    <n v="322000"/>
    <x v="0"/>
    <x v="0"/>
    <x v="0"/>
    <n v="1"/>
    <n v="995"/>
    <n v="1.025033E-2"/>
    <x v="0"/>
    <n v="-34440"/>
    <n v="323.61810000000003"/>
    <x v="1"/>
    <s v="Medium"/>
    <s v="Medium"/>
    <s v="February"/>
    <x v="1"/>
  </r>
  <r>
    <d v="2011-02-20T00:00:00"/>
    <x v="2"/>
    <x v="0"/>
    <n v="113270"/>
    <n v="53000"/>
    <x v="0"/>
    <x v="0"/>
    <x v="0"/>
    <n v="3"/>
    <n v="1081"/>
    <n v="1.025033E-2"/>
    <x v="1"/>
    <n v="-60270"/>
    <n v="49.028700000000001"/>
    <x v="1"/>
    <s v="Low"/>
    <s v="Medium"/>
    <s v="February"/>
    <x v="1"/>
  </r>
  <r>
    <d v="2011-02-23T00:00:00"/>
    <x v="2"/>
    <x v="0"/>
    <n v="126400"/>
    <n v="199000"/>
    <x v="2"/>
    <x v="2"/>
    <x v="2"/>
    <n v="4"/>
    <n v="1834"/>
    <n v="1.025033E-2"/>
    <x v="0"/>
    <n v="72600"/>
    <n v="108.506"/>
    <x v="0"/>
    <s v="Low"/>
    <s v="Large"/>
    <s v="February"/>
    <x v="1"/>
  </r>
  <r>
    <d v="2011-02-24T00:00:00"/>
    <x v="2"/>
    <x v="0"/>
    <n v="127530"/>
    <n v="95000"/>
    <x v="1"/>
    <x v="1"/>
    <x v="1"/>
    <n v="3"/>
    <n v="1424"/>
    <n v="1.025033E-2"/>
    <x v="2"/>
    <n v="-32530"/>
    <n v="66.713499999999996"/>
    <x v="1"/>
    <s v="Low"/>
    <s v="Large"/>
    <s v="February"/>
    <x v="1"/>
  </r>
  <r>
    <d v="2011-02-26T00:00:00"/>
    <x v="2"/>
    <x v="5"/>
    <n v="444584.20699999999"/>
    <n v="170000"/>
    <x v="0"/>
    <x v="0"/>
    <x v="0"/>
    <n v="1"/>
    <n v="920"/>
    <n v="1.025033E-2"/>
    <x v="2"/>
    <n v="-274584.20699999999"/>
    <n v="184.7826"/>
    <x v="1"/>
    <s v="Low"/>
    <s v="Medium"/>
    <s v="February"/>
    <x v="1"/>
  </r>
  <r>
    <d v="2011-02-27T00:00:00"/>
    <x v="2"/>
    <x v="0"/>
    <n v="197110"/>
    <n v="265000"/>
    <x v="0"/>
    <x v="0"/>
    <x v="0"/>
    <n v="2"/>
    <n v="943"/>
    <n v="1.025033E-2"/>
    <x v="1"/>
    <n v="67890"/>
    <n v="281.01799999999997"/>
    <x v="0"/>
    <s v="Medium"/>
    <s v="Medium"/>
    <s v="February"/>
    <x v="1"/>
  </r>
  <r>
    <d v="2011-03-04T00:00:00"/>
    <x v="2"/>
    <x v="7"/>
    <n v="417240"/>
    <n v="505000"/>
    <x v="0"/>
    <x v="0"/>
    <x v="0"/>
    <n v="3"/>
    <n v="1111.6589814177564"/>
    <n v="1.025033E-2"/>
    <x v="0"/>
    <n v="87760"/>
    <n v="454.27600000000001"/>
    <x v="0"/>
    <s v="Medium"/>
    <s v="Medium"/>
    <s v="March"/>
    <x v="2"/>
  </r>
  <r>
    <d v="2011-03-05T00:00:00"/>
    <x v="2"/>
    <x v="5"/>
    <n v="444584.20699999999"/>
    <n v="117200"/>
    <x v="0"/>
    <x v="0"/>
    <x v="0"/>
    <n v="1"/>
    <n v="1111.6589814177564"/>
    <n v="1.025033E-2"/>
    <x v="0"/>
    <n v="-327384.20699999999"/>
    <n v="105.428"/>
    <x v="1"/>
    <s v="Low"/>
    <s v="Medium"/>
    <s v="March"/>
    <x v="2"/>
  </r>
  <r>
    <d v="2011-03-06T00:00:00"/>
    <x v="2"/>
    <x v="0"/>
    <n v="129960"/>
    <n v="158000"/>
    <x v="0"/>
    <x v="0"/>
    <x v="0"/>
    <n v="1"/>
    <n v="905"/>
    <n v="1.025033E-2"/>
    <x v="1"/>
    <n v="28040"/>
    <n v="174.5856"/>
    <x v="0"/>
    <s v="Low"/>
    <s v="Medium"/>
    <s v="March"/>
    <x v="2"/>
  </r>
  <r>
    <d v="2011-03-11T00:00:00"/>
    <x v="2"/>
    <x v="3"/>
    <n v="3611790"/>
    <n v="6000000"/>
    <x v="0"/>
    <x v="0"/>
    <x v="0"/>
    <n v="1"/>
    <n v="934"/>
    <n v="1.025033E-2"/>
    <x v="3"/>
    <n v="2388210"/>
    <n v="6423.9829"/>
    <x v="0"/>
    <s v="High"/>
    <s v="Medium"/>
    <s v="March"/>
    <x v="2"/>
  </r>
  <r>
    <d v="2011-03-13T00:00:00"/>
    <x v="2"/>
    <x v="4"/>
    <n v="304500"/>
    <n v="399000"/>
    <x v="0"/>
    <x v="0"/>
    <x v="0"/>
    <n v="2"/>
    <n v="1111.6589814177564"/>
    <n v="1.025033E-2"/>
    <x v="3"/>
    <n v="94500"/>
    <n v="358.923"/>
    <x v="0"/>
    <s v="Medium"/>
    <s v="Medium"/>
    <s v="March"/>
    <x v="2"/>
  </r>
  <r>
    <d v="2011-03-18T00:00:00"/>
    <x v="2"/>
    <x v="0"/>
    <n v="112850"/>
    <n v="27900"/>
    <x v="2"/>
    <x v="2"/>
    <x v="2"/>
    <n v="6"/>
    <n v="1836"/>
    <n v="1.025033E-2"/>
    <x v="1"/>
    <n v="-84950"/>
    <n v="15.196099999999999"/>
    <x v="1"/>
    <s v="Low"/>
    <s v="Large"/>
    <s v="March"/>
    <x v="2"/>
  </r>
  <r>
    <d v="2011-03-23T00:00:00"/>
    <x v="2"/>
    <x v="6"/>
    <n v="180500"/>
    <n v="241500"/>
    <x v="0"/>
    <x v="0"/>
    <x v="0"/>
    <n v="3"/>
    <n v="1061"/>
    <n v="1.025033E-2"/>
    <x v="1"/>
    <n v="61000"/>
    <n v="227.6155"/>
    <x v="0"/>
    <s v="Medium"/>
    <s v="Medium"/>
    <s v="March"/>
    <x v="2"/>
  </r>
  <r>
    <d v="2011-03-26T00:00:00"/>
    <x v="2"/>
    <x v="5"/>
    <n v="204200"/>
    <n v="234000"/>
    <x v="0"/>
    <x v="0"/>
    <x v="0"/>
    <n v="2"/>
    <n v="1021"/>
    <n v="1.025033E-2"/>
    <x v="3"/>
    <n v="29800"/>
    <n v="229.18709999999999"/>
    <x v="0"/>
    <s v="Medium"/>
    <s v="Medium"/>
    <s v="March"/>
    <x v="2"/>
  </r>
  <r>
    <d v="2011-03-30T00:00:00"/>
    <x v="2"/>
    <x v="7"/>
    <n v="334190"/>
    <n v="170000"/>
    <x v="0"/>
    <x v="0"/>
    <x v="0"/>
    <n v="2"/>
    <n v="948"/>
    <n v="1.025033E-2"/>
    <x v="3"/>
    <n v="-164190"/>
    <n v="179.32490000000001"/>
    <x v="1"/>
    <s v="Low"/>
    <s v="Medium"/>
    <s v="March"/>
    <x v="2"/>
  </r>
  <r>
    <d v="2011-03-31T00:00:00"/>
    <x v="2"/>
    <x v="0"/>
    <n v="117860"/>
    <n v="170000"/>
    <x v="0"/>
    <x v="0"/>
    <x v="0"/>
    <n v="3"/>
    <n v="918"/>
    <n v="1.025033E-2"/>
    <x v="1"/>
    <n v="52140"/>
    <n v="185.18520000000001"/>
    <x v="0"/>
    <s v="Low"/>
    <s v="Medium"/>
    <s v="March"/>
    <x v="2"/>
  </r>
  <r>
    <d v="2011-04-01T00:00:00"/>
    <x v="2"/>
    <x v="0"/>
    <n v="170560"/>
    <n v="39500"/>
    <x v="2"/>
    <x v="2"/>
    <x v="2"/>
    <n v="4"/>
    <n v="2177"/>
    <n v="1.025033E-2"/>
    <x v="2"/>
    <n v="-131060"/>
    <n v="18.144200000000001"/>
    <x v="1"/>
    <s v="Low"/>
    <s v="Large"/>
    <s v="April"/>
    <x v="3"/>
  </r>
  <r>
    <d v="2011-04-02T00:00:00"/>
    <x v="2"/>
    <x v="6"/>
    <n v="196100"/>
    <n v="260000"/>
    <x v="0"/>
    <x v="0"/>
    <x v="0"/>
    <n v="1"/>
    <n v="947"/>
    <n v="1.025033E-2"/>
    <x v="2"/>
    <n v="63900"/>
    <n v="274.55119999999999"/>
    <x v="0"/>
    <s v="Medium"/>
    <s v="Medium"/>
    <s v="April"/>
    <x v="3"/>
  </r>
  <r>
    <d v="2011-04-06T00:00:00"/>
    <x v="2"/>
    <x v="7"/>
    <n v="492850"/>
    <n v="508500"/>
    <x v="3"/>
    <x v="3"/>
    <x v="3"/>
    <n v="6"/>
    <n v="1111.6589814177564"/>
    <n v="1.025033E-2"/>
    <x v="0"/>
    <n v="15650"/>
    <n v="457.42450000000002"/>
    <x v="0"/>
    <s v="Medium"/>
    <s v="Medium"/>
    <s v="April"/>
    <x v="3"/>
  </r>
  <r>
    <d v="2011-04-08T00:00:00"/>
    <x v="2"/>
    <x v="7"/>
    <n v="398750"/>
    <n v="340000"/>
    <x v="1"/>
    <x v="1"/>
    <x v="1"/>
    <n v="4"/>
    <n v="1228"/>
    <n v="1.025033E-2"/>
    <x v="2"/>
    <n v="-58750"/>
    <n v="276.87299999999999"/>
    <x v="1"/>
    <s v="Medium"/>
    <s v="Medium"/>
    <s v="April"/>
    <x v="3"/>
  </r>
  <r>
    <d v="2011-04-13T00:00:00"/>
    <x v="2"/>
    <x v="7"/>
    <n v="279580"/>
    <n v="147500"/>
    <x v="0"/>
    <x v="0"/>
    <x v="0"/>
    <n v="3"/>
    <n v="1085"/>
    <n v="1.025033E-2"/>
    <x v="0"/>
    <n v="-132080"/>
    <n v="135.94470000000001"/>
    <x v="1"/>
    <s v="Low"/>
    <s v="Medium"/>
    <s v="April"/>
    <x v="3"/>
  </r>
  <r>
    <d v="2011-04-16T00:00:00"/>
    <x v="2"/>
    <x v="5"/>
    <n v="93150"/>
    <n v="58000"/>
    <x v="0"/>
    <x v="0"/>
    <x v="0"/>
    <n v="2"/>
    <n v="1058"/>
    <n v="1.025033E-2"/>
    <x v="1"/>
    <n v="-35150"/>
    <n v="54.820399999999999"/>
    <x v="1"/>
    <s v="Low"/>
    <s v="Medium"/>
    <s v="April"/>
    <x v="3"/>
  </r>
  <r>
    <d v="2011-04-17T00:00:00"/>
    <x v="2"/>
    <x v="3"/>
    <n v="2528400"/>
    <n v="3000000"/>
    <x v="0"/>
    <x v="0"/>
    <x v="0"/>
    <n v="1"/>
    <n v="1070"/>
    <n v="1.025033E-2"/>
    <x v="3"/>
    <n v="471600"/>
    <n v="2803.7383"/>
    <x v="0"/>
    <s v="High"/>
    <s v="Medium"/>
    <s v="April"/>
    <x v="3"/>
  </r>
  <r>
    <d v="2011-04-20T00:00:00"/>
    <x v="2"/>
    <x v="0"/>
    <n v="444584.20699999999"/>
    <n v="20300"/>
    <x v="0"/>
    <x v="0"/>
    <x v="0"/>
    <n v="2"/>
    <n v="938"/>
    <n v="1.025033E-2"/>
    <x v="3"/>
    <n v="-424284.20699999999"/>
    <n v="21.6418"/>
    <x v="1"/>
    <s v="Low"/>
    <s v="Medium"/>
    <s v="April"/>
    <x v="3"/>
  </r>
  <r>
    <d v="2011-04-24T00:00:00"/>
    <x v="2"/>
    <x v="3"/>
    <n v="2133810"/>
    <n v="1350000"/>
    <x v="0"/>
    <x v="0"/>
    <x v="0"/>
    <n v="2"/>
    <n v="1060"/>
    <n v="1.025033E-2"/>
    <x v="0"/>
    <n v="-783810"/>
    <n v="1273.5849000000001"/>
    <x v="1"/>
    <s v="High"/>
    <s v="Medium"/>
    <s v="April"/>
    <x v="3"/>
  </r>
  <r>
    <d v="2011-04-27T00:00:00"/>
    <x v="2"/>
    <x v="6"/>
    <n v="154000"/>
    <n v="213500"/>
    <x v="0"/>
    <x v="0"/>
    <x v="0"/>
    <n v="1"/>
    <n v="963"/>
    <n v="1.025033E-2"/>
    <x v="1"/>
    <n v="59500"/>
    <n v="221.703"/>
    <x v="0"/>
    <s v="Medium"/>
    <s v="Medium"/>
    <s v="April"/>
    <x v="3"/>
  </r>
  <r>
    <d v="2011-04-28T00:00:00"/>
    <x v="2"/>
    <x v="3"/>
    <n v="1521380"/>
    <n v="2415000"/>
    <x v="0"/>
    <x v="0"/>
    <x v="0"/>
    <n v="1"/>
    <n v="907"/>
    <n v="1.025033E-2"/>
    <x v="1"/>
    <n v="893620"/>
    <n v="2662.6239999999998"/>
    <x v="0"/>
    <s v="High"/>
    <s v="Medium"/>
    <s v="April"/>
    <x v="3"/>
  </r>
  <r>
    <d v="2011-04-29T00:00:00"/>
    <x v="2"/>
    <x v="5"/>
    <n v="875080"/>
    <n v="1110000"/>
    <x v="0"/>
    <x v="0"/>
    <x v="0"/>
    <n v="2"/>
    <n v="933"/>
    <n v="1.025033E-2"/>
    <x v="0"/>
    <n v="234920"/>
    <n v="1189.7106000000001"/>
    <x v="0"/>
    <s v="High"/>
    <s v="Medium"/>
    <s v="April"/>
    <x v="3"/>
  </r>
  <r>
    <d v="2011-04-30T00:00:00"/>
    <x v="2"/>
    <x v="6"/>
    <n v="193900"/>
    <n v="266000"/>
    <x v="0"/>
    <x v="0"/>
    <x v="0"/>
    <n v="1"/>
    <n v="1029"/>
    <n v="1.025033E-2"/>
    <x v="1"/>
    <n v="72100"/>
    <n v="258.5034"/>
    <x v="0"/>
    <s v="Medium"/>
    <s v="Medium"/>
    <s v="April"/>
    <x v="3"/>
  </r>
  <r>
    <d v="2011-05-01T00:00:00"/>
    <x v="2"/>
    <x v="3"/>
    <n v="2254000"/>
    <n v="3434510"/>
    <x v="0"/>
    <x v="0"/>
    <x v="0"/>
    <n v="1"/>
    <n v="1088"/>
    <n v="1.025033E-2"/>
    <x v="0"/>
    <n v="1180510"/>
    <n v="3156.7188000000001"/>
    <x v="0"/>
    <s v="High"/>
    <s v="Medium"/>
    <s v="May"/>
    <x v="4"/>
  </r>
  <r>
    <d v="2011-05-04T00:00:00"/>
    <x v="2"/>
    <x v="6"/>
    <n v="234800"/>
    <n v="316000"/>
    <x v="0"/>
    <x v="0"/>
    <x v="0"/>
    <n v="2"/>
    <n v="1063"/>
    <n v="1.025033E-2"/>
    <x v="2"/>
    <n v="81200"/>
    <n v="297.27190000000002"/>
    <x v="0"/>
    <s v="Medium"/>
    <s v="Medium"/>
    <s v="May"/>
    <x v="4"/>
  </r>
  <r>
    <d v="2011-05-05T00:00:00"/>
    <x v="2"/>
    <x v="0"/>
    <n v="68710"/>
    <n v="34900"/>
    <x v="1"/>
    <x v="1"/>
    <x v="1"/>
    <n v="2"/>
    <n v="1240"/>
    <n v="1.025033E-2"/>
    <x v="3"/>
    <n v="-33810"/>
    <n v="28.145199999999999"/>
    <x v="1"/>
    <s v="Low"/>
    <s v="Medium"/>
    <s v="May"/>
    <x v="4"/>
  </r>
  <r>
    <d v="2011-05-06T00:00:00"/>
    <x v="2"/>
    <x v="5"/>
    <n v="444584.20699999999"/>
    <n v="193000"/>
    <x v="1"/>
    <x v="1"/>
    <x v="1"/>
    <n v="2"/>
    <n v="1279"/>
    <n v="1.025033E-2"/>
    <x v="2"/>
    <n v="-251584.20699999999"/>
    <n v="150.8991"/>
    <x v="1"/>
    <s v="Low"/>
    <s v="Medium"/>
    <s v="May"/>
    <x v="4"/>
  </r>
  <r>
    <d v="2011-05-07T00:00:00"/>
    <x v="2"/>
    <x v="0"/>
    <n v="184850"/>
    <n v="195000"/>
    <x v="0"/>
    <x v="0"/>
    <x v="0"/>
    <n v="3"/>
    <n v="1111.6589814177564"/>
    <n v="1.025033E-2"/>
    <x v="3"/>
    <n v="10150"/>
    <n v="175.4135"/>
    <x v="0"/>
    <s v="Low"/>
    <s v="Medium"/>
    <s v="May"/>
    <x v="4"/>
  </r>
  <r>
    <d v="2011-05-08T00:00:00"/>
    <x v="2"/>
    <x v="4"/>
    <n v="290570"/>
    <n v="310000"/>
    <x v="0"/>
    <x v="0"/>
    <x v="0"/>
    <n v="1"/>
    <n v="960"/>
    <n v="1.025033E-2"/>
    <x v="2"/>
    <n v="19430"/>
    <n v="322.91669999999999"/>
    <x v="0"/>
    <s v="Medium"/>
    <s v="Medium"/>
    <s v="May"/>
    <x v="4"/>
  </r>
  <r>
    <d v="2011-05-11T00:00:00"/>
    <x v="2"/>
    <x v="6"/>
    <n v="251100"/>
    <n v="450000"/>
    <x v="0"/>
    <x v="0"/>
    <x v="0"/>
    <n v="1"/>
    <n v="1066"/>
    <n v="1.025033E-2"/>
    <x v="1"/>
    <n v="198900"/>
    <n v="422.1388"/>
    <x v="0"/>
    <s v="Medium"/>
    <s v="Medium"/>
    <s v="May"/>
    <x v="4"/>
  </r>
  <r>
    <d v="2011-05-15T00:00:00"/>
    <x v="2"/>
    <x v="0"/>
    <n v="96530"/>
    <n v="75400"/>
    <x v="0"/>
    <x v="0"/>
    <x v="0"/>
    <n v="2"/>
    <n v="1019"/>
    <n v="1.025033E-2"/>
    <x v="3"/>
    <n v="-21130"/>
    <n v="73.994100000000003"/>
    <x v="1"/>
    <s v="Low"/>
    <s v="Medium"/>
    <s v="May"/>
    <x v="4"/>
  </r>
  <r>
    <d v="2011-05-18T00:00:00"/>
    <x v="2"/>
    <x v="6"/>
    <n v="231100"/>
    <n v="322500"/>
    <x v="0"/>
    <x v="0"/>
    <x v="0"/>
    <n v="3"/>
    <n v="1082"/>
    <n v="1.025033E-2"/>
    <x v="0"/>
    <n v="91400"/>
    <n v="298.0591"/>
    <x v="0"/>
    <s v="Medium"/>
    <s v="Medium"/>
    <s v="May"/>
    <x v="4"/>
  </r>
  <r>
    <d v="2011-05-20T00:00:00"/>
    <x v="2"/>
    <x v="4"/>
    <n v="242830"/>
    <n v="249000"/>
    <x v="0"/>
    <x v="0"/>
    <x v="0"/>
    <n v="2"/>
    <n v="1111.6589814177564"/>
    <n v="1.025033E-2"/>
    <x v="2"/>
    <n v="6170"/>
    <n v="223.9896"/>
    <x v="0"/>
    <s v="Medium"/>
    <s v="Medium"/>
    <s v="May"/>
    <x v="4"/>
  </r>
  <r>
    <d v="2011-05-21T00:00:00"/>
    <x v="2"/>
    <x v="0"/>
    <n v="167930"/>
    <n v="160000"/>
    <x v="0"/>
    <x v="0"/>
    <x v="0"/>
    <n v="2"/>
    <n v="939"/>
    <n v="1.025033E-2"/>
    <x v="3"/>
    <n v="-7930"/>
    <n v="170.39400000000001"/>
    <x v="1"/>
    <s v="Low"/>
    <s v="Medium"/>
    <s v="May"/>
    <x v="4"/>
  </r>
  <r>
    <d v="2011-05-22T00:00:00"/>
    <x v="2"/>
    <x v="0"/>
    <n v="444584.20699999999"/>
    <n v="95000"/>
    <x v="0"/>
    <x v="0"/>
    <x v="0"/>
    <n v="2"/>
    <n v="1071"/>
    <n v="1.025033E-2"/>
    <x v="3"/>
    <n v="-349584.20699999999"/>
    <n v="88.702100000000002"/>
    <x v="1"/>
    <s v="Low"/>
    <s v="Medium"/>
    <s v="May"/>
    <x v="4"/>
  </r>
  <r>
    <d v="2011-05-27T00:00:00"/>
    <x v="2"/>
    <x v="3"/>
    <n v="1413370"/>
    <n v="2509500"/>
    <x v="0"/>
    <x v="0"/>
    <x v="0"/>
    <n v="1"/>
    <n v="1094"/>
    <n v="1.025033E-2"/>
    <x v="1"/>
    <n v="1096130"/>
    <n v="2293.8757000000001"/>
    <x v="0"/>
    <s v="High"/>
    <s v="Medium"/>
    <s v="May"/>
    <x v="4"/>
  </r>
  <r>
    <d v="2011-05-29T00:00:00"/>
    <x v="2"/>
    <x v="4"/>
    <n v="339010"/>
    <n v="546000"/>
    <x v="0"/>
    <x v="0"/>
    <x v="0"/>
    <n v="3"/>
    <n v="1007"/>
    <n v="1.025033E-2"/>
    <x v="2"/>
    <n v="206990"/>
    <n v="542.20460000000003"/>
    <x v="0"/>
    <s v="Medium"/>
    <s v="Medium"/>
    <s v="May"/>
    <x v="4"/>
  </r>
  <r>
    <d v="2011-06-01T00:00:00"/>
    <x v="2"/>
    <x v="0"/>
    <n v="100170"/>
    <n v="140000"/>
    <x v="0"/>
    <x v="0"/>
    <x v="0"/>
    <n v="1"/>
    <n v="968"/>
    <n v="1.025033E-2"/>
    <x v="3"/>
    <n v="39830"/>
    <n v="144.62809999999999"/>
    <x v="0"/>
    <s v="Low"/>
    <s v="Medium"/>
    <s v="June"/>
    <x v="5"/>
  </r>
  <r>
    <d v="2011-06-02T00:00:00"/>
    <x v="2"/>
    <x v="3"/>
    <n v="429310"/>
    <n v="400000"/>
    <x v="0"/>
    <x v="0"/>
    <x v="0"/>
    <n v="1"/>
    <n v="1015"/>
    <n v="1.025033E-2"/>
    <x v="3"/>
    <n v="-29310"/>
    <n v="394.08870000000002"/>
    <x v="1"/>
    <s v="Medium"/>
    <s v="Medium"/>
    <s v="June"/>
    <x v="5"/>
  </r>
  <r>
    <d v="2011-06-03T00:00:00"/>
    <x v="2"/>
    <x v="7"/>
    <n v="1061150"/>
    <n v="1075000"/>
    <x v="0"/>
    <x v="0"/>
    <x v="0"/>
    <n v="2"/>
    <n v="911"/>
    <n v="1.025033E-2"/>
    <x v="1"/>
    <n v="13850"/>
    <n v="1180.0219999999999"/>
    <x v="0"/>
    <s v="High"/>
    <s v="Medium"/>
    <s v="June"/>
    <x v="5"/>
  </r>
  <r>
    <d v="2011-06-05T00:00:00"/>
    <x v="2"/>
    <x v="4"/>
    <n v="335300"/>
    <n v="345000"/>
    <x v="0"/>
    <x v="0"/>
    <x v="0"/>
    <n v="3"/>
    <n v="992"/>
    <n v="1.025033E-2"/>
    <x v="1"/>
    <n v="9700"/>
    <n v="347.78230000000002"/>
    <x v="0"/>
    <s v="Medium"/>
    <s v="Medium"/>
    <s v="June"/>
    <x v="5"/>
  </r>
  <r>
    <d v="2011-06-08T00:00:00"/>
    <x v="2"/>
    <x v="7"/>
    <n v="312170"/>
    <n v="320000"/>
    <x v="1"/>
    <x v="1"/>
    <x v="1"/>
    <n v="2"/>
    <n v="1339"/>
    <n v="1.025033E-2"/>
    <x v="2"/>
    <n v="7830"/>
    <n v="238.98429999999999"/>
    <x v="0"/>
    <s v="Medium"/>
    <s v="Large"/>
    <s v="June"/>
    <x v="5"/>
  </r>
  <r>
    <d v="2011-06-09T00:00:00"/>
    <x v="2"/>
    <x v="0"/>
    <n v="112030"/>
    <n v="145950"/>
    <x v="0"/>
    <x v="0"/>
    <x v="0"/>
    <n v="3"/>
    <n v="984"/>
    <n v="1.025033E-2"/>
    <x v="0"/>
    <n v="33920"/>
    <n v="148.32320000000001"/>
    <x v="0"/>
    <s v="Low"/>
    <s v="Medium"/>
    <s v="June"/>
    <x v="5"/>
  </r>
  <r>
    <d v="2011-06-10T00:00:00"/>
    <x v="2"/>
    <x v="0"/>
    <n v="58270"/>
    <n v="53000"/>
    <x v="0"/>
    <x v="0"/>
    <x v="0"/>
    <n v="2"/>
    <n v="1111.6589814177564"/>
    <n v="1.025033E-2"/>
    <x v="1"/>
    <n v="-5270"/>
    <n v="47.676499999999997"/>
    <x v="1"/>
    <s v="Low"/>
    <s v="Medium"/>
    <s v="June"/>
    <x v="5"/>
  </r>
  <r>
    <d v="2011-06-11T00:00:00"/>
    <x v="2"/>
    <x v="7"/>
    <n v="589320"/>
    <n v="775000"/>
    <x v="0"/>
    <x v="0"/>
    <x v="0"/>
    <n v="2"/>
    <n v="1111.6589814177564"/>
    <n v="1.025033E-2"/>
    <x v="2"/>
    <n v="185680"/>
    <n v="697.15620000000001"/>
    <x v="0"/>
    <s v="High"/>
    <s v="Medium"/>
    <s v="June"/>
    <x v="5"/>
  </r>
  <r>
    <d v="2011-06-12T00:00:00"/>
    <x v="2"/>
    <x v="0"/>
    <n v="96520"/>
    <n v="24350"/>
    <x v="0"/>
    <x v="0"/>
    <x v="0"/>
    <n v="2"/>
    <n v="953"/>
    <n v="1.025033E-2"/>
    <x v="3"/>
    <n v="-72170"/>
    <n v="25.550899999999999"/>
    <x v="1"/>
    <s v="Low"/>
    <s v="Medium"/>
    <s v="June"/>
    <x v="5"/>
  </r>
  <r>
    <d v="2011-06-15T00:00:00"/>
    <x v="2"/>
    <x v="6"/>
    <n v="181500"/>
    <n v="241000"/>
    <x v="0"/>
    <x v="0"/>
    <x v="0"/>
    <n v="1"/>
    <n v="987"/>
    <n v="1.025033E-2"/>
    <x v="3"/>
    <n v="59500"/>
    <n v="244.17429999999999"/>
    <x v="0"/>
    <s v="Medium"/>
    <s v="Medium"/>
    <s v="June"/>
    <x v="5"/>
  </r>
  <r>
    <d v="2011-06-17T00:00:00"/>
    <x v="2"/>
    <x v="5"/>
    <n v="610480"/>
    <n v="860000"/>
    <x v="0"/>
    <x v="0"/>
    <x v="0"/>
    <n v="1"/>
    <n v="1111.6589814177564"/>
    <n v="1.025033E-2"/>
    <x v="1"/>
    <n v="249520"/>
    <n v="773.61850000000004"/>
    <x v="0"/>
    <s v="High"/>
    <s v="Medium"/>
    <s v="June"/>
    <x v="5"/>
  </r>
  <r>
    <d v="2011-06-18T00:00:00"/>
    <x v="2"/>
    <x v="0"/>
    <n v="87950"/>
    <n v="15000"/>
    <x v="1"/>
    <x v="1"/>
    <x v="1"/>
    <n v="2"/>
    <n v="1353"/>
    <n v="1.025033E-2"/>
    <x v="0"/>
    <n v="-72950"/>
    <n v="11.086499999999999"/>
    <x v="1"/>
    <s v="Low"/>
    <s v="Large"/>
    <s v="June"/>
    <x v="5"/>
  </r>
  <r>
    <d v="2011-06-19T00:00:00"/>
    <x v="2"/>
    <x v="3"/>
    <n v="1253980"/>
    <n v="1485000"/>
    <x v="0"/>
    <x v="0"/>
    <x v="0"/>
    <n v="1"/>
    <n v="1060"/>
    <n v="1.025033E-2"/>
    <x v="2"/>
    <n v="231020"/>
    <n v="1400.9434000000001"/>
    <x v="0"/>
    <s v="High"/>
    <s v="Medium"/>
    <s v="June"/>
    <x v="5"/>
  </r>
  <r>
    <d v="2011-06-22T00:00:00"/>
    <x v="2"/>
    <x v="4"/>
    <n v="587790"/>
    <n v="507000"/>
    <x v="0"/>
    <x v="0"/>
    <x v="0"/>
    <n v="1"/>
    <n v="1027"/>
    <n v="1.025033E-2"/>
    <x v="3"/>
    <n v="-80790"/>
    <n v="493.67090000000002"/>
    <x v="1"/>
    <s v="Medium"/>
    <s v="Medium"/>
    <s v="June"/>
    <x v="5"/>
  </r>
  <r>
    <d v="2011-06-23T00:00:00"/>
    <x v="2"/>
    <x v="0"/>
    <n v="119190"/>
    <n v="150000"/>
    <x v="0"/>
    <x v="0"/>
    <x v="0"/>
    <n v="1"/>
    <n v="1039"/>
    <n v="1.025033E-2"/>
    <x v="1"/>
    <n v="30810"/>
    <n v="144.36959999999999"/>
    <x v="0"/>
    <s v="Low"/>
    <s v="Medium"/>
    <s v="June"/>
    <x v="5"/>
  </r>
  <r>
    <d v="2011-06-26T00:00:00"/>
    <x v="2"/>
    <x v="4"/>
    <n v="407190"/>
    <n v="538500"/>
    <x v="0"/>
    <x v="0"/>
    <x v="0"/>
    <n v="3"/>
    <n v="947"/>
    <n v="1.025033E-2"/>
    <x v="3"/>
    <n v="131310"/>
    <n v="568.63779999999997"/>
    <x v="0"/>
    <s v="Medium"/>
    <s v="Medium"/>
    <s v="June"/>
    <x v="5"/>
  </r>
  <r>
    <d v="2011-06-29T00:00:00"/>
    <x v="2"/>
    <x v="4"/>
    <n v="648340"/>
    <n v="630000"/>
    <x v="0"/>
    <x v="0"/>
    <x v="0"/>
    <n v="3"/>
    <n v="1052"/>
    <n v="1.025033E-2"/>
    <x v="3"/>
    <n v="-18340"/>
    <n v="598.85929999999996"/>
    <x v="1"/>
    <s v="High"/>
    <s v="Medium"/>
    <s v="June"/>
    <x v="5"/>
  </r>
  <r>
    <d v="2011-06-30T00:00:00"/>
    <x v="2"/>
    <x v="0"/>
    <n v="444584.20699999999"/>
    <n v="70224"/>
    <x v="1"/>
    <x v="1"/>
    <x v="1"/>
    <n v="3"/>
    <n v="1291"/>
    <n v="1.025033E-2"/>
    <x v="2"/>
    <n v="-374360.20699999999"/>
    <n v="54.395000000000003"/>
    <x v="1"/>
    <s v="Low"/>
    <s v="Medium"/>
    <s v="June"/>
    <x v="5"/>
  </r>
  <r>
    <d v="2011-07-01T00:00:00"/>
    <x v="2"/>
    <x v="7"/>
    <n v="444584.20699999999"/>
    <n v="750000"/>
    <x v="0"/>
    <x v="0"/>
    <x v="0"/>
    <n v="3"/>
    <n v="916"/>
    <n v="1.025033E-2"/>
    <x v="1"/>
    <n v="305415.79300000001"/>
    <n v="818.77729999999997"/>
    <x v="0"/>
    <s v="High"/>
    <s v="Medium"/>
    <s v="July"/>
    <x v="6"/>
  </r>
  <r>
    <d v="2011-07-06T00:00:00"/>
    <x v="2"/>
    <x v="5"/>
    <n v="378570"/>
    <n v="540000"/>
    <x v="0"/>
    <x v="0"/>
    <x v="0"/>
    <n v="1"/>
    <n v="989"/>
    <n v="1.025033E-2"/>
    <x v="1"/>
    <n v="161430"/>
    <n v="546.00609999999995"/>
    <x v="0"/>
    <s v="Medium"/>
    <s v="Medium"/>
    <s v="July"/>
    <x v="6"/>
  </r>
  <r>
    <d v="2011-07-07T00:00:00"/>
    <x v="2"/>
    <x v="3"/>
    <n v="1899030"/>
    <n v="1825000"/>
    <x v="0"/>
    <x v="0"/>
    <x v="0"/>
    <n v="1"/>
    <n v="917"/>
    <n v="1.025033E-2"/>
    <x v="1"/>
    <n v="-74030"/>
    <n v="1990.1854000000001"/>
    <x v="1"/>
    <s v="High"/>
    <s v="Medium"/>
    <s v="July"/>
    <x v="6"/>
  </r>
  <r>
    <d v="2011-07-08T00:00:00"/>
    <x v="2"/>
    <x v="0"/>
    <n v="105940"/>
    <n v="140000"/>
    <x v="0"/>
    <x v="0"/>
    <x v="0"/>
    <n v="3"/>
    <n v="1014"/>
    <n v="1.025033E-2"/>
    <x v="0"/>
    <n v="34060"/>
    <n v="138.06710000000001"/>
    <x v="0"/>
    <s v="Low"/>
    <s v="Medium"/>
    <s v="July"/>
    <x v="6"/>
  </r>
  <r>
    <d v="2011-07-09T00:00:00"/>
    <x v="2"/>
    <x v="4"/>
    <n v="422450"/>
    <n v="540000"/>
    <x v="0"/>
    <x v="0"/>
    <x v="0"/>
    <n v="3"/>
    <n v="1029"/>
    <n v="1.025033E-2"/>
    <x v="0"/>
    <n v="117550"/>
    <n v="524.78129999999999"/>
    <x v="0"/>
    <s v="Medium"/>
    <s v="Medium"/>
    <s v="July"/>
    <x v="6"/>
  </r>
  <r>
    <d v="2011-07-13T00:00:00"/>
    <x v="2"/>
    <x v="6"/>
    <n v="180400"/>
    <n v="215000"/>
    <x v="0"/>
    <x v="0"/>
    <x v="0"/>
    <n v="1"/>
    <n v="1065"/>
    <n v="1.025033E-2"/>
    <x v="3"/>
    <n v="34600"/>
    <n v="201.87790000000001"/>
    <x v="0"/>
    <s v="Medium"/>
    <s v="Medium"/>
    <s v="July"/>
    <x v="6"/>
  </r>
  <r>
    <d v="2011-07-14T00:00:00"/>
    <x v="2"/>
    <x v="0"/>
    <n v="100890"/>
    <n v="20000"/>
    <x v="1"/>
    <x v="1"/>
    <x v="1"/>
    <n v="2"/>
    <n v="1351"/>
    <n v="1.025033E-2"/>
    <x v="1"/>
    <n v="-80890"/>
    <n v="14.803800000000001"/>
    <x v="1"/>
    <s v="Low"/>
    <s v="Large"/>
    <s v="July"/>
    <x v="6"/>
  </r>
  <r>
    <d v="2011-07-15T00:00:00"/>
    <x v="2"/>
    <x v="3"/>
    <n v="444584.20699999999"/>
    <n v="1685000"/>
    <x v="0"/>
    <x v="0"/>
    <x v="0"/>
    <n v="1"/>
    <n v="920"/>
    <n v="1.025033E-2"/>
    <x v="0"/>
    <n v="1240415.7930000001"/>
    <n v="1831.5217"/>
    <x v="0"/>
    <s v="High"/>
    <s v="Medium"/>
    <s v="July"/>
    <x v="6"/>
  </r>
  <r>
    <d v="2011-07-22T00:00:00"/>
    <x v="2"/>
    <x v="6"/>
    <n v="247500"/>
    <n v="334900"/>
    <x v="1"/>
    <x v="1"/>
    <x v="1"/>
    <n v="3"/>
    <n v="1218"/>
    <n v="1.025033E-2"/>
    <x v="3"/>
    <n v="87400"/>
    <n v="274.95890000000003"/>
    <x v="0"/>
    <s v="Medium"/>
    <s v="Medium"/>
    <s v="July"/>
    <x v="6"/>
  </r>
  <r>
    <d v="2011-07-24T00:00:00"/>
    <x v="2"/>
    <x v="3"/>
    <n v="1253700"/>
    <n v="1550000"/>
    <x v="0"/>
    <x v="0"/>
    <x v="0"/>
    <n v="1"/>
    <n v="1013"/>
    <n v="1.025033E-2"/>
    <x v="2"/>
    <n v="296300"/>
    <n v="1530.1086"/>
    <x v="0"/>
    <s v="High"/>
    <s v="Medium"/>
    <s v="July"/>
    <x v="6"/>
  </r>
  <r>
    <d v="2011-07-27T00:00:00"/>
    <x v="2"/>
    <x v="6"/>
    <n v="444584.20699999999"/>
    <n v="255000"/>
    <x v="0"/>
    <x v="0"/>
    <x v="0"/>
    <n v="1"/>
    <n v="904"/>
    <n v="1.025033E-2"/>
    <x v="1"/>
    <n v="-189584.20699999999"/>
    <n v="282.07960000000003"/>
    <x v="1"/>
    <s v="Medium"/>
    <s v="Medium"/>
    <s v="July"/>
    <x v="6"/>
  </r>
  <r>
    <d v="2011-07-28T00:00:00"/>
    <x v="2"/>
    <x v="5"/>
    <n v="588500"/>
    <n v="640000"/>
    <x v="0"/>
    <x v="0"/>
    <x v="0"/>
    <n v="1"/>
    <n v="986"/>
    <n v="1.025033E-2"/>
    <x v="1"/>
    <n v="51500"/>
    <n v="649.08720000000005"/>
    <x v="0"/>
    <s v="High"/>
    <s v="Medium"/>
    <s v="July"/>
    <x v="6"/>
  </r>
  <r>
    <d v="2011-07-29T00:00:00"/>
    <x v="2"/>
    <x v="3"/>
    <n v="7756490"/>
    <n v="7820000"/>
    <x v="0"/>
    <x v="0"/>
    <x v="0"/>
    <n v="1"/>
    <n v="1072"/>
    <n v="1.025033E-2"/>
    <x v="0"/>
    <n v="63510"/>
    <n v="7294.7761"/>
    <x v="0"/>
    <s v="High"/>
    <s v="Medium"/>
    <s v="July"/>
    <x v="6"/>
  </r>
  <r>
    <d v="2011-07-30T00:00:00"/>
    <x v="2"/>
    <x v="0"/>
    <n v="140090"/>
    <n v="184900"/>
    <x v="0"/>
    <x v="0"/>
    <x v="0"/>
    <n v="2"/>
    <n v="1063"/>
    <n v="1.025033E-2"/>
    <x v="3"/>
    <n v="44810"/>
    <n v="173.9417"/>
    <x v="0"/>
    <s v="Low"/>
    <s v="Medium"/>
    <s v="July"/>
    <x v="6"/>
  </r>
  <r>
    <d v="2011-07-31T00:00:00"/>
    <x v="2"/>
    <x v="4"/>
    <n v="511910"/>
    <n v="700000"/>
    <x v="0"/>
    <x v="0"/>
    <x v="0"/>
    <n v="1"/>
    <n v="952"/>
    <n v="1.025033E-2"/>
    <x v="2"/>
    <n v="188090"/>
    <n v="735.29409999999996"/>
    <x v="0"/>
    <s v="High"/>
    <s v="Medium"/>
    <s v="July"/>
    <x v="6"/>
  </r>
  <r>
    <d v="2011-08-04T00:00:00"/>
    <x v="2"/>
    <x v="0"/>
    <n v="96360"/>
    <n v="121000"/>
    <x v="0"/>
    <x v="0"/>
    <x v="0"/>
    <n v="2"/>
    <n v="1009"/>
    <n v="1.025033E-2"/>
    <x v="0"/>
    <n v="24640"/>
    <n v="119.9207"/>
    <x v="0"/>
    <s v="Low"/>
    <s v="Medium"/>
    <s v="August"/>
    <x v="7"/>
  </r>
  <r>
    <d v="2011-08-05T00:00:00"/>
    <x v="2"/>
    <x v="5"/>
    <n v="277420"/>
    <n v="385000"/>
    <x v="0"/>
    <x v="0"/>
    <x v="0"/>
    <n v="2"/>
    <n v="1004"/>
    <n v="1.025033E-2"/>
    <x v="3"/>
    <n v="107580"/>
    <n v="383.46609999999998"/>
    <x v="0"/>
    <s v="Medium"/>
    <s v="Medium"/>
    <s v="August"/>
    <x v="7"/>
  </r>
  <r>
    <d v="2011-08-06T00:00:00"/>
    <x v="2"/>
    <x v="0"/>
    <n v="86370"/>
    <n v="28000"/>
    <x v="1"/>
    <x v="1"/>
    <x v="1"/>
    <n v="4"/>
    <n v="1111.6589814177564"/>
    <n v="1.025033E-2"/>
    <x v="3"/>
    <n v="-58370"/>
    <n v="25.1876"/>
    <x v="1"/>
    <s v="Low"/>
    <s v="Medium"/>
    <s v="August"/>
    <x v="7"/>
  </r>
  <r>
    <d v="2011-08-10T00:00:00"/>
    <x v="2"/>
    <x v="5"/>
    <n v="71760"/>
    <n v="95275"/>
    <x v="0"/>
    <x v="0"/>
    <x v="0"/>
    <n v="3"/>
    <n v="1040"/>
    <n v="1.025033E-2"/>
    <x v="1"/>
    <n v="23515"/>
    <n v="91.610600000000005"/>
    <x v="0"/>
    <s v="Low"/>
    <s v="Medium"/>
    <s v="August"/>
    <x v="7"/>
  </r>
  <r>
    <d v="2011-08-11T00:00:00"/>
    <x v="2"/>
    <x v="5"/>
    <n v="125350"/>
    <n v="167500"/>
    <x v="1"/>
    <x v="1"/>
    <x v="1"/>
    <n v="3"/>
    <n v="1111.6589814177564"/>
    <n v="1.025033E-2"/>
    <x v="3"/>
    <n v="42150"/>
    <n v="150.67570000000001"/>
    <x v="0"/>
    <s v="Low"/>
    <s v="Medium"/>
    <s v="August"/>
    <x v="7"/>
  </r>
  <r>
    <d v="2011-08-12T00:00:00"/>
    <x v="2"/>
    <x v="4"/>
    <n v="448280"/>
    <n v="590000"/>
    <x v="0"/>
    <x v="0"/>
    <x v="0"/>
    <n v="2"/>
    <n v="1038"/>
    <n v="1.025033E-2"/>
    <x v="3"/>
    <n v="141720"/>
    <n v="568.4008"/>
    <x v="0"/>
    <s v="Medium"/>
    <s v="Medium"/>
    <s v="August"/>
    <x v="7"/>
  </r>
  <r>
    <d v="2011-08-13T00:00:00"/>
    <x v="2"/>
    <x v="3"/>
    <n v="321650"/>
    <n v="568400"/>
    <x v="0"/>
    <x v="0"/>
    <x v="0"/>
    <n v="2"/>
    <n v="955"/>
    <n v="1.025033E-2"/>
    <x v="2"/>
    <n v="246750"/>
    <n v="595.18320000000006"/>
    <x v="0"/>
    <s v="Medium"/>
    <s v="Medium"/>
    <s v="August"/>
    <x v="7"/>
  </r>
  <r>
    <d v="2011-08-18T00:00:00"/>
    <x v="2"/>
    <x v="7"/>
    <n v="641950"/>
    <n v="795000"/>
    <x v="0"/>
    <x v="0"/>
    <x v="0"/>
    <n v="1"/>
    <n v="1111.6589814177564"/>
    <n v="1.025033E-2"/>
    <x v="0"/>
    <n v="153050"/>
    <n v="715.14739999999995"/>
    <x v="0"/>
    <s v="High"/>
    <s v="Medium"/>
    <s v="August"/>
    <x v="7"/>
  </r>
  <r>
    <d v="2011-08-19T00:00:00"/>
    <x v="2"/>
    <x v="3"/>
    <n v="1267280"/>
    <n v="2260000"/>
    <x v="0"/>
    <x v="0"/>
    <x v="0"/>
    <n v="2"/>
    <n v="910"/>
    <n v="1.025033E-2"/>
    <x v="0"/>
    <n v="992720"/>
    <n v="2483.5165000000002"/>
    <x v="0"/>
    <s v="High"/>
    <s v="Medium"/>
    <s v="August"/>
    <x v="7"/>
  </r>
  <r>
    <d v="2011-08-21T00:00:00"/>
    <x v="2"/>
    <x v="0"/>
    <n v="167260"/>
    <n v="145000"/>
    <x v="0"/>
    <x v="0"/>
    <x v="0"/>
    <n v="1"/>
    <n v="998"/>
    <n v="1.025033E-2"/>
    <x v="3"/>
    <n v="-22260"/>
    <n v="145.29060000000001"/>
    <x v="1"/>
    <s v="Low"/>
    <s v="Medium"/>
    <s v="August"/>
    <x v="7"/>
  </r>
  <r>
    <d v="2011-08-24T00:00:00"/>
    <x v="2"/>
    <x v="4"/>
    <n v="446320"/>
    <n v="467500"/>
    <x v="0"/>
    <x v="0"/>
    <x v="0"/>
    <n v="2"/>
    <n v="921"/>
    <n v="1.025033E-2"/>
    <x v="2"/>
    <n v="21180"/>
    <n v="507.60039999999998"/>
    <x v="0"/>
    <s v="Medium"/>
    <s v="Medium"/>
    <s v="August"/>
    <x v="7"/>
  </r>
  <r>
    <d v="2011-08-25T00:00:00"/>
    <x v="2"/>
    <x v="6"/>
    <n v="192500"/>
    <n v="227500"/>
    <x v="0"/>
    <x v="0"/>
    <x v="0"/>
    <n v="3"/>
    <n v="1036"/>
    <n v="1.025033E-2"/>
    <x v="1"/>
    <n v="35000"/>
    <n v="219.59460000000001"/>
    <x v="0"/>
    <s v="Medium"/>
    <s v="Medium"/>
    <s v="August"/>
    <x v="7"/>
  </r>
  <r>
    <d v="2011-08-31T00:00:00"/>
    <x v="2"/>
    <x v="6"/>
    <n v="315100"/>
    <n v="379500"/>
    <x v="1"/>
    <x v="1"/>
    <x v="1"/>
    <n v="2"/>
    <n v="1312"/>
    <n v="1.025033E-2"/>
    <x v="0"/>
    <n v="64400"/>
    <n v="289.25299999999999"/>
    <x v="0"/>
    <s v="Medium"/>
    <s v="Large"/>
    <s v="August"/>
    <x v="7"/>
  </r>
  <r>
    <d v="2011-09-02T00:00:00"/>
    <x v="2"/>
    <x v="4"/>
    <n v="394100"/>
    <n v="589900"/>
    <x v="0"/>
    <x v="0"/>
    <x v="0"/>
    <n v="1"/>
    <n v="1019"/>
    <n v="1.025033E-2"/>
    <x v="2"/>
    <n v="195800"/>
    <n v="578.90089999999998"/>
    <x v="0"/>
    <s v="Medium"/>
    <s v="Medium"/>
    <s v="September"/>
    <x v="8"/>
  </r>
  <r>
    <d v="2011-09-03T00:00:00"/>
    <x v="2"/>
    <x v="4"/>
    <n v="288540"/>
    <n v="410000"/>
    <x v="0"/>
    <x v="0"/>
    <x v="0"/>
    <n v="3"/>
    <n v="1050"/>
    <n v="1.025033E-2"/>
    <x v="3"/>
    <n v="121460"/>
    <n v="390.47620000000001"/>
    <x v="0"/>
    <s v="Medium"/>
    <s v="Medium"/>
    <s v="September"/>
    <x v="8"/>
  </r>
  <r>
    <d v="2011-09-08T00:00:00"/>
    <x v="2"/>
    <x v="4"/>
    <n v="504700"/>
    <n v="375000"/>
    <x v="0"/>
    <x v="0"/>
    <x v="0"/>
    <n v="1"/>
    <n v="1043"/>
    <n v="1.025033E-2"/>
    <x v="1"/>
    <n v="-129700"/>
    <n v="359.53980000000001"/>
    <x v="1"/>
    <s v="Medium"/>
    <s v="Medium"/>
    <s v="September"/>
    <x v="8"/>
  </r>
  <r>
    <d v="2011-09-09T00:00:00"/>
    <x v="2"/>
    <x v="0"/>
    <n v="150880"/>
    <n v="168000"/>
    <x v="0"/>
    <x v="0"/>
    <x v="0"/>
    <n v="1"/>
    <n v="1111.6589814177564"/>
    <n v="1.025033E-2"/>
    <x v="1"/>
    <n v="17120"/>
    <n v="151.12549999999999"/>
    <x v="0"/>
    <s v="Low"/>
    <s v="Medium"/>
    <s v="September"/>
    <x v="8"/>
  </r>
  <r>
    <d v="2011-09-11T00:00:00"/>
    <x v="2"/>
    <x v="5"/>
    <n v="718450"/>
    <n v="870000"/>
    <x v="0"/>
    <x v="0"/>
    <x v="0"/>
    <n v="3"/>
    <n v="1029"/>
    <n v="1.025033E-2"/>
    <x v="2"/>
    <n v="151550"/>
    <n v="845.48099999999999"/>
    <x v="0"/>
    <s v="High"/>
    <s v="Medium"/>
    <s v="September"/>
    <x v="8"/>
  </r>
  <r>
    <d v="2011-09-14T00:00:00"/>
    <x v="2"/>
    <x v="7"/>
    <n v="1171430"/>
    <n v="2375000"/>
    <x v="0"/>
    <x v="0"/>
    <x v="0"/>
    <n v="3"/>
    <n v="1006"/>
    <n v="1.025033E-2"/>
    <x v="3"/>
    <n v="1203570"/>
    <n v="2360.835"/>
    <x v="0"/>
    <s v="High"/>
    <s v="Medium"/>
    <s v="September"/>
    <x v="8"/>
  </r>
  <r>
    <d v="2011-09-15T00:00:00"/>
    <x v="2"/>
    <x v="0"/>
    <n v="94480"/>
    <n v="221000"/>
    <x v="2"/>
    <x v="2"/>
    <x v="2"/>
    <n v="5"/>
    <n v="1891"/>
    <n v="1.025033E-2"/>
    <x v="2"/>
    <n v="126520"/>
    <n v="116.8694"/>
    <x v="0"/>
    <s v="Medium"/>
    <s v="Large"/>
    <s v="September"/>
    <x v="8"/>
  </r>
  <r>
    <d v="2011-09-17T00:00:00"/>
    <x v="2"/>
    <x v="0"/>
    <n v="205000"/>
    <n v="138100"/>
    <x v="2"/>
    <x v="2"/>
    <x v="2"/>
    <n v="6"/>
    <n v="1820"/>
    <n v="1.025033E-2"/>
    <x v="0"/>
    <n v="-66900"/>
    <n v="75.879099999999994"/>
    <x v="1"/>
    <s v="Low"/>
    <s v="Large"/>
    <s v="September"/>
    <x v="8"/>
  </r>
  <r>
    <d v="2011-09-18T00:00:00"/>
    <x v="2"/>
    <x v="7"/>
    <n v="483090"/>
    <n v="100000"/>
    <x v="0"/>
    <x v="0"/>
    <x v="0"/>
    <n v="2"/>
    <n v="1048"/>
    <n v="1.025033E-2"/>
    <x v="1"/>
    <n v="-383090"/>
    <n v="95.419799999999995"/>
    <x v="1"/>
    <s v="Low"/>
    <s v="Medium"/>
    <s v="September"/>
    <x v="8"/>
  </r>
  <r>
    <d v="2011-09-21T00:00:00"/>
    <x v="2"/>
    <x v="3"/>
    <n v="2610720"/>
    <n v="3137500"/>
    <x v="0"/>
    <x v="0"/>
    <x v="0"/>
    <n v="1"/>
    <n v="1057"/>
    <n v="1.025033E-2"/>
    <x v="2"/>
    <n v="526780"/>
    <n v="2968.3065000000001"/>
    <x v="0"/>
    <s v="High"/>
    <s v="Medium"/>
    <s v="September"/>
    <x v="8"/>
  </r>
  <r>
    <d v="2011-09-23T00:00:00"/>
    <x v="2"/>
    <x v="0"/>
    <n v="114770"/>
    <n v="147000"/>
    <x v="1"/>
    <x v="1"/>
    <x v="1"/>
    <n v="2"/>
    <n v="1332"/>
    <n v="1.025033E-2"/>
    <x v="0"/>
    <n v="32230"/>
    <n v="110.3604"/>
    <x v="0"/>
    <s v="Low"/>
    <s v="Large"/>
    <s v="September"/>
    <x v="8"/>
  </r>
  <r>
    <d v="2011-09-24T00:00:00"/>
    <x v="2"/>
    <x v="6"/>
    <n v="126900"/>
    <n v="186000"/>
    <x v="0"/>
    <x v="0"/>
    <x v="0"/>
    <n v="3"/>
    <n v="1100"/>
    <n v="1.025033E-2"/>
    <x v="2"/>
    <n v="59100"/>
    <n v="169.0909"/>
    <x v="0"/>
    <s v="Low"/>
    <s v="Medium"/>
    <s v="September"/>
    <x v="8"/>
  </r>
  <r>
    <d v="2011-09-28T00:00:00"/>
    <x v="2"/>
    <x v="4"/>
    <n v="389200"/>
    <n v="646250"/>
    <x v="0"/>
    <x v="0"/>
    <x v="0"/>
    <n v="2"/>
    <n v="1093"/>
    <n v="1.025033E-2"/>
    <x v="1"/>
    <n v="257050"/>
    <n v="591.26260000000002"/>
    <x v="0"/>
    <s v="High"/>
    <s v="Medium"/>
    <s v="September"/>
    <x v="8"/>
  </r>
  <r>
    <d v="2011-09-30T00:00:00"/>
    <x v="2"/>
    <x v="5"/>
    <n v="399280"/>
    <n v="485000"/>
    <x v="0"/>
    <x v="0"/>
    <x v="0"/>
    <n v="1"/>
    <n v="1068"/>
    <n v="1.025033E-2"/>
    <x v="1"/>
    <n v="85720"/>
    <n v="454.11989999999997"/>
    <x v="0"/>
    <s v="Medium"/>
    <s v="Medium"/>
    <s v="September"/>
    <x v="8"/>
  </r>
  <r>
    <d v="2011-10-01T00:00:00"/>
    <x v="2"/>
    <x v="6"/>
    <n v="444584.20699999999"/>
    <n v="245000"/>
    <x v="0"/>
    <x v="0"/>
    <x v="0"/>
    <n v="3"/>
    <n v="1111.6589814177564"/>
    <n v="1.025033E-2"/>
    <x v="3"/>
    <n v="-199584.20699999999"/>
    <n v="220.3913"/>
    <x v="1"/>
    <s v="Medium"/>
    <s v="Medium"/>
    <s v="October"/>
    <x v="9"/>
  </r>
  <r>
    <d v="2011-10-05T00:00:00"/>
    <x v="2"/>
    <x v="2"/>
    <n v="133910"/>
    <n v="100000"/>
    <x v="0"/>
    <x v="0"/>
    <x v="0"/>
    <n v="3"/>
    <n v="917"/>
    <n v="1.025033E-2"/>
    <x v="0"/>
    <n v="-33910"/>
    <n v="109.0513"/>
    <x v="1"/>
    <s v="Low"/>
    <s v="Medium"/>
    <s v="October"/>
    <x v="9"/>
  </r>
  <r>
    <d v="2011-10-06T00:00:00"/>
    <x v="2"/>
    <x v="7"/>
    <n v="289570"/>
    <n v="290000"/>
    <x v="0"/>
    <x v="0"/>
    <x v="0"/>
    <n v="3"/>
    <n v="1024"/>
    <n v="1.025033E-2"/>
    <x v="2"/>
    <n v="430"/>
    <n v="283.20310000000001"/>
    <x v="0"/>
    <s v="Medium"/>
    <s v="Medium"/>
    <s v="October"/>
    <x v="9"/>
  </r>
  <r>
    <d v="2011-10-07T00:00:00"/>
    <x v="2"/>
    <x v="7"/>
    <n v="336080"/>
    <n v="515000"/>
    <x v="0"/>
    <x v="0"/>
    <x v="0"/>
    <n v="2"/>
    <n v="907"/>
    <n v="1.025033E-2"/>
    <x v="0"/>
    <n v="178920"/>
    <n v="567.80600000000004"/>
    <x v="0"/>
    <s v="Medium"/>
    <s v="Medium"/>
    <s v="October"/>
    <x v="9"/>
  </r>
  <r>
    <d v="2011-10-08T00:00:00"/>
    <x v="2"/>
    <x v="5"/>
    <n v="330820"/>
    <n v="246000"/>
    <x v="2"/>
    <x v="2"/>
    <x v="2"/>
    <n v="5"/>
    <n v="1809"/>
    <n v="1.025033E-2"/>
    <x v="0"/>
    <n v="-84820"/>
    <n v="135.98670000000001"/>
    <x v="1"/>
    <s v="Medium"/>
    <s v="Large"/>
    <s v="October"/>
    <x v="9"/>
  </r>
  <r>
    <d v="2011-10-09T00:00:00"/>
    <x v="2"/>
    <x v="5"/>
    <n v="1142610"/>
    <n v="1137500"/>
    <x v="0"/>
    <x v="0"/>
    <x v="0"/>
    <n v="1"/>
    <n v="1049"/>
    <n v="1.025033E-2"/>
    <x v="0"/>
    <n v="-5110"/>
    <n v="1084.3661"/>
    <x v="1"/>
    <s v="High"/>
    <s v="Medium"/>
    <s v="October"/>
    <x v="9"/>
  </r>
  <r>
    <d v="2011-10-13T00:00:00"/>
    <x v="2"/>
    <x v="3"/>
    <n v="444584.20699999999"/>
    <n v="775000"/>
    <x v="0"/>
    <x v="0"/>
    <x v="0"/>
    <n v="1"/>
    <n v="1081"/>
    <n v="1.025033E-2"/>
    <x v="2"/>
    <n v="330415.79300000001"/>
    <n v="716.92880000000002"/>
    <x v="0"/>
    <s v="High"/>
    <s v="Medium"/>
    <s v="October"/>
    <x v="9"/>
  </r>
  <r>
    <d v="2011-10-14T00:00:00"/>
    <x v="2"/>
    <x v="4"/>
    <n v="839790"/>
    <n v="640000"/>
    <x v="0"/>
    <x v="0"/>
    <x v="0"/>
    <n v="3"/>
    <n v="1111.6589814177564"/>
    <n v="1.025033E-2"/>
    <x v="2"/>
    <n v="-199790"/>
    <n v="575.71609999999998"/>
    <x v="1"/>
    <s v="High"/>
    <s v="Medium"/>
    <s v="October"/>
    <x v="9"/>
  </r>
  <r>
    <d v="2011-10-15T00:00:00"/>
    <x v="2"/>
    <x v="5"/>
    <n v="180010"/>
    <n v="180000"/>
    <x v="1"/>
    <x v="1"/>
    <x v="1"/>
    <n v="3"/>
    <n v="1228"/>
    <n v="1.025033E-2"/>
    <x v="1"/>
    <n v="-10"/>
    <n v="146.57980000000001"/>
    <x v="1"/>
    <s v="Low"/>
    <s v="Medium"/>
    <s v="October"/>
    <x v="9"/>
  </r>
  <r>
    <d v="2011-10-16T00:00:00"/>
    <x v="2"/>
    <x v="0"/>
    <n v="67610"/>
    <n v="50000"/>
    <x v="1"/>
    <x v="1"/>
    <x v="1"/>
    <n v="4"/>
    <n v="1321"/>
    <n v="1.025033E-2"/>
    <x v="2"/>
    <n v="-17610"/>
    <n v="37.850099999999998"/>
    <x v="1"/>
    <s v="Low"/>
    <s v="Large"/>
    <s v="October"/>
    <x v="9"/>
  </r>
  <r>
    <d v="2011-10-19T00:00:00"/>
    <x v="2"/>
    <x v="0"/>
    <n v="117680"/>
    <n v="158500"/>
    <x v="0"/>
    <x v="0"/>
    <x v="0"/>
    <n v="3"/>
    <n v="1111.6589814177564"/>
    <n v="1.025033E-2"/>
    <x v="2"/>
    <n v="40820"/>
    <n v="142.5797"/>
    <x v="0"/>
    <s v="Low"/>
    <s v="Medium"/>
    <s v="October"/>
    <x v="9"/>
  </r>
  <r>
    <d v="2011-10-21T00:00:00"/>
    <x v="2"/>
    <x v="5"/>
    <n v="444584.20699999999"/>
    <n v="37000"/>
    <x v="2"/>
    <x v="2"/>
    <x v="2"/>
    <n v="4"/>
    <n v="1111.6589814177564"/>
    <n v="1.025033E-2"/>
    <x v="0"/>
    <n v="-407584.20699999999"/>
    <n v="33.2836"/>
    <x v="1"/>
    <s v="Low"/>
    <s v="Medium"/>
    <s v="October"/>
    <x v="9"/>
  </r>
  <r>
    <d v="2011-10-22T00:00:00"/>
    <x v="2"/>
    <x v="1"/>
    <n v="933240"/>
    <n v="1235000"/>
    <x v="0"/>
    <x v="0"/>
    <x v="0"/>
    <n v="3"/>
    <n v="934"/>
    <n v="1.025033E-2"/>
    <x v="2"/>
    <n v="301760"/>
    <n v="1322.2698"/>
    <x v="0"/>
    <s v="High"/>
    <s v="Medium"/>
    <s v="October"/>
    <x v="9"/>
  </r>
  <r>
    <d v="2011-10-28T00:00:00"/>
    <x v="2"/>
    <x v="6"/>
    <n v="444584.20699999999"/>
    <n v="202200"/>
    <x v="1"/>
    <x v="1"/>
    <x v="1"/>
    <n v="4"/>
    <n v="1209"/>
    <n v="1.025033E-2"/>
    <x v="2"/>
    <n v="-242384.20699999999"/>
    <n v="167.2457"/>
    <x v="1"/>
    <s v="Medium"/>
    <s v="Medium"/>
    <s v="October"/>
    <x v="9"/>
  </r>
  <r>
    <d v="2011-10-29T00:00:00"/>
    <x v="2"/>
    <x v="0"/>
    <n v="68560"/>
    <n v="17000"/>
    <x v="0"/>
    <x v="0"/>
    <x v="0"/>
    <n v="3"/>
    <n v="929"/>
    <n v="1.025033E-2"/>
    <x v="3"/>
    <n v="-51560"/>
    <n v="18.299199999999999"/>
    <x v="1"/>
    <s v="Low"/>
    <s v="Medium"/>
    <s v="October"/>
    <x v="9"/>
  </r>
  <r>
    <d v="2011-10-30T00:00:00"/>
    <x v="2"/>
    <x v="1"/>
    <n v="287280"/>
    <n v="435000"/>
    <x v="0"/>
    <x v="0"/>
    <x v="0"/>
    <n v="2"/>
    <n v="1011"/>
    <n v="1.025033E-2"/>
    <x v="0"/>
    <n v="147720"/>
    <n v="430.26710000000003"/>
    <x v="0"/>
    <s v="Medium"/>
    <s v="Medium"/>
    <s v="October"/>
    <x v="9"/>
  </r>
  <r>
    <d v="2011-11-02T00:00:00"/>
    <x v="2"/>
    <x v="4"/>
    <n v="924070"/>
    <n v="1200000"/>
    <x v="0"/>
    <x v="0"/>
    <x v="0"/>
    <n v="1"/>
    <n v="963"/>
    <n v="1.025033E-2"/>
    <x v="3"/>
    <n v="275930"/>
    <n v="1246.1059"/>
    <x v="0"/>
    <s v="High"/>
    <s v="Medium"/>
    <s v="November"/>
    <x v="10"/>
  </r>
  <r>
    <d v="2011-11-03T00:00:00"/>
    <x v="2"/>
    <x v="6"/>
    <n v="444584.20699999999"/>
    <n v="650000"/>
    <x v="0"/>
    <x v="0"/>
    <x v="0"/>
    <n v="2"/>
    <n v="966"/>
    <n v="1.025033E-2"/>
    <x v="0"/>
    <n v="205415.79300000001"/>
    <n v="672.87779999999998"/>
    <x v="0"/>
    <s v="High"/>
    <s v="Medium"/>
    <s v="November"/>
    <x v="10"/>
  </r>
  <r>
    <d v="2011-11-05T00:00:00"/>
    <x v="2"/>
    <x v="2"/>
    <n v="176200"/>
    <n v="227500"/>
    <x v="0"/>
    <x v="0"/>
    <x v="0"/>
    <n v="1"/>
    <n v="901"/>
    <n v="1.025033E-2"/>
    <x v="1"/>
    <n v="51300"/>
    <n v="252.49719999999999"/>
    <x v="0"/>
    <s v="Medium"/>
    <s v="Medium"/>
    <s v="November"/>
    <x v="10"/>
  </r>
  <r>
    <d v="2011-11-06T00:00:00"/>
    <x v="2"/>
    <x v="0"/>
    <n v="93760"/>
    <n v="50000"/>
    <x v="2"/>
    <x v="2"/>
    <x v="2"/>
    <n v="4"/>
    <n v="1995"/>
    <n v="1.025033E-2"/>
    <x v="0"/>
    <n v="-43760"/>
    <n v="25.0627"/>
    <x v="1"/>
    <s v="Low"/>
    <s v="Large"/>
    <s v="November"/>
    <x v="10"/>
  </r>
  <r>
    <d v="2011-11-09T00:00:00"/>
    <x v="2"/>
    <x v="4"/>
    <n v="444584.20699999999"/>
    <n v="406875"/>
    <x v="0"/>
    <x v="0"/>
    <x v="0"/>
    <n v="3"/>
    <n v="1111.6589814177564"/>
    <n v="1.025033E-2"/>
    <x v="3"/>
    <n v="-37709.207000000002"/>
    <n v="366.00700000000001"/>
    <x v="1"/>
    <s v="Medium"/>
    <s v="Medium"/>
    <s v="November"/>
    <x v="10"/>
  </r>
  <r>
    <d v="2011-11-10T00:00:00"/>
    <x v="2"/>
    <x v="2"/>
    <n v="98880"/>
    <n v="30000"/>
    <x v="0"/>
    <x v="0"/>
    <x v="0"/>
    <n v="1"/>
    <n v="954"/>
    <n v="1.025033E-2"/>
    <x v="0"/>
    <n v="-68880"/>
    <n v="31.4465"/>
    <x v="1"/>
    <s v="Low"/>
    <s v="Medium"/>
    <s v="November"/>
    <x v="10"/>
  </r>
  <r>
    <d v="2011-11-12T00:00:00"/>
    <x v="2"/>
    <x v="1"/>
    <n v="441980"/>
    <n v="490000"/>
    <x v="0"/>
    <x v="0"/>
    <x v="0"/>
    <n v="2"/>
    <n v="1111.6589814177564"/>
    <n v="1.025033E-2"/>
    <x v="3"/>
    <n v="48020"/>
    <n v="440.78269999999998"/>
    <x v="0"/>
    <s v="Medium"/>
    <s v="Medium"/>
    <s v="November"/>
    <x v="10"/>
  </r>
  <r>
    <d v="2011-11-16T00:00:00"/>
    <x v="2"/>
    <x v="6"/>
    <n v="142800"/>
    <n v="235000"/>
    <x v="0"/>
    <x v="0"/>
    <x v="0"/>
    <n v="3"/>
    <n v="936"/>
    <n v="1.025033E-2"/>
    <x v="2"/>
    <n v="92200"/>
    <n v="251.0684"/>
    <x v="0"/>
    <s v="Medium"/>
    <s v="Medium"/>
    <s v="November"/>
    <x v="10"/>
  </r>
  <r>
    <d v="2011-11-17T00:00:00"/>
    <x v="2"/>
    <x v="3"/>
    <n v="444584.20699999999"/>
    <n v="8700000"/>
    <x v="0"/>
    <x v="0"/>
    <x v="0"/>
    <n v="3"/>
    <n v="935"/>
    <n v="1.025033E-2"/>
    <x v="0"/>
    <n v="8255415.7929999996"/>
    <n v="9304.8127999999997"/>
    <x v="0"/>
    <s v="High"/>
    <s v="Medium"/>
    <s v="November"/>
    <x v="10"/>
  </r>
  <r>
    <d v="2011-11-18T00:00:00"/>
    <x v="2"/>
    <x v="1"/>
    <n v="667730"/>
    <n v="1450000"/>
    <x v="0"/>
    <x v="0"/>
    <x v="0"/>
    <n v="3"/>
    <n v="1111.6589814177564"/>
    <n v="1.025033E-2"/>
    <x v="0"/>
    <n v="782270"/>
    <n v="1304.3568"/>
    <x v="0"/>
    <s v="High"/>
    <s v="Medium"/>
    <s v="November"/>
    <x v="10"/>
  </r>
  <r>
    <d v="2011-11-23T00:00:00"/>
    <x v="2"/>
    <x v="6"/>
    <n v="149900"/>
    <n v="217000"/>
    <x v="0"/>
    <x v="0"/>
    <x v="0"/>
    <n v="2"/>
    <n v="1026"/>
    <n v="1.025033E-2"/>
    <x v="3"/>
    <n v="67100"/>
    <n v="211.501"/>
    <x v="0"/>
    <s v="Medium"/>
    <s v="Medium"/>
    <s v="November"/>
    <x v="10"/>
  </r>
  <r>
    <d v="2011-11-24T00:00:00"/>
    <x v="2"/>
    <x v="2"/>
    <n v="444584.20699999999"/>
    <n v="113000"/>
    <x v="1"/>
    <x v="1"/>
    <x v="1"/>
    <n v="4"/>
    <n v="1367"/>
    <n v="1.025033E-2"/>
    <x v="3"/>
    <n v="-331584.20699999999"/>
    <n v="82.662800000000004"/>
    <x v="1"/>
    <s v="Low"/>
    <s v="Large"/>
    <s v="November"/>
    <x v="10"/>
  </r>
  <r>
    <d v="2011-11-25T00:00:00"/>
    <x v="2"/>
    <x v="6"/>
    <n v="210800"/>
    <n v="295000"/>
    <x v="0"/>
    <x v="0"/>
    <x v="0"/>
    <n v="1"/>
    <n v="991"/>
    <n v="1.025033E-2"/>
    <x v="1"/>
    <n v="84200"/>
    <n v="297.67910000000001"/>
    <x v="0"/>
    <s v="Medium"/>
    <s v="Medium"/>
    <s v="November"/>
    <x v="10"/>
  </r>
  <r>
    <d v="2011-11-30T00:00:00"/>
    <x v="2"/>
    <x v="6"/>
    <n v="237100"/>
    <n v="190000"/>
    <x v="0"/>
    <x v="0"/>
    <x v="0"/>
    <n v="1"/>
    <n v="966"/>
    <n v="1.025033E-2"/>
    <x v="1"/>
    <n v="-47100"/>
    <n v="196.6874"/>
    <x v="1"/>
    <s v="Low"/>
    <s v="Medium"/>
    <s v="November"/>
    <x v="10"/>
  </r>
  <r>
    <d v="2011-12-01T00:00:00"/>
    <x v="2"/>
    <x v="4"/>
    <n v="312130"/>
    <n v="310000"/>
    <x v="0"/>
    <x v="0"/>
    <x v="0"/>
    <n v="1"/>
    <n v="994"/>
    <n v="1.025033E-2"/>
    <x v="2"/>
    <n v="-2130"/>
    <n v="311.87119999999999"/>
    <x v="1"/>
    <s v="Medium"/>
    <s v="Medium"/>
    <s v="December"/>
    <x v="11"/>
  </r>
  <r>
    <d v="2011-12-02T00:00:00"/>
    <x v="2"/>
    <x v="2"/>
    <n v="444584.20699999999"/>
    <n v="150000"/>
    <x v="3"/>
    <x v="3"/>
    <x v="3"/>
    <n v="7"/>
    <n v="2781"/>
    <n v="1.025033E-2"/>
    <x v="2"/>
    <n v="-294584.20699999999"/>
    <n v="53.937399999999997"/>
    <x v="1"/>
    <s v="Low"/>
    <s v="Large"/>
    <s v="December"/>
    <x v="11"/>
  </r>
  <r>
    <d v="2011-12-04T00:00:00"/>
    <x v="2"/>
    <x v="1"/>
    <n v="623630"/>
    <n v="820000"/>
    <x v="0"/>
    <x v="0"/>
    <x v="0"/>
    <n v="3"/>
    <n v="1078"/>
    <n v="1.025033E-2"/>
    <x v="0"/>
    <n v="196370"/>
    <n v="760.66790000000003"/>
    <x v="0"/>
    <s v="High"/>
    <s v="Medium"/>
    <s v="December"/>
    <x v="11"/>
  </r>
  <r>
    <d v="2011-12-07T00:00:00"/>
    <x v="2"/>
    <x v="2"/>
    <n v="176900"/>
    <n v="185000"/>
    <x v="3"/>
    <x v="3"/>
    <x v="3"/>
    <n v="6"/>
    <n v="2627"/>
    <n v="1.025033E-2"/>
    <x v="3"/>
    <n v="8100"/>
    <n v="70.422499999999999"/>
    <x v="0"/>
    <s v="Low"/>
    <s v="Large"/>
    <s v="December"/>
    <x v="11"/>
  </r>
  <r>
    <d v="2011-12-08T00:00:00"/>
    <x v="2"/>
    <x v="2"/>
    <n v="135570"/>
    <n v="136500"/>
    <x v="0"/>
    <x v="0"/>
    <x v="0"/>
    <n v="1"/>
    <n v="1092"/>
    <n v="1.025033E-2"/>
    <x v="0"/>
    <n v="930"/>
    <n v="125"/>
    <x v="0"/>
    <s v="Low"/>
    <s v="Medium"/>
    <s v="December"/>
    <x v="11"/>
  </r>
  <r>
    <d v="2011-12-10T00:00:00"/>
    <x v="2"/>
    <x v="2"/>
    <n v="444584.20699999999"/>
    <n v="200000"/>
    <x v="2"/>
    <x v="2"/>
    <x v="2"/>
    <n v="4"/>
    <n v="2122"/>
    <n v="1.025033E-2"/>
    <x v="3"/>
    <n v="-244584.20699999999"/>
    <n v="94.250699999999995"/>
    <x v="1"/>
    <s v="Medium"/>
    <s v="Large"/>
    <s v="December"/>
    <x v="11"/>
  </r>
  <r>
    <d v="2011-12-14T00:00:00"/>
    <x v="2"/>
    <x v="6"/>
    <n v="455200"/>
    <n v="228750"/>
    <x v="0"/>
    <x v="0"/>
    <x v="0"/>
    <n v="3"/>
    <n v="928"/>
    <n v="1.025033E-2"/>
    <x v="0"/>
    <n v="-226450"/>
    <n v="246.49780000000001"/>
    <x v="1"/>
    <s v="Medium"/>
    <s v="Medium"/>
    <s v="December"/>
    <x v="11"/>
  </r>
  <r>
    <d v="2011-12-15T00:00:00"/>
    <x v="2"/>
    <x v="3"/>
    <n v="4756780"/>
    <n v="5800000"/>
    <x v="0"/>
    <x v="0"/>
    <x v="0"/>
    <n v="1"/>
    <n v="1100"/>
    <n v="1.025033E-2"/>
    <x v="2"/>
    <n v="1043220"/>
    <n v="5272.7272999999996"/>
    <x v="0"/>
    <s v="High"/>
    <s v="Medium"/>
    <s v="December"/>
    <x v="11"/>
  </r>
  <r>
    <d v="2011-12-16T00:00:00"/>
    <x v="2"/>
    <x v="0"/>
    <n v="444584.20699999999"/>
    <n v="104000"/>
    <x v="0"/>
    <x v="0"/>
    <x v="0"/>
    <n v="3"/>
    <n v="988"/>
    <n v="1.025033E-2"/>
    <x v="2"/>
    <n v="-340584.20699999999"/>
    <n v="105.2632"/>
    <x v="1"/>
    <s v="Low"/>
    <s v="Medium"/>
    <s v="December"/>
    <x v="11"/>
  </r>
  <r>
    <d v="2011-12-18T00:00:00"/>
    <x v="2"/>
    <x v="4"/>
    <n v="679000"/>
    <n v="377500"/>
    <x v="0"/>
    <x v="0"/>
    <x v="0"/>
    <n v="3"/>
    <n v="1111.6589814177564"/>
    <n v="1.025033E-2"/>
    <x v="2"/>
    <n v="-301500"/>
    <n v="339.58260000000001"/>
    <x v="1"/>
    <s v="Medium"/>
    <s v="Medium"/>
    <s v="December"/>
    <x v="11"/>
  </r>
  <r>
    <d v="2011-12-21T00:00:00"/>
    <x v="2"/>
    <x v="4"/>
    <n v="341250"/>
    <n v="320000"/>
    <x v="1"/>
    <x v="1"/>
    <x v="1"/>
    <n v="3"/>
    <n v="1362"/>
    <n v="1.025033E-2"/>
    <x v="3"/>
    <n v="-21250"/>
    <n v="234.9486"/>
    <x v="1"/>
    <s v="Medium"/>
    <s v="Large"/>
    <s v="December"/>
    <x v="11"/>
  </r>
  <r>
    <d v="2011-12-23T00:00:00"/>
    <x v="2"/>
    <x v="3"/>
    <n v="464380"/>
    <n v="425000"/>
    <x v="0"/>
    <x v="0"/>
    <x v="0"/>
    <n v="3"/>
    <n v="905"/>
    <n v="1.025033E-2"/>
    <x v="2"/>
    <n v="-39380"/>
    <n v="469.61329999999998"/>
    <x v="1"/>
    <s v="Medium"/>
    <s v="Medium"/>
    <s v="December"/>
    <x v="11"/>
  </r>
  <r>
    <d v="2011-12-24T00:00:00"/>
    <x v="2"/>
    <x v="4"/>
    <n v="1054550"/>
    <n v="1262000"/>
    <x v="0"/>
    <x v="0"/>
    <x v="0"/>
    <n v="3"/>
    <n v="921"/>
    <n v="1.025033E-2"/>
    <x v="3"/>
    <n v="207450"/>
    <n v="1370.2497000000001"/>
    <x v="0"/>
    <s v="High"/>
    <s v="Medium"/>
    <s v="December"/>
    <x v="11"/>
  </r>
  <r>
    <d v="2011-12-28T00:00:00"/>
    <x v="2"/>
    <x v="2"/>
    <n v="169450"/>
    <n v="45731"/>
    <x v="1"/>
    <x v="1"/>
    <x v="1"/>
    <n v="3"/>
    <n v="1472"/>
    <n v="1.025033E-2"/>
    <x v="0"/>
    <n v="-123719"/>
    <n v="31.067299999999999"/>
    <x v="1"/>
    <s v="Low"/>
    <s v="Large"/>
    <s v="December"/>
    <x v="11"/>
  </r>
  <r>
    <d v="2011-12-29T00:00:00"/>
    <x v="2"/>
    <x v="0"/>
    <n v="126990"/>
    <n v="69000"/>
    <x v="2"/>
    <x v="2"/>
    <x v="2"/>
    <n v="5"/>
    <n v="2113"/>
    <n v="1.025033E-2"/>
    <x v="1"/>
    <n v="-57990"/>
    <n v="32.655000000000001"/>
    <x v="1"/>
    <s v="Low"/>
    <s v="Large"/>
    <s v="December"/>
    <x v="11"/>
  </r>
  <r>
    <d v="2011-12-30T00:00:00"/>
    <x v="2"/>
    <x v="0"/>
    <n v="444584.20699999999"/>
    <n v="20500"/>
    <x v="2"/>
    <x v="2"/>
    <x v="2"/>
    <n v="4"/>
    <n v="1900"/>
    <n v="1.025033E-2"/>
    <x v="1"/>
    <n v="-424084.20699999999"/>
    <n v="10.7895"/>
    <x v="1"/>
    <s v="Low"/>
    <s v="Large"/>
    <s v="December"/>
    <x v="11"/>
  </r>
  <r>
    <d v="2012-01-04T00:00:00"/>
    <x v="3"/>
    <x v="7"/>
    <n v="362420"/>
    <n v="410000"/>
    <x v="0"/>
    <x v="0"/>
    <x v="0"/>
    <n v="1"/>
    <n v="1063"/>
    <n v="1.0219580000000001E-2"/>
    <x v="1"/>
    <n v="47580"/>
    <n v="385.70080000000002"/>
    <x v="0"/>
    <s v="Medium"/>
    <s v="Medium"/>
    <s v="January"/>
    <x v="0"/>
  </r>
  <r>
    <d v="2012-01-05T00:00:00"/>
    <x v="3"/>
    <x v="0"/>
    <n v="139780"/>
    <n v="20000"/>
    <x v="2"/>
    <x v="2"/>
    <x v="2"/>
    <n v="6"/>
    <n v="1111.6589814177564"/>
    <n v="1.0219580000000001E-2"/>
    <x v="0"/>
    <n v="-119780"/>
    <n v="17.991099999999999"/>
    <x v="1"/>
    <s v="Low"/>
    <s v="Medium"/>
    <s v="January"/>
    <x v="0"/>
  </r>
  <r>
    <d v="2012-01-07T00:00:00"/>
    <x v="3"/>
    <x v="6"/>
    <n v="171600"/>
    <n v="212998"/>
    <x v="0"/>
    <x v="0"/>
    <x v="0"/>
    <n v="3"/>
    <n v="1111.6589814177564"/>
    <n v="1.0219580000000001E-2"/>
    <x v="3"/>
    <n v="41398"/>
    <n v="191.6037"/>
    <x v="0"/>
    <s v="Medium"/>
    <s v="Medium"/>
    <s v="January"/>
    <x v="0"/>
  </r>
  <r>
    <d v="2012-01-10T00:00:00"/>
    <x v="3"/>
    <x v="1"/>
    <n v="299880"/>
    <n v="215000"/>
    <x v="0"/>
    <x v="0"/>
    <x v="0"/>
    <n v="3"/>
    <n v="942"/>
    <n v="1.0219580000000001E-2"/>
    <x v="0"/>
    <n v="-84880"/>
    <n v="228.23779999999999"/>
    <x v="1"/>
    <s v="Medium"/>
    <s v="Medium"/>
    <s v="January"/>
    <x v="0"/>
  </r>
  <r>
    <d v="2012-01-11T00:00:00"/>
    <x v="3"/>
    <x v="5"/>
    <n v="158280"/>
    <n v="110000"/>
    <x v="2"/>
    <x v="2"/>
    <x v="2"/>
    <n v="5"/>
    <n v="1840"/>
    <n v="1.0219580000000001E-2"/>
    <x v="1"/>
    <n v="-48280"/>
    <n v="59.782600000000002"/>
    <x v="1"/>
    <s v="Low"/>
    <s v="Large"/>
    <s v="January"/>
    <x v="0"/>
  </r>
  <r>
    <d v="2012-01-12T00:00:00"/>
    <x v="3"/>
    <x v="6"/>
    <n v="221800"/>
    <n v="325500"/>
    <x v="0"/>
    <x v="0"/>
    <x v="0"/>
    <n v="1"/>
    <n v="1033"/>
    <n v="1.0219580000000001E-2"/>
    <x v="1"/>
    <n v="103700"/>
    <n v="315.10160000000002"/>
    <x v="0"/>
    <s v="Medium"/>
    <s v="Medium"/>
    <s v="January"/>
    <x v="0"/>
  </r>
  <r>
    <d v="2012-01-14T00:00:00"/>
    <x v="3"/>
    <x v="0"/>
    <n v="142990"/>
    <n v="99900"/>
    <x v="0"/>
    <x v="0"/>
    <x v="0"/>
    <n v="1"/>
    <n v="1111.6589814177564"/>
    <n v="1.0219580000000001E-2"/>
    <x v="2"/>
    <n v="-43090"/>
    <n v="89.865700000000004"/>
    <x v="1"/>
    <s v="Low"/>
    <s v="Medium"/>
    <s v="January"/>
    <x v="0"/>
  </r>
  <r>
    <d v="2012-01-15T00:00:00"/>
    <x v="3"/>
    <x v="3"/>
    <n v="819560"/>
    <n v="760000"/>
    <x v="0"/>
    <x v="0"/>
    <x v="0"/>
    <n v="3"/>
    <n v="1038"/>
    <n v="1.0219580000000001E-2"/>
    <x v="0"/>
    <n v="-59560"/>
    <n v="732.17729999999995"/>
    <x v="1"/>
    <s v="High"/>
    <s v="Medium"/>
    <s v="January"/>
    <x v="0"/>
  </r>
  <r>
    <d v="2012-01-19T00:00:00"/>
    <x v="3"/>
    <x v="3"/>
    <n v="908320"/>
    <n v="1350000"/>
    <x v="0"/>
    <x v="0"/>
    <x v="0"/>
    <n v="2"/>
    <n v="1042"/>
    <n v="1.0219580000000001E-2"/>
    <x v="2"/>
    <n v="441680"/>
    <n v="1295.5853999999999"/>
    <x v="0"/>
    <s v="High"/>
    <s v="Medium"/>
    <s v="January"/>
    <x v="0"/>
  </r>
  <r>
    <d v="2012-01-20T00:00:00"/>
    <x v="3"/>
    <x v="2"/>
    <n v="138120"/>
    <n v="145000"/>
    <x v="0"/>
    <x v="0"/>
    <x v="0"/>
    <n v="3"/>
    <n v="1111.6589814177564"/>
    <n v="1.0219580000000001E-2"/>
    <x v="2"/>
    <n v="6880"/>
    <n v="130.4357"/>
    <x v="0"/>
    <s v="Low"/>
    <s v="Medium"/>
    <s v="January"/>
    <x v="0"/>
  </r>
  <r>
    <d v="2012-01-21T00:00:00"/>
    <x v="3"/>
    <x v="5"/>
    <n v="144050"/>
    <n v="220000"/>
    <x v="0"/>
    <x v="0"/>
    <x v="0"/>
    <n v="3"/>
    <n v="1042"/>
    <n v="1.0219580000000001E-2"/>
    <x v="1"/>
    <n v="75950"/>
    <n v="211.13239999999999"/>
    <x v="0"/>
    <s v="Medium"/>
    <s v="Medium"/>
    <s v="January"/>
    <x v="0"/>
  </r>
  <r>
    <d v="2012-01-22T00:00:00"/>
    <x v="3"/>
    <x v="0"/>
    <n v="104210"/>
    <n v="17500"/>
    <x v="0"/>
    <x v="0"/>
    <x v="0"/>
    <n v="3"/>
    <n v="939"/>
    <n v="1.0219580000000001E-2"/>
    <x v="3"/>
    <n v="-86710"/>
    <n v="18.636800000000001"/>
    <x v="1"/>
    <s v="Low"/>
    <s v="Medium"/>
    <s v="January"/>
    <x v="0"/>
  </r>
  <r>
    <d v="2012-01-25T00:00:00"/>
    <x v="3"/>
    <x v="2"/>
    <n v="444584.20699999999"/>
    <n v="155000"/>
    <x v="0"/>
    <x v="0"/>
    <x v="0"/>
    <n v="2"/>
    <n v="1085"/>
    <n v="1.0219580000000001E-2"/>
    <x v="2"/>
    <n v="-289584.20699999999"/>
    <n v="142.8571"/>
    <x v="1"/>
    <s v="Low"/>
    <s v="Medium"/>
    <s v="January"/>
    <x v="0"/>
  </r>
  <r>
    <d v="2012-01-29T00:00:00"/>
    <x v="3"/>
    <x v="7"/>
    <n v="333450"/>
    <n v="300000"/>
    <x v="0"/>
    <x v="0"/>
    <x v="0"/>
    <n v="3"/>
    <n v="1014"/>
    <n v="1.0219580000000001E-2"/>
    <x v="0"/>
    <n v="-33450"/>
    <n v="295.858"/>
    <x v="1"/>
    <s v="Medium"/>
    <s v="Medium"/>
    <s v="January"/>
    <x v="0"/>
  </r>
  <r>
    <d v="2012-02-01T00:00:00"/>
    <x v="3"/>
    <x v="6"/>
    <n v="264900"/>
    <n v="270000"/>
    <x v="0"/>
    <x v="0"/>
    <x v="0"/>
    <n v="2"/>
    <n v="1043"/>
    <n v="1.0219580000000001E-2"/>
    <x v="1"/>
    <n v="5100"/>
    <n v="258.86860000000001"/>
    <x v="0"/>
    <s v="Medium"/>
    <s v="Medium"/>
    <s v="February"/>
    <x v="1"/>
  </r>
  <r>
    <d v="2012-02-02T00:00:00"/>
    <x v="3"/>
    <x v="1"/>
    <n v="494690"/>
    <n v="385000"/>
    <x v="1"/>
    <x v="1"/>
    <x v="1"/>
    <n v="2"/>
    <n v="1350"/>
    <n v="1.0219580000000001E-2"/>
    <x v="0"/>
    <n v="-109690"/>
    <n v="285.18520000000001"/>
    <x v="1"/>
    <s v="Medium"/>
    <s v="Large"/>
    <s v="February"/>
    <x v="1"/>
  </r>
  <r>
    <d v="2012-02-03T00:00:00"/>
    <x v="3"/>
    <x v="5"/>
    <n v="337190"/>
    <n v="465000"/>
    <x v="0"/>
    <x v="0"/>
    <x v="0"/>
    <n v="2"/>
    <n v="973"/>
    <n v="1.0219580000000001E-2"/>
    <x v="3"/>
    <n v="127810"/>
    <n v="477.90339999999998"/>
    <x v="0"/>
    <s v="Medium"/>
    <s v="Medium"/>
    <s v="February"/>
    <x v="1"/>
  </r>
  <r>
    <d v="2012-02-08T00:00:00"/>
    <x v="3"/>
    <x v="6"/>
    <n v="444584.20699999999"/>
    <n v="715000"/>
    <x v="0"/>
    <x v="0"/>
    <x v="0"/>
    <n v="2"/>
    <n v="1020"/>
    <n v="1.0219580000000001E-2"/>
    <x v="3"/>
    <n v="270415.79300000001"/>
    <n v="700.98040000000003"/>
    <x v="0"/>
    <s v="High"/>
    <s v="Medium"/>
    <s v="February"/>
    <x v="1"/>
  </r>
  <r>
    <d v="2012-02-09T00:00:00"/>
    <x v="3"/>
    <x v="2"/>
    <n v="140370"/>
    <n v="160000"/>
    <x v="2"/>
    <x v="2"/>
    <x v="2"/>
    <n v="6"/>
    <n v="1111.6589814177564"/>
    <n v="1.0219580000000001E-2"/>
    <x v="0"/>
    <n v="19630"/>
    <n v="143.929"/>
    <x v="0"/>
    <s v="Low"/>
    <s v="Medium"/>
    <s v="February"/>
    <x v="1"/>
  </r>
  <r>
    <d v="2012-02-10T00:00:00"/>
    <x v="3"/>
    <x v="0"/>
    <n v="88530"/>
    <n v="50000"/>
    <x v="0"/>
    <x v="0"/>
    <x v="0"/>
    <n v="2"/>
    <n v="1022"/>
    <n v="1.0219580000000001E-2"/>
    <x v="2"/>
    <n v="-38530"/>
    <n v="48.923699999999997"/>
    <x v="1"/>
    <s v="Low"/>
    <s v="Medium"/>
    <s v="February"/>
    <x v="1"/>
  </r>
  <r>
    <d v="2012-02-11T00:00:00"/>
    <x v="3"/>
    <x v="2"/>
    <n v="217880"/>
    <n v="114741"/>
    <x v="1"/>
    <x v="1"/>
    <x v="1"/>
    <n v="3"/>
    <n v="1461"/>
    <n v="1.0219580000000001E-2"/>
    <x v="0"/>
    <n v="-103139"/>
    <n v="78.535899999999998"/>
    <x v="1"/>
    <s v="Low"/>
    <s v="Large"/>
    <s v="February"/>
    <x v="1"/>
  </r>
  <r>
    <d v="2012-02-12T00:00:00"/>
    <x v="3"/>
    <x v="1"/>
    <n v="283990"/>
    <n v="365000"/>
    <x v="0"/>
    <x v="0"/>
    <x v="0"/>
    <n v="1"/>
    <n v="951"/>
    <n v="1.0219580000000001E-2"/>
    <x v="2"/>
    <n v="81010"/>
    <n v="383.80650000000003"/>
    <x v="0"/>
    <s v="Medium"/>
    <s v="Medium"/>
    <s v="February"/>
    <x v="1"/>
  </r>
  <r>
    <d v="2012-02-16T00:00:00"/>
    <x v="3"/>
    <x v="7"/>
    <n v="410650"/>
    <n v="436000"/>
    <x v="0"/>
    <x v="0"/>
    <x v="0"/>
    <n v="2"/>
    <n v="959"/>
    <n v="1.0219580000000001E-2"/>
    <x v="2"/>
    <n v="25350"/>
    <n v="454.64030000000002"/>
    <x v="0"/>
    <s v="Medium"/>
    <s v="Medium"/>
    <s v="February"/>
    <x v="1"/>
  </r>
  <r>
    <d v="2012-02-17T00:00:00"/>
    <x v="3"/>
    <x v="7"/>
    <n v="584260"/>
    <n v="675000"/>
    <x v="0"/>
    <x v="0"/>
    <x v="0"/>
    <n v="3"/>
    <n v="1111.6589814177564"/>
    <n v="1.0219580000000001E-2"/>
    <x v="0"/>
    <n v="90740"/>
    <n v="607.20060000000001"/>
    <x v="0"/>
    <s v="High"/>
    <s v="Medium"/>
    <s v="February"/>
    <x v="1"/>
  </r>
  <r>
    <d v="2012-02-18T00:00:00"/>
    <x v="3"/>
    <x v="2"/>
    <n v="117330"/>
    <n v="35000"/>
    <x v="0"/>
    <x v="0"/>
    <x v="0"/>
    <n v="1"/>
    <n v="957"/>
    <n v="1.0219580000000001E-2"/>
    <x v="0"/>
    <n v="-82330"/>
    <n v="36.572600000000001"/>
    <x v="1"/>
    <s v="Low"/>
    <s v="Medium"/>
    <s v="February"/>
    <x v="1"/>
  </r>
  <r>
    <d v="2012-02-19T00:00:00"/>
    <x v="3"/>
    <x v="4"/>
    <n v="306950"/>
    <n v="299000"/>
    <x v="0"/>
    <x v="0"/>
    <x v="0"/>
    <n v="2"/>
    <n v="918"/>
    <n v="1.0219580000000001E-2"/>
    <x v="1"/>
    <n v="-7950"/>
    <n v="325.7081"/>
    <x v="1"/>
    <s v="Medium"/>
    <s v="Medium"/>
    <s v="February"/>
    <x v="1"/>
  </r>
  <r>
    <d v="2012-02-22T00:00:00"/>
    <x v="3"/>
    <x v="1"/>
    <n v="290220"/>
    <n v="180000"/>
    <x v="0"/>
    <x v="0"/>
    <x v="0"/>
    <n v="2"/>
    <n v="976"/>
    <n v="1.0219580000000001E-2"/>
    <x v="1"/>
    <n v="-110220"/>
    <n v="184.42619999999999"/>
    <x v="1"/>
    <s v="Low"/>
    <s v="Medium"/>
    <s v="February"/>
    <x v="1"/>
  </r>
  <r>
    <d v="2012-02-23T00:00:00"/>
    <x v="3"/>
    <x v="5"/>
    <n v="146650"/>
    <n v="185400"/>
    <x v="0"/>
    <x v="0"/>
    <x v="0"/>
    <n v="3"/>
    <n v="1073"/>
    <n v="1.0219580000000001E-2"/>
    <x v="0"/>
    <n v="38750"/>
    <n v="172.78659999999999"/>
    <x v="0"/>
    <s v="Low"/>
    <s v="Medium"/>
    <s v="February"/>
    <x v="1"/>
  </r>
  <r>
    <d v="2012-03-01T00:00:00"/>
    <x v="3"/>
    <x v="6"/>
    <n v="207800"/>
    <n v="292500"/>
    <x v="0"/>
    <x v="0"/>
    <x v="0"/>
    <n v="1"/>
    <n v="1029"/>
    <n v="1.0219580000000001E-2"/>
    <x v="3"/>
    <n v="84700"/>
    <n v="284.25659999999999"/>
    <x v="0"/>
    <s v="Medium"/>
    <s v="Medium"/>
    <s v="March"/>
    <x v="2"/>
  </r>
  <r>
    <d v="2012-03-03T00:00:00"/>
    <x v="3"/>
    <x v="2"/>
    <n v="121780"/>
    <n v="165000"/>
    <x v="0"/>
    <x v="0"/>
    <x v="0"/>
    <n v="3"/>
    <n v="1111.6589814177564"/>
    <n v="1.0219580000000001E-2"/>
    <x v="3"/>
    <n v="43220"/>
    <n v="148.42679999999999"/>
    <x v="0"/>
    <s v="Low"/>
    <s v="Medium"/>
    <s v="March"/>
    <x v="2"/>
  </r>
  <r>
    <d v="2012-03-04T00:00:00"/>
    <x v="3"/>
    <x v="2"/>
    <n v="145900"/>
    <n v="187000"/>
    <x v="0"/>
    <x v="0"/>
    <x v="0"/>
    <n v="3"/>
    <n v="923"/>
    <n v="1.0219580000000001E-2"/>
    <x v="2"/>
    <n v="41100"/>
    <n v="202.6002"/>
    <x v="0"/>
    <s v="Low"/>
    <s v="Medium"/>
    <s v="March"/>
    <x v="2"/>
  </r>
  <r>
    <d v="2012-03-05T00:00:00"/>
    <x v="3"/>
    <x v="3"/>
    <n v="444584.20699999999"/>
    <n v="4344000"/>
    <x v="0"/>
    <x v="0"/>
    <x v="0"/>
    <n v="1"/>
    <n v="1051"/>
    <n v="1.0219580000000001E-2"/>
    <x v="2"/>
    <n v="3899415.7930000001"/>
    <n v="4133.2065000000002"/>
    <x v="0"/>
    <s v="High"/>
    <s v="Medium"/>
    <s v="March"/>
    <x v="2"/>
  </r>
  <r>
    <d v="2012-03-08T00:00:00"/>
    <x v="3"/>
    <x v="2"/>
    <n v="90671"/>
    <n v="128961"/>
    <x v="3"/>
    <x v="3"/>
    <x v="3"/>
    <n v="6"/>
    <n v="2733"/>
    <n v="1.0219580000000001E-2"/>
    <x v="0"/>
    <n v="38290"/>
    <n v="47.186599999999999"/>
    <x v="0"/>
    <s v="Low"/>
    <s v="Large"/>
    <s v="March"/>
    <x v="2"/>
  </r>
  <r>
    <d v="2012-03-09T00:00:00"/>
    <x v="3"/>
    <x v="2"/>
    <n v="135850"/>
    <n v="125000"/>
    <x v="0"/>
    <x v="0"/>
    <x v="0"/>
    <n v="2"/>
    <n v="902"/>
    <n v="1.0219580000000001E-2"/>
    <x v="2"/>
    <n v="-10850"/>
    <n v="138.58090000000001"/>
    <x v="1"/>
    <s v="Low"/>
    <s v="Medium"/>
    <s v="March"/>
    <x v="2"/>
  </r>
  <r>
    <d v="2012-03-10T00:00:00"/>
    <x v="3"/>
    <x v="0"/>
    <n v="159980"/>
    <n v="109500"/>
    <x v="2"/>
    <x v="2"/>
    <x v="2"/>
    <n v="4"/>
    <n v="2124"/>
    <n v="1.0219580000000001E-2"/>
    <x v="2"/>
    <n v="-50480"/>
    <n v="51.553699999999999"/>
    <x v="1"/>
    <s v="Low"/>
    <s v="Large"/>
    <s v="March"/>
    <x v="2"/>
  </r>
  <r>
    <d v="2012-03-11T00:00:00"/>
    <x v="3"/>
    <x v="0"/>
    <n v="107580"/>
    <n v="136000"/>
    <x v="0"/>
    <x v="0"/>
    <x v="0"/>
    <n v="2"/>
    <n v="923"/>
    <n v="1.0219580000000001E-2"/>
    <x v="2"/>
    <n v="28420"/>
    <n v="147.34559999999999"/>
    <x v="0"/>
    <s v="Low"/>
    <s v="Medium"/>
    <s v="March"/>
    <x v="2"/>
  </r>
  <r>
    <d v="2012-03-12T00:00:00"/>
    <x v="3"/>
    <x v="1"/>
    <n v="494690"/>
    <n v="305000"/>
    <x v="1"/>
    <x v="1"/>
    <x v="1"/>
    <n v="4"/>
    <n v="1111.6589814177564"/>
    <n v="1.0219580000000001E-2"/>
    <x v="2"/>
    <n v="-189690"/>
    <n v="274.36470000000003"/>
    <x v="1"/>
    <s v="Medium"/>
    <s v="Medium"/>
    <s v="March"/>
    <x v="2"/>
  </r>
  <r>
    <d v="2012-03-15T00:00:00"/>
    <x v="3"/>
    <x v="3"/>
    <n v="1326570"/>
    <n v="1100000"/>
    <x v="0"/>
    <x v="0"/>
    <x v="0"/>
    <n v="2"/>
    <n v="1002"/>
    <n v="1.0219580000000001E-2"/>
    <x v="3"/>
    <n v="-226570"/>
    <n v="1097.8044"/>
    <x v="1"/>
    <s v="High"/>
    <s v="Medium"/>
    <s v="March"/>
    <x v="2"/>
  </r>
  <r>
    <d v="2012-03-16T00:00:00"/>
    <x v="3"/>
    <x v="2"/>
    <n v="83020"/>
    <n v="48100"/>
    <x v="0"/>
    <x v="0"/>
    <x v="0"/>
    <n v="1"/>
    <n v="991"/>
    <n v="1.0219580000000001E-2"/>
    <x v="2"/>
    <n v="-34920"/>
    <n v="48.536799999999999"/>
    <x v="1"/>
    <s v="Low"/>
    <s v="Medium"/>
    <s v="March"/>
    <x v="2"/>
  </r>
  <r>
    <d v="2012-03-17T00:00:00"/>
    <x v="3"/>
    <x v="3"/>
    <n v="922460"/>
    <n v="922000"/>
    <x v="0"/>
    <x v="0"/>
    <x v="0"/>
    <n v="2"/>
    <n v="1111.6589814177564"/>
    <n v="1.0219580000000001E-2"/>
    <x v="0"/>
    <n v="-460"/>
    <n v="829.39099999999996"/>
    <x v="1"/>
    <s v="High"/>
    <s v="Medium"/>
    <s v="March"/>
    <x v="2"/>
  </r>
  <r>
    <d v="2012-03-18T00:00:00"/>
    <x v="3"/>
    <x v="2"/>
    <n v="444584.20699999999"/>
    <n v="63100"/>
    <x v="1"/>
    <x v="1"/>
    <x v="1"/>
    <n v="2"/>
    <n v="1403"/>
    <n v="1.0219580000000001E-2"/>
    <x v="2"/>
    <n v="-381484.20699999999"/>
    <n v="44.975099999999998"/>
    <x v="1"/>
    <s v="Low"/>
    <s v="Large"/>
    <s v="March"/>
    <x v="2"/>
  </r>
  <r>
    <d v="2012-03-22T00:00:00"/>
    <x v="3"/>
    <x v="4"/>
    <n v="496930"/>
    <n v="545000"/>
    <x v="0"/>
    <x v="0"/>
    <x v="0"/>
    <n v="1"/>
    <n v="938"/>
    <n v="1.0219580000000001E-2"/>
    <x v="2"/>
    <n v="48070"/>
    <n v="581.02350000000001"/>
    <x v="0"/>
    <s v="Medium"/>
    <s v="Medium"/>
    <s v="March"/>
    <x v="2"/>
  </r>
  <r>
    <d v="2012-03-23T00:00:00"/>
    <x v="3"/>
    <x v="2"/>
    <n v="147050"/>
    <n v="35000"/>
    <x v="1"/>
    <x v="1"/>
    <x v="1"/>
    <n v="3"/>
    <n v="1275"/>
    <n v="1.0219580000000001E-2"/>
    <x v="2"/>
    <n v="-112050"/>
    <n v="27.451000000000001"/>
    <x v="1"/>
    <s v="Low"/>
    <s v="Medium"/>
    <s v="March"/>
    <x v="2"/>
  </r>
  <r>
    <d v="2012-03-24T00:00:00"/>
    <x v="3"/>
    <x v="2"/>
    <n v="149940"/>
    <n v="155000"/>
    <x v="1"/>
    <x v="1"/>
    <x v="1"/>
    <n v="2"/>
    <n v="1277"/>
    <n v="1.0219580000000001E-2"/>
    <x v="0"/>
    <n v="5060"/>
    <n v="121.37820000000001"/>
    <x v="0"/>
    <s v="Low"/>
    <s v="Medium"/>
    <s v="March"/>
    <x v="2"/>
  </r>
  <r>
    <d v="2012-03-29T00:00:00"/>
    <x v="3"/>
    <x v="4"/>
    <n v="234150"/>
    <n v="249000"/>
    <x v="0"/>
    <x v="0"/>
    <x v="0"/>
    <n v="1"/>
    <n v="1005"/>
    <n v="1.0219580000000001E-2"/>
    <x v="2"/>
    <n v="14850"/>
    <n v="247.7612"/>
    <x v="0"/>
    <s v="Medium"/>
    <s v="Medium"/>
    <s v="March"/>
    <x v="2"/>
  </r>
  <r>
    <d v="2012-04-01T00:00:00"/>
    <x v="3"/>
    <x v="7"/>
    <n v="644940"/>
    <n v="900000"/>
    <x v="0"/>
    <x v="0"/>
    <x v="0"/>
    <n v="3"/>
    <n v="921"/>
    <n v="1.0219580000000001E-2"/>
    <x v="3"/>
    <n v="255060"/>
    <n v="977.19870000000003"/>
    <x v="0"/>
    <s v="High"/>
    <s v="Medium"/>
    <s v="April"/>
    <x v="3"/>
  </r>
  <r>
    <d v="2012-04-05T00:00:00"/>
    <x v="3"/>
    <x v="4"/>
    <n v="356160"/>
    <n v="520000"/>
    <x v="0"/>
    <x v="0"/>
    <x v="0"/>
    <n v="2"/>
    <n v="969"/>
    <n v="1.0219580000000001E-2"/>
    <x v="2"/>
    <n v="163840"/>
    <n v="536.63570000000004"/>
    <x v="0"/>
    <s v="Medium"/>
    <s v="Medium"/>
    <s v="April"/>
    <x v="3"/>
  </r>
  <r>
    <d v="2012-04-07T00:00:00"/>
    <x v="3"/>
    <x v="3"/>
    <n v="711130"/>
    <n v="300000"/>
    <x v="0"/>
    <x v="0"/>
    <x v="0"/>
    <n v="3"/>
    <n v="1036"/>
    <n v="1.0219580000000001E-2"/>
    <x v="1"/>
    <n v="-411130"/>
    <n v="289.57530000000003"/>
    <x v="1"/>
    <s v="Medium"/>
    <s v="Medium"/>
    <s v="April"/>
    <x v="3"/>
  </r>
  <r>
    <d v="2012-04-08T00:00:00"/>
    <x v="3"/>
    <x v="2"/>
    <n v="444584.20699999999"/>
    <n v="175000"/>
    <x v="1"/>
    <x v="1"/>
    <x v="1"/>
    <n v="3"/>
    <n v="1388"/>
    <n v="1.0219580000000001E-2"/>
    <x v="1"/>
    <n v="-269584.20699999999"/>
    <n v="126.08069999999999"/>
    <x v="1"/>
    <s v="Low"/>
    <s v="Large"/>
    <s v="April"/>
    <x v="3"/>
  </r>
  <r>
    <d v="2012-04-09T00:00:00"/>
    <x v="3"/>
    <x v="4"/>
    <n v="319550"/>
    <n v="375000"/>
    <x v="0"/>
    <x v="0"/>
    <x v="0"/>
    <n v="3"/>
    <n v="1096"/>
    <n v="1.0219580000000001E-2"/>
    <x v="0"/>
    <n v="55450"/>
    <n v="342.1533"/>
    <x v="0"/>
    <s v="Medium"/>
    <s v="Medium"/>
    <s v="April"/>
    <x v="3"/>
  </r>
  <r>
    <d v="2012-04-12T00:00:00"/>
    <x v="3"/>
    <x v="6"/>
    <n v="146000"/>
    <n v="225000"/>
    <x v="0"/>
    <x v="0"/>
    <x v="0"/>
    <n v="1"/>
    <n v="907"/>
    <n v="1.0219580000000001E-2"/>
    <x v="1"/>
    <n v="79000"/>
    <n v="248.07060000000001"/>
    <x v="0"/>
    <s v="Medium"/>
    <s v="Medium"/>
    <s v="April"/>
    <x v="3"/>
  </r>
  <r>
    <d v="2012-04-13T00:00:00"/>
    <x v="3"/>
    <x v="1"/>
    <n v="284620"/>
    <n v="450000"/>
    <x v="0"/>
    <x v="0"/>
    <x v="0"/>
    <n v="2"/>
    <n v="1111.6589814177564"/>
    <n v="1.0219580000000001E-2"/>
    <x v="1"/>
    <n v="165380"/>
    <n v="404.80040000000002"/>
    <x v="0"/>
    <s v="Medium"/>
    <s v="Medium"/>
    <s v="April"/>
    <x v="3"/>
  </r>
  <r>
    <d v="2012-04-14T00:00:00"/>
    <x v="3"/>
    <x v="1"/>
    <n v="298340"/>
    <n v="407000"/>
    <x v="0"/>
    <x v="0"/>
    <x v="0"/>
    <n v="3"/>
    <n v="1075"/>
    <n v="1.0219580000000001E-2"/>
    <x v="2"/>
    <n v="108660"/>
    <n v="378.60469999999998"/>
    <x v="0"/>
    <s v="Medium"/>
    <s v="Medium"/>
    <s v="April"/>
    <x v="3"/>
  </r>
  <r>
    <d v="2012-04-15T00:00:00"/>
    <x v="3"/>
    <x v="2"/>
    <n v="130300"/>
    <n v="118000"/>
    <x v="0"/>
    <x v="0"/>
    <x v="0"/>
    <n v="3"/>
    <n v="1111.6589814177564"/>
    <n v="1.0219580000000001E-2"/>
    <x v="3"/>
    <n v="-12300"/>
    <n v="106.1477"/>
    <x v="1"/>
    <s v="Low"/>
    <s v="Medium"/>
    <s v="April"/>
    <x v="3"/>
  </r>
  <r>
    <d v="2012-04-16T00:00:00"/>
    <x v="3"/>
    <x v="1"/>
    <n v="287280"/>
    <n v="461000"/>
    <x v="0"/>
    <x v="0"/>
    <x v="0"/>
    <n v="2"/>
    <n v="981"/>
    <n v="1.0219580000000001E-2"/>
    <x v="0"/>
    <n v="173720"/>
    <n v="469.92860000000002"/>
    <x v="0"/>
    <s v="Medium"/>
    <s v="Medium"/>
    <s v="April"/>
    <x v="3"/>
  </r>
  <r>
    <d v="2012-04-19T00:00:00"/>
    <x v="3"/>
    <x v="6"/>
    <n v="444584.20699999999"/>
    <n v="210000"/>
    <x v="0"/>
    <x v="0"/>
    <x v="0"/>
    <n v="3"/>
    <n v="913"/>
    <n v="1.0219580000000001E-2"/>
    <x v="3"/>
    <n v="-234584.20699999999"/>
    <n v="230.011"/>
    <x v="1"/>
    <s v="Medium"/>
    <s v="Medium"/>
    <s v="April"/>
    <x v="3"/>
  </r>
  <r>
    <d v="2012-04-20T00:00:00"/>
    <x v="3"/>
    <x v="2"/>
    <n v="135600"/>
    <n v="145000"/>
    <x v="0"/>
    <x v="0"/>
    <x v="0"/>
    <n v="2"/>
    <n v="1073"/>
    <n v="1.0219580000000001E-2"/>
    <x v="3"/>
    <n v="9400"/>
    <n v="135.13509999999999"/>
    <x v="0"/>
    <s v="Low"/>
    <s v="Medium"/>
    <s v="April"/>
    <x v="3"/>
  </r>
  <r>
    <d v="2012-04-22T00:00:00"/>
    <x v="3"/>
    <x v="4"/>
    <n v="491470"/>
    <n v="760000"/>
    <x v="0"/>
    <x v="0"/>
    <x v="0"/>
    <n v="1"/>
    <n v="961"/>
    <n v="1.0219580000000001E-2"/>
    <x v="1"/>
    <n v="268530"/>
    <n v="790.84289999999999"/>
    <x v="0"/>
    <s v="High"/>
    <s v="Medium"/>
    <s v="April"/>
    <x v="3"/>
  </r>
  <r>
    <d v="2012-04-26T00:00:00"/>
    <x v="3"/>
    <x v="0"/>
    <n v="82240"/>
    <n v="73000"/>
    <x v="0"/>
    <x v="0"/>
    <x v="0"/>
    <n v="3"/>
    <n v="994"/>
    <n v="1.0219580000000001E-2"/>
    <x v="0"/>
    <n v="-9240"/>
    <n v="73.440600000000003"/>
    <x v="1"/>
    <s v="Low"/>
    <s v="Medium"/>
    <s v="April"/>
    <x v="3"/>
  </r>
  <r>
    <d v="2012-04-27T00:00:00"/>
    <x v="3"/>
    <x v="3"/>
    <n v="952980"/>
    <n v="737500"/>
    <x v="0"/>
    <x v="0"/>
    <x v="0"/>
    <n v="1"/>
    <n v="914"/>
    <n v="1.0219580000000001E-2"/>
    <x v="3"/>
    <n v="-215480"/>
    <n v="806.89279999999997"/>
    <x v="1"/>
    <s v="High"/>
    <s v="Medium"/>
    <s v="April"/>
    <x v="3"/>
  </r>
  <r>
    <d v="2012-04-28T00:00:00"/>
    <x v="3"/>
    <x v="4"/>
    <n v="385910"/>
    <n v="380000"/>
    <x v="0"/>
    <x v="0"/>
    <x v="0"/>
    <n v="1"/>
    <n v="984"/>
    <n v="1.0219580000000001E-2"/>
    <x v="0"/>
    <n v="-5910"/>
    <n v="386.1789"/>
    <x v="1"/>
    <s v="Medium"/>
    <s v="Medium"/>
    <s v="April"/>
    <x v="3"/>
  </r>
  <r>
    <d v="2012-04-29T00:00:00"/>
    <x v="3"/>
    <x v="2"/>
    <n v="126730"/>
    <n v="160000"/>
    <x v="0"/>
    <x v="0"/>
    <x v="0"/>
    <n v="2"/>
    <n v="1111.6589814177564"/>
    <n v="1.0219580000000001E-2"/>
    <x v="2"/>
    <n v="33270"/>
    <n v="143.929"/>
    <x v="0"/>
    <s v="Low"/>
    <s v="Medium"/>
    <s v="April"/>
    <x v="3"/>
  </r>
  <r>
    <d v="2012-04-30T00:00:00"/>
    <x v="3"/>
    <x v="5"/>
    <n v="97930"/>
    <n v="64500"/>
    <x v="0"/>
    <x v="0"/>
    <x v="0"/>
    <n v="1"/>
    <n v="975"/>
    <n v="1.0219580000000001E-2"/>
    <x v="2"/>
    <n v="-33430"/>
    <n v="66.153800000000004"/>
    <x v="1"/>
    <s v="Low"/>
    <s v="Medium"/>
    <s v="April"/>
    <x v="3"/>
  </r>
  <r>
    <d v="2012-05-03T00:00:00"/>
    <x v="3"/>
    <x v="2"/>
    <n v="220630"/>
    <n v="280000"/>
    <x v="0"/>
    <x v="0"/>
    <x v="0"/>
    <n v="3"/>
    <n v="997"/>
    <n v="1.0219580000000001E-2"/>
    <x v="3"/>
    <n v="59370"/>
    <n v="280.84249999999997"/>
    <x v="0"/>
    <s v="Medium"/>
    <s v="Medium"/>
    <s v="May"/>
    <x v="4"/>
  </r>
  <r>
    <d v="2012-05-04T00:00:00"/>
    <x v="3"/>
    <x v="7"/>
    <n v="449140"/>
    <n v="125000"/>
    <x v="0"/>
    <x v="0"/>
    <x v="0"/>
    <n v="1"/>
    <n v="1055"/>
    <n v="1.0219580000000001E-2"/>
    <x v="1"/>
    <n v="-324140"/>
    <n v="118.4834"/>
    <x v="1"/>
    <s v="Low"/>
    <s v="Medium"/>
    <s v="May"/>
    <x v="4"/>
  </r>
  <r>
    <d v="2012-05-05T00:00:00"/>
    <x v="3"/>
    <x v="1"/>
    <n v="695870"/>
    <n v="750000"/>
    <x v="0"/>
    <x v="0"/>
    <x v="0"/>
    <n v="3"/>
    <n v="1020"/>
    <n v="1.0219580000000001E-2"/>
    <x v="3"/>
    <n v="54130"/>
    <n v="735.29409999999996"/>
    <x v="0"/>
    <s v="High"/>
    <s v="Medium"/>
    <s v="May"/>
    <x v="4"/>
  </r>
  <r>
    <d v="2012-05-06T00:00:00"/>
    <x v="3"/>
    <x v="1"/>
    <n v="244370"/>
    <n v="365000"/>
    <x v="0"/>
    <x v="0"/>
    <x v="0"/>
    <n v="1"/>
    <n v="1111.6589814177564"/>
    <n v="1.0219580000000001E-2"/>
    <x v="0"/>
    <n v="120630"/>
    <n v="328.3381"/>
    <x v="0"/>
    <s v="Medium"/>
    <s v="Medium"/>
    <s v="May"/>
    <x v="4"/>
  </r>
  <r>
    <d v="2012-05-07T00:00:00"/>
    <x v="3"/>
    <x v="4"/>
    <n v="227850"/>
    <n v="230000"/>
    <x v="0"/>
    <x v="0"/>
    <x v="0"/>
    <n v="2"/>
    <n v="971"/>
    <n v="1.0219580000000001E-2"/>
    <x v="0"/>
    <n v="2150"/>
    <n v="236.86920000000001"/>
    <x v="0"/>
    <s v="Medium"/>
    <s v="Medium"/>
    <s v="May"/>
    <x v="4"/>
  </r>
  <r>
    <d v="2012-05-10T00:00:00"/>
    <x v="3"/>
    <x v="6"/>
    <n v="444584.20699999999"/>
    <n v="955000"/>
    <x v="0"/>
    <x v="0"/>
    <x v="0"/>
    <n v="3"/>
    <n v="983"/>
    <n v="1.0219580000000001E-2"/>
    <x v="1"/>
    <n v="510415.79300000001"/>
    <n v="971.51580000000001"/>
    <x v="0"/>
    <s v="High"/>
    <s v="Medium"/>
    <s v="May"/>
    <x v="4"/>
  </r>
  <r>
    <d v="2012-05-12T00:00:00"/>
    <x v="3"/>
    <x v="2"/>
    <n v="176210"/>
    <n v="82500"/>
    <x v="1"/>
    <x v="1"/>
    <x v="1"/>
    <n v="2"/>
    <n v="1399"/>
    <n v="1.0219580000000001E-2"/>
    <x v="1"/>
    <n v="-93710"/>
    <n v="58.970700000000001"/>
    <x v="1"/>
    <s v="Low"/>
    <s v="Large"/>
    <s v="May"/>
    <x v="4"/>
  </r>
  <r>
    <d v="2012-05-14T00:00:00"/>
    <x v="3"/>
    <x v="0"/>
    <n v="115350"/>
    <n v="139900"/>
    <x v="0"/>
    <x v="0"/>
    <x v="0"/>
    <n v="3"/>
    <n v="1068"/>
    <n v="1.0219580000000001E-2"/>
    <x v="0"/>
    <n v="24550"/>
    <n v="130.99250000000001"/>
    <x v="0"/>
    <s v="Low"/>
    <s v="Medium"/>
    <s v="May"/>
    <x v="4"/>
  </r>
  <r>
    <d v="2012-05-17T00:00:00"/>
    <x v="3"/>
    <x v="5"/>
    <n v="89550"/>
    <n v="33000"/>
    <x v="1"/>
    <x v="1"/>
    <x v="1"/>
    <n v="2"/>
    <n v="1338"/>
    <n v="1.0219580000000001E-2"/>
    <x v="3"/>
    <n v="-56550"/>
    <n v="24.663699999999999"/>
    <x v="1"/>
    <s v="Low"/>
    <s v="Large"/>
    <s v="May"/>
    <x v="4"/>
  </r>
  <r>
    <d v="2012-05-18T00:00:00"/>
    <x v="3"/>
    <x v="7"/>
    <n v="473610"/>
    <n v="612000"/>
    <x v="0"/>
    <x v="0"/>
    <x v="0"/>
    <n v="3"/>
    <n v="995"/>
    <n v="1.0219580000000001E-2"/>
    <x v="2"/>
    <n v="138390"/>
    <n v="615.07539999999995"/>
    <x v="0"/>
    <s v="High"/>
    <s v="Medium"/>
    <s v="May"/>
    <x v="4"/>
  </r>
  <r>
    <d v="2012-05-19T00:00:00"/>
    <x v="3"/>
    <x v="3"/>
    <n v="658910"/>
    <n v="860000"/>
    <x v="0"/>
    <x v="0"/>
    <x v="0"/>
    <n v="2"/>
    <n v="911"/>
    <n v="1.0219580000000001E-2"/>
    <x v="0"/>
    <n v="201090"/>
    <n v="944.01760000000002"/>
    <x v="0"/>
    <s v="High"/>
    <s v="Medium"/>
    <s v="May"/>
    <x v="4"/>
  </r>
  <r>
    <d v="2012-05-20T00:00:00"/>
    <x v="3"/>
    <x v="5"/>
    <n v="830270"/>
    <n v="919000"/>
    <x v="0"/>
    <x v="0"/>
    <x v="0"/>
    <n v="1"/>
    <n v="1111.6589814177564"/>
    <n v="1.0219580000000001E-2"/>
    <x v="3"/>
    <n v="88730"/>
    <n v="826.69240000000002"/>
    <x v="0"/>
    <s v="High"/>
    <s v="Medium"/>
    <s v="May"/>
    <x v="4"/>
  </r>
  <r>
    <d v="2012-05-21T00:00:00"/>
    <x v="3"/>
    <x v="4"/>
    <n v="947030"/>
    <n v="1080500"/>
    <x v="0"/>
    <x v="0"/>
    <x v="0"/>
    <n v="1"/>
    <n v="913"/>
    <n v="1.0219580000000001E-2"/>
    <x v="3"/>
    <n v="133470"/>
    <n v="1183.4611"/>
    <x v="0"/>
    <s v="High"/>
    <s v="Medium"/>
    <s v="May"/>
    <x v="4"/>
  </r>
  <r>
    <d v="2012-05-25T00:00:00"/>
    <x v="3"/>
    <x v="6"/>
    <n v="185200"/>
    <n v="276000"/>
    <x v="0"/>
    <x v="0"/>
    <x v="0"/>
    <n v="3"/>
    <n v="1065"/>
    <n v="1.0219580000000001E-2"/>
    <x v="0"/>
    <n v="90800"/>
    <n v="259.1549"/>
    <x v="0"/>
    <s v="Medium"/>
    <s v="Medium"/>
    <s v="May"/>
    <x v="4"/>
  </r>
  <r>
    <d v="2012-05-26T00:00:00"/>
    <x v="3"/>
    <x v="6"/>
    <n v="444584.20699999999"/>
    <n v="192000"/>
    <x v="0"/>
    <x v="0"/>
    <x v="0"/>
    <n v="3"/>
    <n v="966"/>
    <n v="1.0219580000000001E-2"/>
    <x v="3"/>
    <n v="-252584.20699999999"/>
    <n v="198.7578"/>
    <x v="1"/>
    <s v="Low"/>
    <s v="Medium"/>
    <s v="May"/>
    <x v="4"/>
  </r>
  <r>
    <d v="2012-05-27T00:00:00"/>
    <x v="3"/>
    <x v="7"/>
    <n v="388220"/>
    <n v="400000"/>
    <x v="0"/>
    <x v="0"/>
    <x v="0"/>
    <n v="3"/>
    <n v="1081"/>
    <n v="1.0219580000000001E-2"/>
    <x v="2"/>
    <n v="11780"/>
    <n v="370.02780000000001"/>
    <x v="0"/>
    <s v="Medium"/>
    <s v="Medium"/>
    <s v="May"/>
    <x v="4"/>
  </r>
  <r>
    <d v="2012-05-28T00:00:00"/>
    <x v="3"/>
    <x v="5"/>
    <n v="590590"/>
    <n v="1017500"/>
    <x v="0"/>
    <x v="0"/>
    <x v="0"/>
    <n v="2"/>
    <n v="952"/>
    <n v="1.0219580000000001E-2"/>
    <x v="2"/>
    <n v="426910"/>
    <n v="1068.8025"/>
    <x v="0"/>
    <s v="High"/>
    <s v="Medium"/>
    <s v="May"/>
    <x v="4"/>
  </r>
  <r>
    <d v="2012-06-01T00:00:00"/>
    <x v="3"/>
    <x v="6"/>
    <n v="157800"/>
    <n v="209000"/>
    <x v="0"/>
    <x v="0"/>
    <x v="0"/>
    <n v="2"/>
    <n v="1096"/>
    <n v="1.0219580000000001E-2"/>
    <x v="1"/>
    <n v="51200"/>
    <n v="190.6934"/>
    <x v="0"/>
    <s v="Medium"/>
    <s v="Medium"/>
    <s v="June"/>
    <x v="5"/>
  </r>
  <r>
    <d v="2012-06-02T00:00:00"/>
    <x v="3"/>
    <x v="6"/>
    <n v="225500"/>
    <n v="424000"/>
    <x v="0"/>
    <x v="0"/>
    <x v="0"/>
    <n v="2"/>
    <n v="1016"/>
    <n v="1.0219580000000001E-2"/>
    <x v="1"/>
    <n v="198500"/>
    <n v="417.32279999999997"/>
    <x v="0"/>
    <s v="Medium"/>
    <s v="Medium"/>
    <s v="June"/>
    <x v="5"/>
  </r>
  <r>
    <d v="2012-06-03T00:00:00"/>
    <x v="3"/>
    <x v="2"/>
    <n v="444584.20699999999"/>
    <n v="158000"/>
    <x v="0"/>
    <x v="0"/>
    <x v="0"/>
    <n v="1"/>
    <n v="1029"/>
    <n v="1.0219580000000001E-2"/>
    <x v="2"/>
    <n v="-286584.20699999999"/>
    <n v="153.5471"/>
    <x v="1"/>
    <s v="Low"/>
    <s v="Medium"/>
    <s v="June"/>
    <x v="5"/>
  </r>
  <r>
    <d v="2012-06-04T00:00:00"/>
    <x v="3"/>
    <x v="3"/>
    <n v="1801310"/>
    <n v="2050000"/>
    <x v="0"/>
    <x v="0"/>
    <x v="0"/>
    <n v="1"/>
    <n v="964"/>
    <n v="1.0219580000000001E-2"/>
    <x v="2"/>
    <n v="248690"/>
    <n v="2126.556"/>
    <x v="0"/>
    <s v="High"/>
    <s v="Medium"/>
    <s v="June"/>
    <x v="5"/>
  </r>
  <r>
    <d v="2012-06-08T00:00:00"/>
    <x v="3"/>
    <x v="1"/>
    <n v="444584.20699999999"/>
    <n v="1275000"/>
    <x v="0"/>
    <x v="0"/>
    <x v="0"/>
    <n v="3"/>
    <n v="1049"/>
    <n v="1.0219580000000001E-2"/>
    <x v="2"/>
    <n v="830415.79299999995"/>
    <n v="1215.4432999999999"/>
    <x v="0"/>
    <s v="High"/>
    <s v="Medium"/>
    <s v="June"/>
    <x v="5"/>
  </r>
  <r>
    <d v="2012-06-10T00:00:00"/>
    <x v="3"/>
    <x v="0"/>
    <n v="121510"/>
    <n v="165000"/>
    <x v="0"/>
    <x v="0"/>
    <x v="0"/>
    <n v="3"/>
    <n v="923"/>
    <n v="1.0219580000000001E-2"/>
    <x v="3"/>
    <n v="43490"/>
    <n v="178.76490000000001"/>
    <x v="0"/>
    <s v="Low"/>
    <s v="Medium"/>
    <s v="June"/>
    <x v="5"/>
  </r>
  <r>
    <d v="2012-06-14T00:00:00"/>
    <x v="3"/>
    <x v="2"/>
    <n v="87360"/>
    <n v="130000"/>
    <x v="0"/>
    <x v="0"/>
    <x v="0"/>
    <n v="1"/>
    <n v="1051"/>
    <n v="1.0219580000000001E-2"/>
    <x v="1"/>
    <n v="42640"/>
    <n v="123.6917"/>
    <x v="0"/>
    <s v="Low"/>
    <s v="Medium"/>
    <s v="June"/>
    <x v="5"/>
  </r>
  <r>
    <d v="2012-06-15T00:00:00"/>
    <x v="3"/>
    <x v="3"/>
    <n v="1210510"/>
    <n v="1455000"/>
    <x v="0"/>
    <x v="0"/>
    <x v="0"/>
    <n v="1"/>
    <n v="1054"/>
    <n v="1.0219580000000001E-2"/>
    <x v="2"/>
    <n v="244490"/>
    <n v="1380.4554000000001"/>
    <x v="0"/>
    <s v="High"/>
    <s v="Medium"/>
    <s v="June"/>
    <x v="5"/>
  </r>
  <r>
    <d v="2012-06-16T00:00:00"/>
    <x v="3"/>
    <x v="2"/>
    <n v="444584.20699999999"/>
    <n v="227500"/>
    <x v="0"/>
    <x v="0"/>
    <x v="0"/>
    <n v="2"/>
    <n v="1093"/>
    <n v="1.0219580000000001E-2"/>
    <x v="3"/>
    <n v="-217084.20699999999"/>
    <n v="208.14269999999999"/>
    <x v="1"/>
    <s v="Medium"/>
    <s v="Medium"/>
    <s v="June"/>
    <x v="5"/>
  </r>
  <r>
    <d v="2012-06-17T00:00:00"/>
    <x v="3"/>
    <x v="6"/>
    <n v="250300"/>
    <n v="374000"/>
    <x v="0"/>
    <x v="0"/>
    <x v="0"/>
    <n v="2"/>
    <n v="1051"/>
    <n v="1.0219580000000001E-2"/>
    <x v="2"/>
    <n v="123700"/>
    <n v="355.85160000000002"/>
    <x v="0"/>
    <s v="Medium"/>
    <s v="Medium"/>
    <s v="June"/>
    <x v="5"/>
  </r>
  <r>
    <d v="2012-06-22T00:00:00"/>
    <x v="3"/>
    <x v="7"/>
    <n v="813980"/>
    <n v="912400"/>
    <x v="0"/>
    <x v="0"/>
    <x v="0"/>
    <n v="1"/>
    <n v="1061"/>
    <n v="1.0219580000000001E-2"/>
    <x v="3"/>
    <n v="98420"/>
    <n v="859.9434"/>
    <x v="0"/>
    <s v="High"/>
    <s v="Medium"/>
    <s v="June"/>
    <x v="5"/>
  </r>
  <r>
    <d v="2012-06-23T00:00:00"/>
    <x v="3"/>
    <x v="0"/>
    <n v="139720"/>
    <n v="100600"/>
    <x v="0"/>
    <x v="0"/>
    <x v="0"/>
    <n v="3"/>
    <n v="911"/>
    <n v="1.0219580000000001E-2"/>
    <x v="3"/>
    <n v="-39120"/>
    <n v="110.4281"/>
    <x v="1"/>
    <s v="Low"/>
    <s v="Medium"/>
    <s v="June"/>
    <x v="5"/>
  </r>
  <r>
    <d v="2012-06-25T00:00:00"/>
    <x v="3"/>
    <x v="4"/>
    <n v="459270"/>
    <n v="539000"/>
    <x v="0"/>
    <x v="0"/>
    <x v="0"/>
    <n v="1"/>
    <n v="1030"/>
    <n v="1.0219580000000001E-2"/>
    <x v="2"/>
    <n v="79730"/>
    <n v="523.30100000000004"/>
    <x v="0"/>
    <s v="Medium"/>
    <s v="Medium"/>
    <s v="June"/>
    <x v="5"/>
  </r>
  <r>
    <d v="2012-06-29T00:00:00"/>
    <x v="3"/>
    <x v="7"/>
    <n v="393040"/>
    <n v="442000"/>
    <x v="0"/>
    <x v="0"/>
    <x v="0"/>
    <n v="2"/>
    <n v="1087"/>
    <n v="1.0219580000000001E-2"/>
    <x v="1"/>
    <n v="48960"/>
    <n v="406.62369999999999"/>
    <x v="0"/>
    <s v="Medium"/>
    <s v="Medium"/>
    <s v="June"/>
    <x v="5"/>
  </r>
  <r>
    <d v="2012-06-30T00:00:00"/>
    <x v="3"/>
    <x v="2"/>
    <n v="94170"/>
    <n v="88000"/>
    <x v="0"/>
    <x v="0"/>
    <x v="0"/>
    <n v="2"/>
    <n v="1068"/>
    <n v="1.0219580000000001E-2"/>
    <x v="2"/>
    <n v="-6170"/>
    <n v="82.397000000000006"/>
    <x v="1"/>
    <s v="Low"/>
    <s v="Medium"/>
    <s v="June"/>
    <x v="5"/>
  </r>
  <r>
    <d v="2012-07-02T00:00:00"/>
    <x v="3"/>
    <x v="4"/>
    <n v="324870"/>
    <n v="442500"/>
    <x v="0"/>
    <x v="0"/>
    <x v="0"/>
    <n v="3"/>
    <n v="981"/>
    <n v="1.0219580000000001E-2"/>
    <x v="0"/>
    <n v="117630"/>
    <n v="451.07029999999997"/>
    <x v="0"/>
    <s v="Medium"/>
    <s v="Medium"/>
    <s v="July"/>
    <x v="6"/>
  </r>
  <r>
    <d v="2012-07-06T00:00:00"/>
    <x v="3"/>
    <x v="7"/>
    <n v="343640"/>
    <n v="109000"/>
    <x v="0"/>
    <x v="0"/>
    <x v="0"/>
    <n v="1"/>
    <n v="1085"/>
    <n v="1.0219580000000001E-2"/>
    <x v="1"/>
    <n v="-234640"/>
    <n v="100.46080000000001"/>
    <x v="1"/>
    <s v="Low"/>
    <s v="Medium"/>
    <s v="July"/>
    <x v="6"/>
  </r>
  <r>
    <d v="2012-07-08T00:00:00"/>
    <x v="3"/>
    <x v="6"/>
    <n v="444584.20699999999"/>
    <n v="397500"/>
    <x v="0"/>
    <x v="0"/>
    <x v="0"/>
    <n v="3"/>
    <n v="1111.6589814177564"/>
    <n v="1.0219580000000001E-2"/>
    <x v="0"/>
    <n v="-47084.207000000002"/>
    <n v="357.57369999999997"/>
    <x v="1"/>
    <s v="Medium"/>
    <s v="Medium"/>
    <s v="July"/>
    <x v="6"/>
  </r>
  <r>
    <d v="2012-07-09T00:00:00"/>
    <x v="3"/>
    <x v="7"/>
    <n v="557770"/>
    <n v="650000"/>
    <x v="0"/>
    <x v="0"/>
    <x v="0"/>
    <n v="2"/>
    <n v="1036"/>
    <n v="1.0219580000000001E-2"/>
    <x v="3"/>
    <n v="92230"/>
    <n v="627.41309999999999"/>
    <x v="0"/>
    <s v="High"/>
    <s v="Medium"/>
    <s v="July"/>
    <x v="6"/>
  </r>
  <r>
    <d v="2012-07-12T00:00:00"/>
    <x v="3"/>
    <x v="6"/>
    <n v="155700"/>
    <n v="266000"/>
    <x v="0"/>
    <x v="0"/>
    <x v="0"/>
    <n v="3"/>
    <n v="919"/>
    <n v="1.0219580000000001E-2"/>
    <x v="1"/>
    <n v="110300"/>
    <n v="289.44499999999999"/>
    <x v="0"/>
    <s v="Medium"/>
    <s v="Medium"/>
    <s v="July"/>
    <x v="6"/>
  </r>
  <r>
    <d v="2012-07-13T00:00:00"/>
    <x v="3"/>
    <x v="1"/>
    <n v="297710"/>
    <n v="475000"/>
    <x v="0"/>
    <x v="0"/>
    <x v="0"/>
    <n v="3"/>
    <n v="1080"/>
    <n v="1.0219580000000001E-2"/>
    <x v="0"/>
    <n v="177290"/>
    <n v="439.81479999999999"/>
    <x v="0"/>
    <s v="Medium"/>
    <s v="Medium"/>
    <s v="July"/>
    <x v="6"/>
  </r>
  <r>
    <d v="2012-07-15T00:00:00"/>
    <x v="3"/>
    <x v="0"/>
    <n v="95570"/>
    <n v="104900"/>
    <x v="0"/>
    <x v="0"/>
    <x v="0"/>
    <n v="3"/>
    <n v="913"/>
    <n v="1.0219580000000001E-2"/>
    <x v="1"/>
    <n v="9330"/>
    <n v="114.8959"/>
    <x v="0"/>
    <s v="Low"/>
    <s v="Medium"/>
    <s v="July"/>
    <x v="6"/>
  </r>
  <r>
    <d v="2012-07-19T00:00:00"/>
    <x v="3"/>
    <x v="2"/>
    <n v="112900"/>
    <n v="80000"/>
    <x v="0"/>
    <x v="0"/>
    <x v="0"/>
    <n v="3"/>
    <n v="982"/>
    <n v="1.0219580000000001E-2"/>
    <x v="1"/>
    <n v="-32900"/>
    <n v="81.466399999999993"/>
    <x v="1"/>
    <s v="Low"/>
    <s v="Medium"/>
    <s v="July"/>
    <x v="6"/>
  </r>
  <r>
    <d v="2012-07-20T00:00:00"/>
    <x v="3"/>
    <x v="5"/>
    <n v="272400"/>
    <n v="361000"/>
    <x v="2"/>
    <x v="2"/>
    <x v="2"/>
    <n v="6"/>
    <n v="1111.6589814177564"/>
    <n v="1.0219580000000001E-2"/>
    <x v="1"/>
    <n v="88600"/>
    <n v="324.73989999999998"/>
    <x v="0"/>
    <s v="Medium"/>
    <s v="Medium"/>
    <s v="July"/>
    <x v="6"/>
  </r>
  <r>
    <d v="2012-07-21T00:00:00"/>
    <x v="3"/>
    <x v="6"/>
    <n v="167600"/>
    <n v="230000"/>
    <x v="0"/>
    <x v="0"/>
    <x v="0"/>
    <n v="3"/>
    <n v="903"/>
    <n v="1.0219580000000001E-2"/>
    <x v="3"/>
    <n v="62400"/>
    <n v="254.70650000000001"/>
    <x v="0"/>
    <s v="Medium"/>
    <s v="Medium"/>
    <s v="July"/>
    <x v="6"/>
  </r>
  <r>
    <d v="2012-07-22T00:00:00"/>
    <x v="3"/>
    <x v="1"/>
    <n v="200690"/>
    <n v="100000"/>
    <x v="0"/>
    <x v="0"/>
    <x v="0"/>
    <n v="3"/>
    <n v="921"/>
    <n v="1.0219580000000001E-2"/>
    <x v="2"/>
    <n v="-100690"/>
    <n v="108.5776"/>
    <x v="1"/>
    <s v="Low"/>
    <s v="Medium"/>
    <s v="July"/>
    <x v="6"/>
  </r>
  <r>
    <d v="2012-07-23T00:00:00"/>
    <x v="3"/>
    <x v="5"/>
    <n v="384860"/>
    <n v="405000"/>
    <x v="0"/>
    <x v="0"/>
    <x v="0"/>
    <n v="1"/>
    <n v="1111.6589814177564"/>
    <n v="1.0219580000000001E-2"/>
    <x v="0"/>
    <n v="20140"/>
    <n v="364.32040000000001"/>
    <x v="0"/>
    <s v="Medium"/>
    <s v="Medium"/>
    <s v="July"/>
    <x v="6"/>
  </r>
  <r>
    <d v="2012-07-27T00:00:00"/>
    <x v="3"/>
    <x v="4"/>
    <n v="405510"/>
    <n v="480000"/>
    <x v="0"/>
    <x v="0"/>
    <x v="0"/>
    <n v="1"/>
    <n v="1062"/>
    <n v="1.0219580000000001E-2"/>
    <x v="2"/>
    <n v="74490"/>
    <n v="451.97739999999999"/>
    <x v="0"/>
    <s v="Medium"/>
    <s v="Medium"/>
    <s v="July"/>
    <x v="6"/>
  </r>
  <r>
    <d v="2012-07-28T00:00:00"/>
    <x v="3"/>
    <x v="3"/>
    <n v="1411130"/>
    <n v="2350000"/>
    <x v="0"/>
    <x v="0"/>
    <x v="0"/>
    <n v="3"/>
    <n v="1111.6589814177564"/>
    <n v="1.0219580000000001E-2"/>
    <x v="3"/>
    <n v="938870"/>
    <n v="2113.9576000000002"/>
    <x v="0"/>
    <s v="High"/>
    <s v="Medium"/>
    <s v="July"/>
    <x v="6"/>
  </r>
  <r>
    <d v="2012-07-29T00:00:00"/>
    <x v="3"/>
    <x v="2"/>
    <n v="214100"/>
    <n v="85000"/>
    <x v="2"/>
    <x v="2"/>
    <x v="2"/>
    <n v="5"/>
    <n v="1874"/>
    <n v="1.0219580000000001E-2"/>
    <x v="1"/>
    <n v="-129100"/>
    <n v="45.357500000000002"/>
    <x v="1"/>
    <s v="Low"/>
    <s v="Large"/>
    <s v="July"/>
    <x v="6"/>
  </r>
  <r>
    <d v="2012-07-30T00:00:00"/>
    <x v="3"/>
    <x v="1"/>
    <n v="280714"/>
    <n v="366200"/>
    <x v="0"/>
    <x v="0"/>
    <x v="0"/>
    <n v="2"/>
    <n v="1076"/>
    <n v="1.0219580000000001E-2"/>
    <x v="3"/>
    <n v="85486"/>
    <n v="340.33460000000002"/>
    <x v="0"/>
    <s v="Medium"/>
    <s v="Medium"/>
    <s v="July"/>
    <x v="6"/>
  </r>
  <r>
    <d v="2012-08-02T00:00:00"/>
    <x v="3"/>
    <x v="0"/>
    <n v="444584.20699999999"/>
    <n v="74300"/>
    <x v="0"/>
    <x v="0"/>
    <x v="0"/>
    <n v="1"/>
    <n v="1015"/>
    <n v="1.0219580000000001E-2"/>
    <x v="3"/>
    <n v="-370284.20699999999"/>
    <n v="73.201999999999998"/>
    <x v="1"/>
    <s v="Low"/>
    <s v="Medium"/>
    <s v="August"/>
    <x v="7"/>
  </r>
  <r>
    <d v="2012-08-03T00:00:00"/>
    <x v="3"/>
    <x v="1"/>
    <n v="368410"/>
    <n v="575000"/>
    <x v="0"/>
    <x v="0"/>
    <x v="0"/>
    <n v="1"/>
    <n v="1032"/>
    <n v="1.0219580000000001E-2"/>
    <x v="0"/>
    <n v="206590"/>
    <n v="557.17049999999995"/>
    <x v="0"/>
    <s v="Medium"/>
    <s v="Medium"/>
    <s v="August"/>
    <x v="7"/>
  </r>
  <r>
    <d v="2012-08-04T00:00:00"/>
    <x v="3"/>
    <x v="4"/>
    <n v="392840"/>
    <n v="497500"/>
    <x v="0"/>
    <x v="0"/>
    <x v="0"/>
    <n v="1"/>
    <n v="1067"/>
    <n v="1.0219580000000001E-2"/>
    <x v="0"/>
    <n v="104660"/>
    <n v="466.26049999999998"/>
    <x v="0"/>
    <s v="Medium"/>
    <s v="Medium"/>
    <s v="August"/>
    <x v="7"/>
  </r>
  <r>
    <d v="2012-08-05T00:00:00"/>
    <x v="3"/>
    <x v="2"/>
    <n v="444584.20699999999"/>
    <n v="62500"/>
    <x v="1"/>
    <x v="1"/>
    <x v="1"/>
    <n v="4"/>
    <n v="1328"/>
    <n v="1.0219580000000001E-2"/>
    <x v="0"/>
    <n v="-382084.20699999999"/>
    <n v="47.063299999999998"/>
    <x v="1"/>
    <s v="Low"/>
    <s v="Large"/>
    <s v="August"/>
    <x v="7"/>
  </r>
  <r>
    <d v="2012-08-06T00:00:00"/>
    <x v="3"/>
    <x v="5"/>
    <n v="274890"/>
    <n v="315000"/>
    <x v="0"/>
    <x v="0"/>
    <x v="0"/>
    <n v="3"/>
    <n v="1086"/>
    <n v="1.0219580000000001E-2"/>
    <x v="2"/>
    <n v="40110"/>
    <n v="290.05520000000001"/>
    <x v="0"/>
    <s v="Medium"/>
    <s v="Medium"/>
    <s v="August"/>
    <x v="7"/>
  </r>
  <r>
    <d v="2012-08-09T00:00:00"/>
    <x v="3"/>
    <x v="4"/>
    <n v="444584.20699999999"/>
    <n v="430000"/>
    <x v="0"/>
    <x v="0"/>
    <x v="0"/>
    <n v="2"/>
    <n v="911"/>
    <n v="1.0219580000000001E-2"/>
    <x v="1"/>
    <n v="-14584.207"/>
    <n v="472.00880000000001"/>
    <x v="1"/>
    <s v="Medium"/>
    <s v="Medium"/>
    <s v="August"/>
    <x v="7"/>
  </r>
  <r>
    <d v="2012-08-10T00:00:00"/>
    <x v="3"/>
    <x v="0"/>
    <n v="114030"/>
    <n v="42000"/>
    <x v="3"/>
    <x v="3"/>
    <x v="3"/>
    <n v="8"/>
    <n v="2727"/>
    <n v="1.0219580000000001E-2"/>
    <x v="0"/>
    <n v="-72030"/>
    <n v="15.4015"/>
    <x v="1"/>
    <s v="Low"/>
    <s v="Large"/>
    <s v="August"/>
    <x v="7"/>
  </r>
  <r>
    <d v="2012-08-11T00:00:00"/>
    <x v="3"/>
    <x v="3"/>
    <n v="444584.20699999999"/>
    <n v="2890000"/>
    <x v="0"/>
    <x v="0"/>
    <x v="0"/>
    <n v="1"/>
    <n v="980"/>
    <n v="1.0219580000000001E-2"/>
    <x v="0"/>
    <n v="2445415.7930000001"/>
    <n v="2948.9796000000001"/>
    <x v="0"/>
    <s v="High"/>
    <s v="Medium"/>
    <s v="August"/>
    <x v="7"/>
  </r>
  <r>
    <d v="2012-08-12T00:00:00"/>
    <x v="3"/>
    <x v="3"/>
    <n v="900900"/>
    <n v="1270000"/>
    <x v="0"/>
    <x v="0"/>
    <x v="0"/>
    <n v="2"/>
    <n v="1057"/>
    <n v="1.0219580000000001E-2"/>
    <x v="2"/>
    <n v="369100"/>
    <n v="1201.5137"/>
    <x v="0"/>
    <s v="High"/>
    <s v="Medium"/>
    <s v="August"/>
    <x v="7"/>
  </r>
  <r>
    <d v="2012-08-13T00:00:00"/>
    <x v="3"/>
    <x v="4"/>
    <n v="302820"/>
    <n v="380000"/>
    <x v="0"/>
    <x v="0"/>
    <x v="0"/>
    <n v="2"/>
    <n v="954"/>
    <n v="1.0219580000000001E-2"/>
    <x v="2"/>
    <n v="77180"/>
    <n v="398.3229"/>
    <x v="0"/>
    <s v="Medium"/>
    <s v="Medium"/>
    <s v="August"/>
    <x v="7"/>
  </r>
  <r>
    <d v="2012-08-16T00:00:00"/>
    <x v="3"/>
    <x v="2"/>
    <n v="136350"/>
    <n v="38000"/>
    <x v="1"/>
    <x v="1"/>
    <x v="1"/>
    <n v="2"/>
    <n v="1111.6589814177564"/>
    <n v="1.0219580000000001E-2"/>
    <x v="2"/>
    <n v="-98350"/>
    <n v="34.183100000000003"/>
    <x v="1"/>
    <s v="Low"/>
    <s v="Medium"/>
    <s v="August"/>
    <x v="7"/>
  </r>
  <r>
    <d v="2012-08-17T00:00:00"/>
    <x v="3"/>
    <x v="3"/>
    <n v="1154720"/>
    <n v="1743000"/>
    <x v="0"/>
    <x v="0"/>
    <x v="0"/>
    <n v="3"/>
    <n v="1089"/>
    <n v="1.0219580000000001E-2"/>
    <x v="2"/>
    <n v="588280"/>
    <n v="1600.5509999999999"/>
    <x v="0"/>
    <s v="High"/>
    <s v="Medium"/>
    <s v="August"/>
    <x v="7"/>
  </r>
  <r>
    <d v="2012-08-18T00:00:00"/>
    <x v="3"/>
    <x v="2"/>
    <n v="126420"/>
    <n v="190000"/>
    <x v="0"/>
    <x v="0"/>
    <x v="0"/>
    <n v="1"/>
    <n v="1071"/>
    <n v="1.0219580000000001E-2"/>
    <x v="2"/>
    <n v="63580"/>
    <n v="177.40430000000001"/>
    <x v="0"/>
    <s v="Low"/>
    <s v="Medium"/>
    <s v="August"/>
    <x v="7"/>
  </r>
  <r>
    <d v="2012-08-19T00:00:00"/>
    <x v="3"/>
    <x v="2"/>
    <n v="124670"/>
    <n v="210000"/>
    <x v="0"/>
    <x v="0"/>
    <x v="0"/>
    <n v="2"/>
    <n v="963"/>
    <n v="1.0219580000000001E-2"/>
    <x v="3"/>
    <n v="85330"/>
    <n v="218.0685"/>
    <x v="0"/>
    <s v="Medium"/>
    <s v="Medium"/>
    <s v="August"/>
    <x v="7"/>
  </r>
  <r>
    <d v="2012-08-20T00:00:00"/>
    <x v="3"/>
    <x v="5"/>
    <n v="121420"/>
    <n v="250000"/>
    <x v="0"/>
    <x v="0"/>
    <x v="0"/>
    <n v="3"/>
    <n v="1021"/>
    <n v="1.0219580000000001E-2"/>
    <x v="2"/>
    <n v="128580"/>
    <n v="244.858"/>
    <x v="0"/>
    <s v="Medium"/>
    <s v="Medium"/>
    <s v="August"/>
    <x v="7"/>
  </r>
  <r>
    <d v="2012-08-24T00:00:00"/>
    <x v="3"/>
    <x v="0"/>
    <n v="127590"/>
    <n v="40000"/>
    <x v="2"/>
    <x v="2"/>
    <x v="2"/>
    <n v="4"/>
    <n v="1843"/>
    <n v="1.0219580000000001E-2"/>
    <x v="1"/>
    <n v="-87590"/>
    <n v="21.703700000000001"/>
    <x v="1"/>
    <s v="Low"/>
    <s v="Large"/>
    <s v="August"/>
    <x v="7"/>
  </r>
  <r>
    <d v="2012-08-25T00:00:00"/>
    <x v="3"/>
    <x v="0"/>
    <n v="444584.20699999999"/>
    <n v="158500"/>
    <x v="0"/>
    <x v="0"/>
    <x v="0"/>
    <n v="2"/>
    <n v="926"/>
    <n v="1.0219580000000001E-2"/>
    <x v="1"/>
    <n v="-286084.20699999999"/>
    <n v="171.16630000000001"/>
    <x v="1"/>
    <s v="Low"/>
    <s v="Medium"/>
    <s v="August"/>
    <x v="7"/>
  </r>
  <r>
    <d v="2012-08-26T00:00:00"/>
    <x v="3"/>
    <x v="1"/>
    <n v="356720"/>
    <n v="270000"/>
    <x v="1"/>
    <x v="1"/>
    <x v="1"/>
    <n v="4"/>
    <n v="1449"/>
    <n v="1.0219580000000001E-2"/>
    <x v="1"/>
    <n v="-86720"/>
    <n v="186.33539999999999"/>
    <x v="1"/>
    <s v="Medium"/>
    <s v="Large"/>
    <s v="August"/>
    <x v="7"/>
  </r>
  <r>
    <d v="2012-08-31T00:00:00"/>
    <x v="3"/>
    <x v="6"/>
    <n v="126700"/>
    <n v="206000"/>
    <x v="0"/>
    <x v="0"/>
    <x v="0"/>
    <n v="3"/>
    <n v="1057"/>
    <n v="1.0219580000000001E-2"/>
    <x v="2"/>
    <n v="79300"/>
    <n v="194.8912"/>
    <x v="0"/>
    <s v="Medium"/>
    <s v="Medium"/>
    <s v="August"/>
    <x v="7"/>
  </r>
  <r>
    <d v="2012-09-01T00:00:00"/>
    <x v="3"/>
    <x v="5"/>
    <n v="692020"/>
    <n v="450000"/>
    <x v="0"/>
    <x v="0"/>
    <x v="0"/>
    <n v="3"/>
    <n v="1048"/>
    <n v="1.0219580000000001E-2"/>
    <x v="1"/>
    <n v="-242020"/>
    <n v="429.38929999999999"/>
    <x v="1"/>
    <s v="Medium"/>
    <s v="Medium"/>
    <s v="September"/>
    <x v="8"/>
  </r>
  <r>
    <d v="2012-09-03T00:00:00"/>
    <x v="3"/>
    <x v="2"/>
    <n v="101180"/>
    <n v="45000"/>
    <x v="0"/>
    <x v="0"/>
    <x v="0"/>
    <n v="1"/>
    <n v="1082"/>
    <n v="1.0219580000000001E-2"/>
    <x v="3"/>
    <n v="-56180"/>
    <n v="41.589599999999997"/>
    <x v="1"/>
    <s v="Low"/>
    <s v="Medium"/>
    <s v="September"/>
    <x v="8"/>
  </r>
  <r>
    <d v="2012-09-07T00:00:00"/>
    <x v="3"/>
    <x v="7"/>
    <n v="439260"/>
    <n v="636500"/>
    <x v="0"/>
    <x v="0"/>
    <x v="0"/>
    <n v="1"/>
    <n v="950"/>
    <n v="1.0219580000000001E-2"/>
    <x v="0"/>
    <n v="197240"/>
    <n v="670"/>
    <x v="0"/>
    <s v="High"/>
    <s v="Medium"/>
    <s v="September"/>
    <x v="8"/>
  </r>
  <r>
    <d v="2012-09-09T00:00:00"/>
    <x v="3"/>
    <x v="0"/>
    <n v="156540"/>
    <n v="40000"/>
    <x v="3"/>
    <x v="3"/>
    <x v="3"/>
    <n v="8"/>
    <n v="1111.6589814177564"/>
    <n v="1.0219580000000001E-2"/>
    <x v="2"/>
    <n v="-116540"/>
    <n v="35.982300000000002"/>
    <x v="1"/>
    <s v="Low"/>
    <s v="Medium"/>
    <s v="September"/>
    <x v="8"/>
  </r>
  <r>
    <d v="2012-09-10T00:00:00"/>
    <x v="3"/>
    <x v="3"/>
    <n v="1194410"/>
    <n v="1495000"/>
    <x v="0"/>
    <x v="0"/>
    <x v="0"/>
    <n v="1"/>
    <n v="1085"/>
    <n v="1.0219580000000001E-2"/>
    <x v="0"/>
    <n v="300590"/>
    <n v="1377.8802000000001"/>
    <x v="0"/>
    <s v="High"/>
    <s v="Medium"/>
    <s v="September"/>
    <x v="8"/>
  </r>
  <r>
    <d v="2012-09-13T00:00:00"/>
    <x v="3"/>
    <x v="0"/>
    <n v="96610"/>
    <n v="40000"/>
    <x v="0"/>
    <x v="0"/>
    <x v="0"/>
    <n v="2"/>
    <n v="957"/>
    <n v="1.0219580000000001E-2"/>
    <x v="3"/>
    <n v="-56610"/>
    <n v="41.7973"/>
    <x v="1"/>
    <s v="Low"/>
    <s v="Medium"/>
    <s v="September"/>
    <x v="8"/>
  </r>
  <r>
    <d v="2012-09-15T00:00:00"/>
    <x v="3"/>
    <x v="4"/>
    <n v="225330"/>
    <n v="340000"/>
    <x v="0"/>
    <x v="0"/>
    <x v="0"/>
    <n v="1"/>
    <n v="947"/>
    <n v="1.0219580000000001E-2"/>
    <x v="1"/>
    <n v="114670"/>
    <n v="359.02850000000001"/>
    <x v="0"/>
    <s v="Medium"/>
    <s v="Medium"/>
    <s v="September"/>
    <x v="8"/>
  </r>
  <r>
    <d v="2012-09-16T00:00:00"/>
    <x v="3"/>
    <x v="3"/>
    <n v="440790"/>
    <n v="425000"/>
    <x v="0"/>
    <x v="0"/>
    <x v="0"/>
    <n v="3"/>
    <n v="956"/>
    <n v="1.0219580000000001E-2"/>
    <x v="1"/>
    <n v="-15790"/>
    <n v="444.5607"/>
    <x v="1"/>
    <s v="Medium"/>
    <s v="Medium"/>
    <s v="September"/>
    <x v="8"/>
  </r>
  <r>
    <d v="2012-09-17T00:00:00"/>
    <x v="3"/>
    <x v="3"/>
    <n v="673260"/>
    <n v="700000"/>
    <x v="0"/>
    <x v="0"/>
    <x v="0"/>
    <n v="2"/>
    <n v="949"/>
    <n v="1.0219580000000001E-2"/>
    <x v="0"/>
    <n v="26740"/>
    <n v="737.61850000000004"/>
    <x v="0"/>
    <s v="High"/>
    <s v="Medium"/>
    <s v="September"/>
    <x v="8"/>
  </r>
  <r>
    <d v="2012-09-20T00:00:00"/>
    <x v="3"/>
    <x v="7"/>
    <n v="518800"/>
    <n v="685000"/>
    <x v="0"/>
    <x v="0"/>
    <x v="0"/>
    <n v="2"/>
    <n v="989"/>
    <n v="1.0219580000000001E-2"/>
    <x v="0"/>
    <n v="166200"/>
    <n v="692.61879999999996"/>
    <x v="0"/>
    <s v="High"/>
    <s v="Medium"/>
    <s v="September"/>
    <x v="8"/>
  </r>
  <r>
    <d v="2012-09-21T00:00:00"/>
    <x v="3"/>
    <x v="2"/>
    <n v="122650"/>
    <n v="193000"/>
    <x v="0"/>
    <x v="0"/>
    <x v="0"/>
    <n v="2"/>
    <n v="1111.6589814177564"/>
    <n v="1.0219580000000001E-2"/>
    <x v="3"/>
    <n v="70350"/>
    <n v="173.61439999999999"/>
    <x v="0"/>
    <s v="Low"/>
    <s v="Medium"/>
    <s v="September"/>
    <x v="8"/>
  </r>
  <r>
    <d v="2012-09-23T00:00:00"/>
    <x v="3"/>
    <x v="4"/>
    <n v="376180"/>
    <n v="450000"/>
    <x v="0"/>
    <x v="0"/>
    <x v="0"/>
    <n v="1"/>
    <n v="963"/>
    <n v="1.0219580000000001E-2"/>
    <x v="0"/>
    <n v="73820"/>
    <n v="467.28969999999998"/>
    <x v="0"/>
    <s v="Medium"/>
    <s v="Medium"/>
    <s v="September"/>
    <x v="8"/>
  </r>
  <r>
    <d v="2012-09-24T00:00:00"/>
    <x v="3"/>
    <x v="7"/>
    <n v="676240"/>
    <n v="735000"/>
    <x v="0"/>
    <x v="0"/>
    <x v="0"/>
    <n v="1"/>
    <n v="931"/>
    <n v="1.0219580000000001E-2"/>
    <x v="2"/>
    <n v="58760"/>
    <n v="789.47370000000001"/>
    <x v="0"/>
    <s v="High"/>
    <s v="Medium"/>
    <s v="September"/>
    <x v="8"/>
  </r>
  <r>
    <d v="2012-09-28T00:00:00"/>
    <x v="3"/>
    <x v="4"/>
    <n v="427910"/>
    <n v="407000"/>
    <x v="0"/>
    <x v="0"/>
    <x v="0"/>
    <n v="3"/>
    <n v="976"/>
    <n v="1.0219580000000001E-2"/>
    <x v="0"/>
    <n v="-20910"/>
    <n v="417.00819999999999"/>
    <x v="1"/>
    <s v="Medium"/>
    <s v="Medium"/>
    <s v="September"/>
    <x v="8"/>
  </r>
  <r>
    <d v="2012-09-29T00:00:00"/>
    <x v="3"/>
    <x v="1"/>
    <n v="305900"/>
    <n v="420000"/>
    <x v="0"/>
    <x v="0"/>
    <x v="0"/>
    <n v="3"/>
    <n v="931"/>
    <n v="1.0219580000000001E-2"/>
    <x v="1"/>
    <n v="114100"/>
    <n v="451.12779999999998"/>
    <x v="0"/>
    <s v="Medium"/>
    <s v="Medium"/>
    <s v="September"/>
    <x v="8"/>
  </r>
  <r>
    <d v="2012-09-30T00:00:00"/>
    <x v="3"/>
    <x v="5"/>
    <n v="178800"/>
    <n v="255000"/>
    <x v="0"/>
    <x v="0"/>
    <x v="0"/>
    <n v="1"/>
    <n v="1002"/>
    <n v="1.0219580000000001E-2"/>
    <x v="2"/>
    <n v="76200"/>
    <n v="254.49100000000001"/>
    <x v="0"/>
    <s v="Medium"/>
    <s v="Medium"/>
    <s v="September"/>
    <x v="8"/>
  </r>
  <r>
    <d v="2012-10-01T00:00:00"/>
    <x v="3"/>
    <x v="0"/>
    <n v="95290"/>
    <n v="136500"/>
    <x v="0"/>
    <x v="0"/>
    <x v="0"/>
    <n v="3"/>
    <n v="1073"/>
    <n v="1.0219580000000001E-2"/>
    <x v="0"/>
    <n v="41210"/>
    <n v="127.21339999999999"/>
    <x v="0"/>
    <s v="Low"/>
    <s v="Medium"/>
    <s v="October"/>
    <x v="9"/>
  </r>
  <r>
    <d v="2012-10-04T00:00:00"/>
    <x v="3"/>
    <x v="2"/>
    <n v="444584.20699999999"/>
    <n v="186000"/>
    <x v="0"/>
    <x v="0"/>
    <x v="0"/>
    <n v="2"/>
    <n v="1035"/>
    <n v="1.0219580000000001E-2"/>
    <x v="3"/>
    <n v="-258584.20699999999"/>
    <n v="179.71010000000001"/>
    <x v="1"/>
    <s v="Low"/>
    <s v="Medium"/>
    <s v="October"/>
    <x v="9"/>
  </r>
  <r>
    <d v="2012-10-06T00:00:00"/>
    <x v="3"/>
    <x v="2"/>
    <n v="267110"/>
    <n v="250000"/>
    <x v="3"/>
    <x v="3"/>
    <x v="3"/>
    <n v="6"/>
    <n v="2821"/>
    <n v="1.0219580000000001E-2"/>
    <x v="2"/>
    <n v="-17110"/>
    <n v="88.621099999999998"/>
    <x v="1"/>
    <s v="Medium"/>
    <s v="Large"/>
    <s v="October"/>
    <x v="9"/>
  </r>
  <r>
    <d v="2012-10-07T00:00:00"/>
    <x v="3"/>
    <x v="0"/>
    <n v="138290"/>
    <n v="30000"/>
    <x v="2"/>
    <x v="2"/>
    <x v="2"/>
    <n v="5"/>
    <n v="1111.6589814177564"/>
    <n v="1.0219580000000001E-2"/>
    <x v="2"/>
    <n v="-108290"/>
    <n v="26.986699999999999"/>
    <x v="1"/>
    <s v="Low"/>
    <s v="Medium"/>
    <s v="October"/>
    <x v="9"/>
  </r>
  <r>
    <d v="2012-10-08T00:00:00"/>
    <x v="3"/>
    <x v="0"/>
    <n v="91100"/>
    <n v="130000"/>
    <x v="0"/>
    <x v="0"/>
    <x v="0"/>
    <n v="2"/>
    <n v="1061"/>
    <n v="1.0219580000000001E-2"/>
    <x v="1"/>
    <n v="38900"/>
    <n v="122.52589999999999"/>
    <x v="0"/>
    <s v="Low"/>
    <s v="Medium"/>
    <s v="October"/>
    <x v="9"/>
  </r>
  <r>
    <d v="2012-10-12T00:00:00"/>
    <x v="3"/>
    <x v="6"/>
    <n v="239700"/>
    <n v="187500"/>
    <x v="0"/>
    <x v="0"/>
    <x v="0"/>
    <n v="2"/>
    <n v="983"/>
    <n v="1.0219580000000001E-2"/>
    <x v="1"/>
    <n v="-52200"/>
    <n v="190.74260000000001"/>
    <x v="1"/>
    <s v="Low"/>
    <s v="Medium"/>
    <s v="October"/>
    <x v="9"/>
  </r>
  <r>
    <d v="2012-10-14T00:00:00"/>
    <x v="3"/>
    <x v="0"/>
    <n v="131890"/>
    <n v="25000"/>
    <x v="2"/>
    <x v="2"/>
    <x v="2"/>
    <n v="5"/>
    <n v="1985"/>
    <n v="1.0219580000000001E-2"/>
    <x v="0"/>
    <n v="-106890"/>
    <n v="12.5945"/>
    <x v="1"/>
    <s v="Low"/>
    <s v="Large"/>
    <s v="October"/>
    <x v="9"/>
  </r>
  <r>
    <d v="2012-10-19T00:00:00"/>
    <x v="3"/>
    <x v="6"/>
    <n v="262700"/>
    <n v="330000"/>
    <x v="0"/>
    <x v="0"/>
    <x v="0"/>
    <n v="3"/>
    <n v="1064"/>
    <n v="1.0219580000000001E-2"/>
    <x v="3"/>
    <n v="67300"/>
    <n v="310.15039999999999"/>
    <x v="0"/>
    <s v="Medium"/>
    <s v="Medium"/>
    <s v="October"/>
    <x v="9"/>
  </r>
  <r>
    <d v="2012-10-20T00:00:00"/>
    <x v="3"/>
    <x v="6"/>
    <n v="261900"/>
    <n v="376000"/>
    <x v="0"/>
    <x v="0"/>
    <x v="0"/>
    <n v="3"/>
    <n v="978"/>
    <n v="1.0219580000000001E-2"/>
    <x v="0"/>
    <n v="114100"/>
    <n v="384.4581"/>
    <x v="0"/>
    <s v="Medium"/>
    <s v="Medium"/>
    <s v="October"/>
    <x v="9"/>
  </r>
  <r>
    <d v="2012-10-21T00:00:00"/>
    <x v="3"/>
    <x v="7"/>
    <n v="381900"/>
    <n v="340000"/>
    <x v="0"/>
    <x v="0"/>
    <x v="0"/>
    <n v="3"/>
    <n v="905"/>
    <n v="1.0219580000000001E-2"/>
    <x v="3"/>
    <n v="-41900"/>
    <n v="375.69060000000002"/>
    <x v="1"/>
    <s v="Medium"/>
    <s v="Medium"/>
    <s v="October"/>
    <x v="9"/>
  </r>
  <r>
    <d v="2012-10-22T00:00:00"/>
    <x v="3"/>
    <x v="7"/>
    <n v="467790"/>
    <n v="530000"/>
    <x v="0"/>
    <x v="0"/>
    <x v="0"/>
    <n v="1"/>
    <n v="1111.6589814177564"/>
    <n v="1.0219580000000001E-2"/>
    <x v="2"/>
    <n v="62210"/>
    <n v="476.76490000000001"/>
    <x v="0"/>
    <s v="Medium"/>
    <s v="Medium"/>
    <s v="October"/>
    <x v="9"/>
  </r>
  <r>
    <d v="2012-10-25T00:00:00"/>
    <x v="3"/>
    <x v="6"/>
    <n v="444584.20699999999"/>
    <n v="274900"/>
    <x v="0"/>
    <x v="0"/>
    <x v="0"/>
    <n v="3"/>
    <n v="1043"/>
    <n v="1.0219580000000001E-2"/>
    <x v="0"/>
    <n v="-169684.20699999999"/>
    <n v="263.56659999999999"/>
    <x v="1"/>
    <s v="Medium"/>
    <s v="Medium"/>
    <s v="October"/>
    <x v="9"/>
  </r>
  <r>
    <d v="2012-10-26T00:00:00"/>
    <x v="3"/>
    <x v="6"/>
    <n v="254000"/>
    <n v="335000"/>
    <x v="0"/>
    <x v="0"/>
    <x v="0"/>
    <n v="1"/>
    <n v="1002"/>
    <n v="1.0219580000000001E-2"/>
    <x v="2"/>
    <n v="81000"/>
    <n v="334.3313"/>
    <x v="0"/>
    <s v="Medium"/>
    <s v="Medium"/>
    <s v="October"/>
    <x v="9"/>
  </r>
  <r>
    <d v="2012-10-27T00:00:00"/>
    <x v="3"/>
    <x v="2"/>
    <n v="130190"/>
    <n v="18400"/>
    <x v="0"/>
    <x v="0"/>
    <x v="0"/>
    <n v="3"/>
    <n v="1024"/>
    <n v="1.0219580000000001E-2"/>
    <x v="1"/>
    <n v="-111790"/>
    <n v="17.968800000000002"/>
    <x v="1"/>
    <s v="Low"/>
    <s v="Medium"/>
    <s v="October"/>
    <x v="9"/>
  </r>
  <r>
    <d v="2012-10-28T00:00:00"/>
    <x v="3"/>
    <x v="2"/>
    <n v="117630"/>
    <n v="30000"/>
    <x v="0"/>
    <x v="0"/>
    <x v="0"/>
    <n v="2"/>
    <n v="1111.6589814177564"/>
    <n v="1.0219580000000001E-2"/>
    <x v="0"/>
    <n v="-87630"/>
    <n v="26.986699999999999"/>
    <x v="1"/>
    <s v="Low"/>
    <s v="Medium"/>
    <s v="October"/>
    <x v="9"/>
  </r>
  <r>
    <d v="2012-10-29T00:00:00"/>
    <x v="3"/>
    <x v="7"/>
    <n v="373850"/>
    <n v="399000"/>
    <x v="0"/>
    <x v="0"/>
    <x v="0"/>
    <n v="2"/>
    <n v="933"/>
    <n v="1.0219580000000001E-2"/>
    <x v="2"/>
    <n v="25150"/>
    <n v="427.65269999999998"/>
    <x v="0"/>
    <s v="Medium"/>
    <s v="Medium"/>
    <s v="October"/>
    <x v="9"/>
  </r>
  <r>
    <d v="2012-11-01T00:00:00"/>
    <x v="3"/>
    <x v="7"/>
    <n v="512290"/>
    <n v="525000"/>
    <x v="2"/>
    <x v="2"/>
    <x v="2"/>
    <n v="4"/>
    <n v="1889"/>
    <n v="1.0219580000000001E-2"/>
    <x v="2"/>
    <n v="12710"/>
    <n v="277.9248"/>
    <x v="0"/>
    <s v="Medium"/>
    <s v="Large"/>
    <s v="November"/>
    <x v="10"/>
  </r>
  <r>
    <d v="2012-11-02T00:00:00"/>
    <x v="3"/>
    <x v="2"/>
    <n v="444584.20699999999"/>
    <n v="184000"/>
    <x v="0"/>
    <x v="0"/>
    <x v="0"/>
    <n v="2"/>
    <n v="1014"/>
    <n v="1.0219580000000001E-2"/>
    <x v="3"/>
    <n v="-260584.20699999999"/>
    <n v="181.45959999999999"/>
    <x v="1"/>
    <s v="Low"/>
    <s v="Medium"/>
    <s v="November"/>
    <x v="10"/>
  </r>
  <r>
    <d v="2012-11-03T00:00:00"/>
    <x v="3"/>
    <x v="0"/>
    <n v="112340"/>
    <n v="115000"/>
    <x v="0"/>
    <x v="0"/>
    <x v="0"/>
    <n v="3"/>
    <n v="1111.6589814177564"/>
    <n v="1.0219580000000001E-2"/>
    <x v="2"/>
    <n v="2660"/>
    <n v="103.449"/>
    <x v="0"/>
    <s v="Low"/>
    <s v="Medium"/>
    <s v="November"/>
    <x v="10"/>
  </r>
  <r>
    <d v="2012-11-04T00:00:00"/>
    <x v="3"/>
    <x v="1"/>
    <n v="585900"/>
    <n v="715000"/>
    <x v="0"/>
    <x v="0"/>
    <x v="0"/>
    <n v="1"/>
    <n v="1047"/>
    <n v="1.0219580000000001E-2"/>
    <x v="0"/>
    <n v="129100"/>
    <n v="682.90350000000001"/>
    <x v="0"/>
    <s v="High"/>
    <s v="Medium"/>
    <s v="November"/>
    <x v="10"/>
  </r>
  <r>
    <d v="2012-11-08T00:00:00"/>
    <x v="3"/>
    <x v="1"/>
    <n v="351820"/>
    <n v="242500"/>
    <x v="0"/>
    <x v="0"/>
    <x v="0"/>
    <n v="1"/>
    <n v="986"/>
    <n v="1.0219580000000001E-2"/>
    <x v="3"/>
    <n v="-109320"/>
    <n v="245.94319999999999"/>
    <x v="1"/>
    <s v="Medium"/>
    <s v="Medium"/>
    <s v="November"/>
    <x v="10"/>
  </r>
  <r>
    <d v="2012-11-10T00:00:00"/>
    <x v="3"/>
    <x v="0"/>
    <n v="96530"/>
    <n v="85000"/>
    <x v="0"/>
    <x v="0"/>
    <x v="0"/>
    <n v="3"/>
    <n v="1067"/>
    <n v="1.0219580000000001E-2"/>
    <x v="1"/>
    <n v="-11530"/>
    <n v="79.662599999999998"/>
    <x v="1"/>
    <s v="Low"/>
    <s v="Medium"/>
    <s v="November"/>
    <x v="10"/>
  </r>
  <r>
    <d v="2012-11-12T00:00:00"/>
    <x v="3"/>
    <x v="1"/>
    <n v="282520"/>
    <n v="359900"/>
    <x v="0"/>
    <x v="0"/>
    <x v="0"/>
    <n v="2"/>
    <n v="1055"/>
    <n v="1.0219580000000001E-2"/>
    <x v="0"/>
    <n v="77380"/>
    <n v="341.13740000000001"/>
    <x v="0"/>
    <s v="Medium"/>
    <s v="Medium"/>
    <s v="November"/>
    <x v="10"/>
  </r>
  <r>
    <d v="2012-11-16T00:00:00"/>
    <x v="3"/>
    <x v="6"/>
    <n v="444584.20699999999"/>
    <n v="400000"/>
    <x v="0"/>
    <x v="0"/>
    <x v="0"/>
    <n v="1"/>
    <n v="1095"/>
    <n v="1.0219580000000001E-2"/>
    <x v="0"/>
    <n v="-44584.207000000002"/>
    <n v="365.29680000000002"/>
    <x v="1"/>
    <s v="Medium"/>
    <s v="Medium"/>
    <s v="November"/>
    <x v="10"/>
  </r>
  <r>
    <d v="2012-11-17T00:00:00"/>
    <x v="3"/>
    <x v="7"/>
    <n v="287470"/>
    <n v="330000"/>
    <x v="0"/>
    <x v="0"/>
    <x v="0"/>
    <n v="1"/>
    <n v="958"/>
    <n v="1.0219580000000001E-2"/>
    <x v="2"/>
    <n v="42530"/>
    <n v="344.4676"/>
    <x v="0"/>
    <s v="Medium"/>
    <s v="Medium"/>
    <s v="November"/>
    <x v="10"/>
  </r>
  <r>
    <d v="2012-11-18T00:00:00"/>
    <x v="3"/>
    <x v="2"/>
    <n v="175940"/>
    <n v="165000"/>
    <x v="1"/>
    <x v="1"/>
    <x v="1"/>
    <n v="3"/>
    <n v="1284"/>
    <n v="1.0219580000000001E-2"/>
    <x v="2"/>
    <n v="-10940"/>
    <n v="128.50470000000001"/>
    <x v="1"/>
    <s v="Low"/>
    <s v="Medium"/>
    <s v="November"/>
    <x v="10"/>
  </r>
  <r>
    <d v="2012-11-20T00:00:00"/>
    <x v="3"/>
    <x v="5"/>
    <n v="168540"/>
    <n v="76000"/>
    <x v="2"/>
    <x v="2"/>
    <x v="2"/>
    <n v="5"/>
    <n v="2100"/>
    <n v="1.0219580000000001E-2"/>
    <x v="3"/>
    <n v="-92540"/>
    <n v="36.1905"/>
    <x v="1"/>
    <s v="Low"/>
    <s v="Large"/>
    <s v="November"/>
    <x v="10"/>
  </r>
  <r>
    <d v="2012-11-22T00:00:00"/>
    <x v="3"/>
    <x v="5"/>
    <n v="347550"/>
    <n v="449000"/>
    <x v="1"/>
    <x v="1"/>
    <x v="1"/>
    <n v="4"/>
    <n v="1320"/>
    <n v="1.0219580000000001E-2"/>
    <x v="0"/>
    <n v="101450"/>
    <n v="340.1515"/>
    <x v="0"/>
    <s v="Medium"/>
    <s v="Large"/>
    <s v="November"/>
    <x v="10"/>
  </r>
  <r>
    <d v="2012-11-23T00:00:00"/>
    <x v="3"/>
    <x v="0"/>
    <n v="89510"/>
    <n v="106000"/>
    <x v="0"/>
    <x v="0"/>
    <x v="0"/>
    <n v="2"/>
    <n v="1093"/>
    <n v="1.0219580000000001E-2"/>
    <x v="2"/>
    <n v="16490"/>
    <n v="96.980800000000002"/>
    <x v="0"/>
    <s v="Low"/>
    <s v="Medium"/>
    <s v="November"/>
    <x v="10"/>
  </r>
  <r>
    <d v="2012-11-24T00:00:00"/>
    <x v="3"/>
    <x v="5"/>
    <n v="129640"/>
    <n v="25000"/>
    <x v="2"/>
    <x v="2"/>
    <x v="2"/>
    <n v="6"/>
    <n v="1965"/>
    <n v="1.0219580000000001E-2"/>
    <x v="1"/>
    <n v="-104640"/>
    <n v="12.7226"/>
    <x v="1"/>
    <s v="Low"/>
    <s v="Large"/>
    <s v="November"/>
    <x v="10"/>
  </r>
  <r>
    <d v="2012-11-29T00:00:00"/>
    <x v="3"/>
    <x v="2"/>
    <n v="159720"/>
    <n v="205000"/>
    <x v="0"/>
    <x v="0"/>
    <x v="0"/>
    <n v="2"/>
    <n v="965"/>
    <n v="1.0219580000000001E-2"/>
    <x v="0"/>
    <n v="45280"/>
    <n v="212.43520000000001"/>
    <x v="0"/>
    <s v="Medium"/>
    <s v="Medium"/>
    <s v="November"/>
    <x v="10"/>
  </r>
  <r>
    <d v="2012-11-30T00:00:00"/>
    <x v="3"/>
    <x v="6"/>
    <n v="158700"/>
    <n v="255000"/>
    <x v="0"/>
    <x v="0"/>
    <x v="0"/>
    <n v="2"/>
    <n v="960"/>
    <n v="1.0219580000000001E-2"/>
    <x v="2"/>
    <n v="96300"/>
    <n v="265.625"/>
    <x v="0"/>
    <s v="Medium"/>
    <s v="Medium"/>
    <s v="November"/>
    <x v="10"/>
  </r>
  <r>
    <d v="2012-12-02T00:00:00"/>
    <x v="3"/>
    <x v="1"/>
    <n v="444584.20699999999"/>
    <n v="509000"/>
    <x v="0"/>
    <x v="0"/>
    <x v="0"/>
    <n v="1"/>
    <n v="952"/>
    <n v="1.0219580000000001E-2"/>
    <x v="3"/>
    <n v="64415.792999999998"/>
    <n v="534.66390000000001"/>
    <x v="0"/>
    <s v="Medium"/>
    <s v="Medium"/>
    <s v="December"/>
    <x v="11"/>
  </r>
  <r>
    <d v="2012-12-03T00:00:00"/>
    <x v="3"/>
    <x v="1"/>
    <n v="296170"/>
    <n v="250000"/>
    <x v="0"/>
    <x v="0"/>
    <x v="0"/>
    <n v="2"/>
    <n v="1079"/>
    <n v="1.0219580000000001E-2"/>
    <x v="3"/>
    <n v="-46170"/>
    <n v="231.696"/>
    <x v="1"/>
    <s v="Medium"/>
    <s v="Medium"/>
    <s v="December"/>
    <x v="11"/>
  </r>
  <r>
    <d v="2012-12-06T00:00:00"/>
    <x v="3"/>
    <x v="5"/>
    <n v="380300"/>
    <n v="524000"/>
    <x v="0"/>
    <x v="0"/>
    <x v="0"/>
    <n v="2"/>
    <n v="1084"/>
    <n v="1.0219580000000001E-2"/>
    <x v="0"/>
    <n v="143700"/>
    <n v="483.39479999999998"/>
    <x v="0"/>
    <s v="Medium"/>
    <s v="Medium"/>
    <s v="December"/>
    <x v="11"/>
  </r>
  <r>
    <d v="2012-12-08T00:00:00"/>
    <x v="3"/>
    <x v="5"/>
    <n v="201320"/>
    <n v="175000"/>
    <x v="0"/>
    <x v="0"/>
    <x v="0"/>
    <n v="2"/>
    <n v="1011"/>
    <n v="1.0219580000000001E-2"/>
    <x v="0"/>
    <n v="-26320"/>
    <n v="173.0959"/>
    <x v="1"/>
    <s v="Low"/>
    <s v="Medium"/>
    <s v="December"/>
    <x v="11"/>
  </r>
  <r>
    <d v="2012-12-09T00:00:00"/>
    <x v="3"/>
    <x v="2"/>
    <n v="128020"/>
    <n v="119900"/>
    <x v="0"/>
    <x v="0"/>
    <x v="0"/>
    <n v="1"/>
    <n v="943"/>
    <n v="1.0219580000000001E-2"/>
    <x v="2"/>
    <n v="-8120"/>
    <n v="127.1474"/>
    <x v="1"/>
    <s v="Low"/>
    <s v="Medium"/>
    <s v="December"/>
    <x v="11"/>
  </r>
  <r>
    <d v="2012-12-10T00:00:00"/>
    <x v="3"/>
    <x v="0"/>
    <n v="184290"/>
    <n v="110750"/>
    <x v="2"/>
    <x v="2"/>
    <x v="2"/>
    <n v="5"/>
    <n v="2194"/>
    <n v="1.0219580000000001E-2"/>
    <x v="1"/>
    <n v="-73540"/>
    <n v="50.4786"/>
    <x v="1"/>
    <s v="Low"/>
    <s v="Large"/>
    <s v="December"/>
    <x v="11"/>
  </r>
  <r>
    <d v="2012-12-13T00:00:00"/>
    <x v="3"/>
    <x v="7"/>
    <n v="301480"/>
    <n v="281000"/>
    <x v="0"/>
    <x v="0"/>
    <x v="0"/>
    <n v="1"/>
    <n v="910"/>
    <n v="1.0219580000000001E-2"/>
    <x v="2"/>
    <n v="-20480"/>
    <n v="308.7912"/>
    <x v="1"/>
    <s v="Medium"/>
    <s v="Medium"/>
    <s v="December"/>
    <x v="11"/>
  </r>
  <r>
    <d v="2012-12-14T00:00:00"/>
    <x v="3"/>
    <x v="2"/>
    <n v="108260"/>
    <n v="75000"/>
    <x v="0"/>
    <x v="0"/>
    <x v="0"/>
    <n v="2"/>
    <n v="926"/>
    <n v="1.0219580000000001E-2"/>
    <x v="3"/>
    <n v="-33260"/>
    <n v="80.993499999999997"/>
    <x v="1"/>
    <s v="Low"/>
    <s v="Medium"/>
    <s v="December"/>
    <x v="11"/>
  </r>
  <r>
    <d v="2012-12-15T00:00:00"/>
    <x v="3"/>
    <x v="2"/>
    <n v="160000"/>
    <n v="101000"/>
    <x v="1"/>
    <x v="1"/>
    <x v="1"/>
    <n v="4"/>
    <n v="1382"/>
    <n v="1.0219580000000001E-2"/>
    <x v="2"/>
    <n v="-59000"/>
    <n v="73.082499999999996"/>
    <x v="1"/>
    <s v="Low"/>
    <s v="Large"/>
    <s v="December"/>
    <x v="11"/>
  </r>
  <r>
    <d v="2012-12-16T00:00:00"/>
    <x v="3"/>
    <x v="2"/>
    <n v="150640"/>
    <n v="165000"/>
    <x v="0"/>
    <x v="0"/>
    <x v="0"/>
    <n v="1"/>
    <n v="946"/>
    <n v="1.0219580000000001E-2"/>
    <x v="0"/>
    <n v="14360"/>
    <n v="174.4186"/>
    <x v="0"/>
    <s v="Low"/>
    <s v="Medium"/>
    <s v="December"/>
    <x v="11"/>
  </r>
  <r>
    <d v="2012-12-17T00:00:00"/>
    <x v="3"/>
    <x v="7"/>
    <n v="392090"/>
    <n v="270000"/>
    <x v="1"/>
    <x v="1"/>
    <x v="1"/>
    <n v="3"/>
    <n v="1368"/>
    <n v="1.0219580000000001E-2"/>
    <x v="0"/>
    <n v="-122090"/>
    <n v="197.36840000000001"/>
    <x v="1"/>
    <s v="Medium"/>
    <s v="Large"/>
    <s v="December"/>
    <x v="11"/>
  </r>
  <r>
    <d v="2012-12-20T00:00:00"/>
    <x v="3"/>
    <x v="2"/>
    <n v="176640"/>
    <n v="76000"/>
    <x v="2"/>
    <x v="2"/>
    <x v="2"/>
    <n v="4"/>
    <n v="2189"/>
    <n v="1.0219580000000001E-2"/>
    <x v="3"/>
    <n v="-100640"/>
    <n v="34.719000000000001"/>
    <x v="1"/>
    <s v="Low"/>
    <s v="Large"/>
    <s v="December"/>
    <x v="11"/>
  </r>
  <r>
    <d v="2012-12-22T00:00:00"/>
    <x v="3"/>
    <x v="2"/>
    <n v="130410"/>
    <n v="129000"/>
    <x v="0"/>
    <x v="0"/>
    <x v="0"/>
    <n v="1"/>
    <n v="1045"/>
    <n v="1.0219580000000001E-2"/>
    <x v="2"/>
    <n v="-1410"/>
    <n v="123.44499999999999"/>
    <x v="1"/>
    <s v="Low"/>
    <s v="Medium"/>
    <s v="December"/>
    <x v="11"/>
  </r>
  <r>
    <d v="2012-12-23T00:00:00"/>
    <x v="3"/>
    <x v="2"/>
    <n v="202080"/>
    <n v="185000"/>
    <x v="1"/>
    <x v="1"/>
    <x v="1"/>
    <n v="4"/>
    <n v="1221"/>
    <n v="1.0219580000000001E-2"/>
    <x v="2"/>
    <n v="-17080"/>
    <n v="151.51519999999999"/>
    <x v="1"/>
    <s v="Low"/>
    <s v="Medium"/>
    <s v="December"/>
    <x v="11"/>
  </r>
  <r>
    <d v="2012-12-27T00:00:00"/>
    <x v="3"/>
    <x v="6"/>
    <n v="283700"/>
    <n v="365000"/>
    <x v="2"/>
    <x v="2"/>
    <x v="2"/>
    <n v="6"/>
    <n v="2009"/>
    <n v="1.0219580000000001E-2"/>
    <x v="1"/>
    <n v="81300"/>
    <n v="181.6824"/>
    <x v="0"/>
    <s v="Medium"/>
    <s v="Large"/>
    <s v="December"/>
    <x v="11"/>
  </r>
  <r>
    <d v="2012-12-28T00:00:00"/>
    <x v="3"/>
    <x v="7"/>
    <n v="451240"/>
    <n v="532500"/>
    <x v="0"/>
    <x v="0"/>
    <x v="0"/>
    <n v="3"/>
    <n v="1111.6589814177564"/>
    <n v="1.0219580000000001E-2"/>
    <x v="3"/>
    <n v="81260"/>
    <n v="479.0138"/>
    <x v="0"/>
    <s v="Medium"/>
    <s v="Medium"/>
    <s v="December"/>
    <x v="11"/>
  </r>
  <r>
    <d v="2012-12-30T00:00:00"/>
    <x v="3"/>
    <x v="2"/>
    <n v="95460"/>
    <n v="50000"/>
    <x v="0"/>
    <x v="0"/>
    <x v="0"/>
    <n v="1"/>
    <n v="1002"/>
    <n v="1.0219580000000001E-2"/>
    <x v="2"/>
    <n v="-45460"/>
    <n v="49.900199999999998"/>
    <x v="1"/>
    <s v="Low"/>
    <s v="Medium"/>
    <s v="December"/>
    <x v="11"/>
  </r>
  <r>
    <d v="2013-01-03T00:00:00"/>
    <x v="4"/>
    <x v="5"/>
    <n v="151890"/>
    <n v="92500"/>
    <x v="1"/>
    <x v="1"/>
    <x v="1"/>
    <n v="3"/>
    <n v="1395"/>
    <n v="1.020333E-2"/>
    <x v="3"/>
    <n v="-59390"/>
    <n v="66.308199999999999"/>
    <x v="1"/>
    <s v="Low"/>
    <s v="Large"/>
    <s v="January"/>
    <x v="0"/>
  </r>
  <r>
    <d v="2013-01-04T00:00:00"/>
    <x v="4"/>
    <x v="7"/>
    <n v="740800"/>
    <n v="920000"/>
    <x v="0"/>
    <x v="0"/>
    <x v="0"/>
    <n v="2"/>
    <n v="1111.6589814177564"/>
    <n v="1.020333E-2"/>
    <x v="0"/>
    <n v="179200"/>
    <n v="827.59190000000001"/>
    <x v="0"/>
    <s v="High"/>
    <s v="Medium"/>
    <s v="January"/>
    <x v="0"/>
  </r>
  <r>
    <d v="2013-01-05T00:00:00"/>
    <x v="4"/>
    <x v="6"/>
    <n v="165300"/>
    <n v="250000"/>
    <x v="0"/>
    <x v="0"/>
    <x v="0"/>
    <n v="2"/>
    <n v="948"/>
    <n v="1.020333E-2"/>
    <x v="2"/>
    <n v="84700"/>
    <n v="263.7131"/>
    <x v="0"/>
    <s v="Medium"/>
    <s v="Medium"/>
    <s v="January"/>
    <x v="0"/>
  </r>
  <r>
    <d v="2013-01-06T00:00:00"/>
    <x v="4"/>
    <x v="5"/>
    <n v="164560"/>
    <n v="65000"/>
    <x v="1"/>
    <x v="1"/>
    <x v="1"/>
    <n v="3"/>
    <n v="1321"/>
    <n v="1.020333E-2"/>
    <x v="2"/>
    <n v="-99560"/>
    <n v="49.205100000000002"/>
    <x v="1"/>
    <s v="Low"/>
    <s v="Large"/>
    <s v="January"/>
    <x v="0"/>
  </r>
  <r>
    <d v="2013-01-10T00:00:00"/>
    <x v="4"/>
    <x v="2"/>
    <n v="84280"/>
    <n v="100000"/>
    <x v="0"/>
    <x v="0"/>
    <x v="0"/>
    <n v="1"/>
    <n v="1111.6589814177564"/>
    <n v="1.020333E-2"/>
    <x v="1"/>
    <n v="15720"/>
    <n v="89.955600000000004"/>
    <x v="0"/>
    <s v="Low"/>
    <s v="Medium"/>
    <s v="January"/>
    <x v="0"/>
  </r>
  <r>
    <d v="2013-01-18T00:00:00"/>
    <x v="4"/>
    <x v="2"/>
    <n v="444584.20699999999"/>
    <n v="165000"/>
    <x v="2"/>
    <x v="2"/>
    <x v="2"/>
    <n v="5"/>
    <n v="1969"/>
    <n v="1.020333E-2"/>
    <x v="1"/>
    <n v="-279584.20699999999"/>
    <n v="83.798900000000003"/>
    <x v="1"/>
    <s v="Low"/>
    <s v="Large"/>
    <s v="January"/>
    <x v="0"/>
  </r>
  <r>
    <d v="2013-01-19T00:00:00"/>
    <x v="4"/>
    <x v="6"/>
    <n v="187400"/>
    <n v="3000"/>
    <x v="0"/>
    <x v="0"/>
    <x v="0"/>
    <n v="3"/>
    <n v="989"/>
    <n v="1.020333E-2"/>
    <x v="0"/>
    <n v="-184400"/>
    <n v="3.0333999999999999"/>
    <x v="1"/>
    <s v="Low"/>
    <s v="Medium"/>
    <s v="January"/>
    <x v="0"/>
  </r>
  <r>
    <d v="2013-01-20T00:00:00"/>
    <x v="4"/>
    <x v="0"/>
    <n v="125750"/>
    <n v="8500"/>
    <x v="2"/>
    <x v="2"/>
    <x v="2"/>
    <n v="4"/>
    <n v="1970"/>
    <n v="1.020333E-2"/>
    <x v="3"/>
    <n v="-117250"/>
    <n v="4.3147000000000002"/>
    <x v="1"/>
    <s v="Low"/>
    <s v="Large"/>
    <s v="January"/>
    <x v="0"/>
  </r>
  <r>
    <d v="2013-01-21T00:00:00"/>
    <x v="4"/>
    <x v="5"/>
    <n v="91720"/>
    <n v="14900"/>
    <x v="2"/>
    <x v="2"/>
    <x v="2"/>
    <n v="4"/>
    <n v="1931"/>
    <n v="1.020333E-2"/>
    <x v="1"/>
    <n v="-76820"/>
    <n v="7.7161999999999997"/>
    <x v="1"/>
    <s v="Low"/>
    <s v="Large"/>
    <s v="January"/>
    <x v="0"/>
  </r>
  <r>
    <d v="2013-01-25T00:00:00"/>
    <x v="4"/>
    <x v="1"/>
    <n v="224210"/>
    <n v="236700"/>
    <x v="0"/>
    <x v="0"/>
    <x v="0"/>
    <n v="1"/>
    <n v="962"/>
    <n v="1.020333E-2"/>
    <x v="2"/>
    <n v="12490"/>
    <n v="246.04990000000001"/>
    <x v="0"/>
    <s v="Medium"/>
    <s v="Medium"/>
    <s v="January"/>
    <x v="0"/>
  </r>
  <r>
    <d v="2013-01-26T00:00:00"/>
    <x v="4"/>
    <x v="6"/>
    <n v="192800"/>
    <n v="217000"/>
    <x v="0"/>
    <x v="0"/>
    <x v="0"/>
    <n v="2"/>
    <n v="1032"/>
    <n v="1.020333E-2"/>
    <x v="2"/>
    <n v="24200"/>
    <n v="210.2713"/>
    <x v="0"/>
    <s v="Medium"/>
    <s v="Medium"/>
    <s v="January"/>
    <x v="0"/>
  </r>
  <r>
    <d v="2013-01-27T00:00:00"/>
    <x v="4"/>
    <x v="5"/>
    <n v="444584.20699999999"/>
    <n v="133000"/>
    <x v="1"/>
    <x v="1"/>
    <x v="1"/>
    <n v="3"/>
    <n v="1392"/>
    <n v="1.020333E-2"/>
    <x v="3"/>
    <n v="-311584.20699999999"/>
    <n v="95.546000000000006"/>
    <x v="1"/>
    <s v="Low"/>
    <s v="Large"/>
    <s v="January"/>
    <x v="0"/>
  </r>
  <r>
    <d v="2013-01-28T00:00:00"/>
    <x v="4"/>
    <x v="0"/>
    <n v="116220"/>
    <n v="106500"/>
    <x v="0"/>
    <x v="0"/>
    <x v="0"/>
    <n v="2"/>
    <n v="919"/>
    <n v="1.020333E-2"/>
    <x v="3"/>
    <n v="-9720"/>
    <n v="115.88679999999999"/>
    <x v="1"/>
    <s v="Low"/>
    <s v="Medium"/>
    <s v="January"/>
    <x v="0"/>
  </r>
  <r>
    <d v="2013-01-31T00:00:00"/>
    <x v="4"/>
    <x v="2"/>
    <n v="175020"/>
    <n v="145000"/>
    <x v="2"/>
    <x v="2"/>
    <x v="2"/>
    <n v="4"/>
    <n v="2082"/>
    <n v="1.020333E-2"/>
    <x v="0"/>
    <n v="-30020"/>
    <n v="69.644599999999997"/>
    <x v="1"/>
    <s v="Low"/>
    <s v="Large"/>
    <s v="January"/>
    <x v="0"/>
  </r>
  <r>
    <d v="2013-02-03T00:00:00"/>
    <x v="4"/>
    <x v="5"/>
    <n v="444584.20699999999"/>
    <n v="105000"/>
    <x v="0"/>
    <x v="0"/>
    <x v="0"/>
    <n v="3"/>
    <n v="957"/>
    <n v="1.020333E-2"/>
    <x v="2"/>
    <n v="-339584.20699999999"/>
    <n v="109.7179"/>
    <x v="1"/>
    <s v="Low"/>
    <s v="Medium"/>
    <s v="February"/>
    <x v="1"/>
  </r>
  <r>
    <d v="2013-02-07T00:00:00"/>
    <x v="4"/>
    <x v="5"/>
    <n v="235390"/>
    <n v="130000"/>
    <x v="3"/>
    <x v="3"/>
    <x v="3"/>
    <n v="7"/>
    <n v="1111.6589814177564"/>
    <n v="1.020333E-2"/>
    <x v="1"/>
    <n v="-105390"/>
    <n v="116.9423"/>
    <x v="1"/>
    <s v="Low"/>
    <s v="Medium"/>
    <s v="February"/>
    <x v="1"/>
  </r>
  <r>
    <d v="2013-02-10T00:00:00"/>
    <x v="4"/>
    <x v="6"/>
    <n v="248700"/>
    <n v="419000"/>
    <x v="0"/>
    <x v="0"/>
    <x v="0"/>
    <n v="3"/>
    <n v="994"/>
    <n v="1.020333E-2"/>
    <x v="3"/>
    <n v="170300"/>
    <n v="421.5292"/>
    <x v="0"/>
    <s v="Medium"/>
    <s v="Medium"/>
    <s v="February"/>
    <x v="1"/>
  </r>
  <r>
    <d v="2013-02-15T00:00:00"/>
    <x v="4"/>
    <x v="6"/>
    <n v="181700"/>
    <n v="216500"/>
    <x v="0"/>
    <x v="0"/>
    <x v="0"/>
    <n v="3"/>
    <n v="969"/>
    <n v="1.020333E-2"/>
    <x v="1"/>
    <n v="34800"/>
    <n v="223.42619999999999"/>
    <x v="0"/>
    <s v="Medium"/>
    <s v="Medium"/>
    <s v="February"/>
    <x v="1"/>
  </r>
  <r>
    <d v="2013-02-17T00:00:00"/>
    <x v="4"/>
    <x v="2"/>
    <n v="160200"/>
    <n v="115000"/>
    <x v="1"/>
    <x v="1"/>
    <x v="1"/>
    <n v="3"/>
    <n v="1475"/>
    <n v="1.020333E-2"/>
    <x v="2"/>
    <n v="-45200"/>
    <n v="77.966099999999997"/>
    <x v="1"/>
    <s v="Low"/>
    <s v="Large"/>
    <s v="February"/>
    <x v="1"/>
  </r>
  <r>
    <d v="2013-02-18T00:00:00"/>
    <x v="4"/>
    <x v="1"/>
    <n v="314720"/>
    <n v="310000"/>
    <x v="0"/>
    <x v="0"/>
    <x v="0"/>
    <n v="1"/>
    <n v="951"/>
    <n v="1.020333E-2"/>
    <x v="1"/>
    <n v="-4720"/>
    <n v="325.97269999999997"/>
    <x v="1"/>
    <s v="Medium"/>
    <s v="Medium"/>
    <s v="February"/>
    <x v="1"/>
  </r>
  <r>
    <d v="2013-02-22T00:00:00"/>
    <x v="4"/>
    <x v="0"/>
    <n v="127650"/>
    <n v="31077"/>
    <x v="0"/>
    <x v="0"/>
    <x v="0"/>
    <n v="3"/>
    <n v="965"/>
    <n v="1.020333E-2"/>
    <x v="0"/>
    <n v="-96573"/>
    <n v="32.204099999999997"/>
    <x v="1"/>
    <s v="Low"/>
    <s v="Medium"/>
    <s v="February"/>
    <x v="1"/>
  </r>
  <r>
    <d v="2013-02-24T00:00:00"/>
    <x v="4"/>
    <x v="1"/>
    <n v="472710"/>
    <n v="601000"/>
    <x v="0"/>
    <x v="0"/>
    <x v="0"/>
    <n v="1"/>
    <n v="1047"/>
    <n v="1.020333E-2"/>
    <x v="0"/>
    <n v="128290"/>
    <n v="574.02099999999996"/>
    <x v="0"/>
    <s v="High"/>
    <s v="Medium"/>
    <s v="February"/>
    <x v="1"/>
  </r>
  <r>
    <d v="2013-02-28T00:00:00"/>
    <x v="4"/>
    <x v="2"/>
    <n v="211200"/>
    <n v="100000"/>
    <x v="2"/>
    <x v="2"/>
    <x v="2"/>
    <n v="6"/>
    <n v="1111.6589814177564"/>
    <n v="1.020333E-2"/>
    <x v="1"/>
    <n v="-111200"/>
    <n v="89.955600000000004"/>
    <x v="1"/>
    <s v="Low"/>
    <s v="Medium"/>
    <s v="February"/>
    <x v="1"/>
  </r>
  <r>
    <d v="2013-03-01T00:00:00"/>
    <x v="4"/>
    <x v="0"/>
    <n v="116770"/>
    <n v="145900"/>
    <x v="0"/>
    <x v="0"/>
    <x v="0"/>
    <n v="1"/>
    <n v="1045"/>
    <n v="1.020333E-2"/>
    <x v="1"/>
    <n v="29130"/>
    <n v="139.6172"/>
    <x v="0"/>
    <s v="Low"/>
    <s v="Medium"/>
    <s v="March"/>
    <x v="2"/>
  </r>
  <r>
    <d v="2013-03-02T00:00:00"/>
    <x v="4"/>
    <x v="2"/>
    <n v="117690"/>
    <n v="177000"/>
    <x v="0"/>
    <x v="0"/>
    <x v="0"/>
    <n v="2"/>
    <n v="1017"/>
    <n v="1.020333E-2"/>
    <x v="0"/>
    <n v="59310"/>
    <n v="174.04130000000001"/>
    <x v="0"/>
    <s v="Low"/>
    <s v="Medium"/>
    <s v="March"/>
    <x v="2"/>
  </r>
  <r>
    <d v="2013-03-04T00:00:00"/>
    <x v="4"/>
    <x v="5"/>
    <n v="138740"/>
    <n v="4500"/>
    <x v="0"/>
    <x v="0"/>
    <x v="0"/>
    <n v="3"/>
    <n v="910"/>
    <n v="1.020333E-2"/>
    <x v="0"/>
    <n v="-134240"/>
    <n v="4.9451000000000001"/>
    <x v="1"/>
    <s v="Low"/>
    <s v="Medium"/>
    <s v="March"/>
    <x v="2"/>
  </r>
  <r>
    <d v="2013-03-09T00:00:00"/>
    <x v="4"/>
    <x v="1"/>
    <n v="407680"/>
    <n v="597500"/>
    <x v="0"/>
    <x v="0"/>
    <x v="0"/>
    <n v="3"/>
    <n v="1078"/>
    <n v="1.020333E-2"/>
    <x v="1"/>
    <n v="189820"/>
    <n v="554.2672"/>
    <x v="0"/>
    <s v="Medium"/>
    <s v="Medium"/>
    <s v="March"/>
    <x v="2"/>
  </r>
  <r>
    <d v="2013-03-14T00:00:00"/>
    <x v="4"/>
    <x v="2"/>
    <n v="208570"/>
    <n v="170000"/>
    <x v="0"/>
    <x v="0"/>
    <x v="0"/>
    <n v="3"/>
    <n v="1111.6589814177564"/>
    <n v="1.020333E-2"/>
    <x v="1"/>
    <n v="-38570"/>
    <n v="152.9246"/>
    <x v="1"/>
    <s v="Low"/>
    <s v="Medium"/>
    <s v="March"/>
    <x v="2"/>
  </r>
  <r>
    <d v="2013-03-15T00:00:00"/>
    <x v="4"/>
    <x v="7"/>
    <n v="516410"/>
    <n v="500050"/>
    <x v="0"/>
    <x v="0"/>
    <x v="0"/>
    <n v="3"/>
    <n v="1095"/>
    <n v="1.020333E-2"/>
    <x v="2"/>
    <n v="-16360"/>
    <n v="456.66669999999999"/>
    <x v="1"/>
    <s v="Medium"/>
    <s v="Medium"/>
    <s v="March"/>
    <x v="2"/>
  </r>
  <r>
    <d v="2013-03-17T00:00:00"/>
    <x v="4"/>
    <x v="2"/>
    <n v="104140"/>
    <n v="31000"/>
    <x v="0"/>
    <x v="0"/>
    <x v="0"/>
    <n v="2"/>
    <n v="1061"/>
    <n v="1.020333E-2"/>
    <x v="1"/>
    <n v="-73140"/>
    <n v="29.217700000000001"/>
    <x v="1"/>
    <s v="Low"/>
    <s v="Medium"/>
    <s v="March"/>
    <x v="2"/>
  </r>
  <r>
    <d v="2013-03-21T00:00:00"/>
    <x v="4"/>
    <x v="7"/>
    <n v="297420"/>
    <n v="264500"/>
    <x v="0"/>
    <x v="0"/>
    <x v="0"/>
    <n v="3"/>
    <n v="1027"/>
    <n v="1.020333E-2"/>
    <x v="3"/>
    <n v="-32920"/>
    <n v="257.54629999999997"/>
    <x v="1"/>
    <s v="Medium"/>
    <s v="Medium"/>
    <s v="March"/>
    <x v="2"/>
  </r>
  <r>
    <d v="2013-03-23T00:00:00"/>
    <x v="4"/>
    <x v="2"/>
    <n v="183090"/>
    <n v="68990"/>
    <x v="1"/>
    <x v="1"/>
    <x v="1"/>
    <n v="4"/>
    <n v="1429"/>
    <n v="1.020333E-2"/>
    <x v="2"/>
    <n v="-114100"/>
    <n v="48.278500000000001"/>
    <x v="1"/>
    <s v="Low"/>
    <s v="Large"/>
    <s v="March"/>
    <x v="2"/>
  </r>
  <r>
    <d v="2013-03-24T00:00:00"/>
    <x v="4"/>
    <x v="0"/>
    <n v="150540"/>
    <n v="22236"/>
    <x v="3"/>
    <x v="3"/>
    <x v="3"/>
    <n v="8"/>
    <n v="2678"/>
    <n v="1.020333E-2"/>
    <x v="0"/>
    <n v="-128304"/>
    <n v="8.3032000000000004"/>
    <x v="1"/>
    <s v="Low"/>
    <s v="Large"/>
    <s v="March"/>
    <x v="2"/>
  </r>
  <r>
    <d v="2013-03-28T00:00:00"/>
    <x v="4"/>
    <x v="6"/>
    <n v="253700"/>
    <n v="315000"/>
    <x v="0"/>
    <x v="0"/>
    <x v="0"/>
    <n v="3"/>
    <n v="1111.6589814177564"/>
    <n v="1.020333E-2"/>
    <x v="0"/>
    <n v="61300"/>
    <n v="283.3603"/>
    <x v="0"/>
    <s v="Medium"/>
    <s v="Medium"/>
    <s v="March"/>
    <x v="2"/>
  </r>
  <r>
    <d v="2013-03-31T00:00:00"/>
    <x v="4"/>
    <x v="5"/>
    <n v="134350"/>
    <n v="178000"/>
    <x v="1"/>
    <x v="1"/>
    <x v="1"/>
    <n v="4"/>
    <n v="1484"/>
    <n v="1.020333E-2"/>
    <x v="0"/>
    <n v="43650"/>
    <n v="119.9461"/>
    <x v="0"/>
    <s v="Low"/>
    <s v="Large"/>
    <s v="March"/>
    <x v="2"/>
  </r>
  <r>
    <d v="2013-04-05T00:00:00"/>
    <x v="4"/>
    <x v="5"/>
    <n v="444584.20699999999"/>
    <n v="152300"/>
    <x v="0"/>
    <x v="0"/>
    <x v="0"/>
    <n v="3"/>
    <n v="1017"/>
    <n v="1.020333E-2"/>
    <x v="1"/>
    <n v="-292284.20699999999"/>
    <n v="149.7542"/>
    <x v="1"/>
    <s v="Low"/>
    <s v="Medium"/>
    <s v="April"/>
    <x v="3"/>
  </r>
  <r>
    <d v="2013-04-08T00:00:00"/>
    <x v="4"/>
    <x v="0"/>
    <n v="159310"/>
    <n v="117500"/>
    <x v="1"/>
    <x v="1"/>
    <x v="1"/>
    <n v="4"/>
    <n v="1326"/>
    <n v="1.020333E-2"/>
    <x v="0"/>
    <n v="-41810"/>
    <n v="88.612399999999994"/>
    <x v="1"/>
    <s v="Low"/>
    <s v="Large"/>
    <s v="April"/>
    <x v="3"/>
  </r>
  <r>
    <d v="2013-04-11T00:00:00"/>
    <x v="4"/>
    <x v="2"/>
    <n v="175820"/>
    <n v="136000"/>
    <x v="0"/>
    <x v="0"/>
    <x v="0"/>
    <n v="2"/>
    <n v="915"/>
    <n v="1.020333E-2"/>
    <x v="3"/>
    <n v="-39820"/>
    <n v="148.63390000000001"/>
    <x v="1"/>
    <s v="Low"/>
    <s v="Medium"/>
    <s v="April"/>
    <x v="3"/>
  </r>
  <r>
    <d v="2013-04-12T00:00:00"/>
    <x v="4"/>
    <x v="5"/>
    <n v="444584.20699999999"/>
    <n v="535000"/>
    <x v="0"/>
    <x v="0"/>
    <x v="0"/>
    <n v="2"/>
    <n v="937"/>
    <n v="1.020333E-2"/>
    <x v="1"/>
    <n v="90415.793000000005"/>
    <n v="570.97119999999995"/>
    <x v="0"/>
    <s v="Medium"/>
    <s v="Medium"/>
    <s v="April"/>
    <x v="3"/>
  </r>
  <r>
    <d v="2013-04-13T00:00:00"/>
    <x v="4"/>
    <x v="7"/>
    <n v="1548630"/>
    <n v="1695000"/>
    <x v="0"/>
    <x v="0"/>
    <x v="0"/>
    <n v="3"/>
    <n v="1094"/>
    <n v="1.020333E-2"/>
    <x v="0"/>
    <n v="146370"/>
    <n v="1549.3601000000001"/>
    <x v="0"/>
    <s v="High"/>
    <s v="Medium"/>
    <s v="April"/>
    <x v="3"/>
  </r>
  <r>
    <d v="2013-04-14T00:00:00"/>
    <x v="4"/>
    <x v="2"/>
    <n v="106040"/>
    <n v="63000"/>
    <x v="0"/>
    <x v="0"/>
    <x v="0"/>
    <n v="1"/>
    <n v="999"/>
    <n v="1.020333E-2"/>
    <x v="3"/>
    <n v="-43040"/>
    <n v="63.063099999999999"/>
    <x v="1"/>
    <s v="Low"/>
    <s v="Medium"/>
    <s v="April"/>
    <x v="3"/>
  </r>
  <r>
    <d v="2013-04-18T00:00:00"/>
    <x v="4"/>
    <x v="0"/>
    <n v="92670"/>
    <n v="48000"/>
    <x v="0"/>
    <x v="0"/>
    <x v="0"/>
    <n v="2"/>
    <n v="972"/>
    <n v="1.020333E-2"/>
    <x v="1"/>
    <n v="-44670"/>
    <n v="49.3827"/>
    <x v="1"/>
    <s v="Low"/>
    <s v="Medium"/>
    <s v="April"/>
    <x v="3"/>
  </r>
  <r>
    <d v="2013-04-19T00:00:00"/>
    <x v="4"/>
    <x v="0"/>
    <n v="444584.20699999999"/>
    <n v="2000"/>
    <x v="1"/>
    <x v="1"/>
    <x v="1"/>
    <n v="4"/>
    <n v="1474"/>
    <n v="1.020333E-2"/>
    <x v="3"/>
    <n v="-442584.20699999999"/>
    <n v="1.3569"/>
    <x v="1"/>
    <s v="Low"/>
    <s v="Large"/>
    <s v="April"/>
    <x v="3"/>
  </r>
  <r>
    <d v="2013-04-20T00:00:00"/>
    <x v="4"/>
    <x v="2"/>
    <n v="170250"/>
    <n v="120000"/>
    <x v="1"/>
    <x v="1"/>
    <x v="1"/>
    <n v="2"/>
    <n v="1111.6589814177564"/>
    <n v="1.020333E-2"/>
    <x v="0"/>
    <n v="-50250"/>
    <n v="107.9468"/>
    <x v="1"/>
    <s v="Low"/>
    <s v="Medium"/>
    <s v="April"/>
    <x v="3"/>
  </r>
  <r>
    <d v="2013-04-21T00:00:00"/>
    <x v="4"/>
    <x v="2"/>
    <n v="149570"/>
    <n v="208000"/>
    <x v="1"/>
    <x v="1"/>
    <x v="1"/>
    <n v="3"/>
    <n v="1111.6589814177564"/>
    <n v="1.020333E-2"/>
    <x v="0"/>
    <n v="58430"/>
    <n v="187.10769999999999"/>
    <x v="0"/>
    <s v="Medium"/>
    <s v="Medium"/>
    <s v="April"/>
    <x v="3"/>
  </r>
  <r>
    <d v="2013-04-25T00:00:00"/>
    <x v="4"/>
    <x v="2"/>
    <n v="444584.20699999999"/>
    <n v="150000"/>
    <x v="0"/>
    <x v="0"/>
    <x v="0"/>
    <n v="2"/>
    <n v="967"/>
    <n v="1.020333E-2"/>
    <x v="0"/>
    <n v="-294584.20699999999"/>
    <n v="155.1189"/>
    <x v="1"/>
    <s v="Low"/>
    <s v="Medium"/>
    <s v="April"/>
    <x v="3"/>
  </r>
  <r>
    <d v="2013-04-26T00:00:00"/>
    <x v="4"/>
    <x v="7"/>
    <n v="444584.20699999999"/>
    <n v="710000"/>
    <x v="0"/>
    <x v="0"/>
    <x v="0"/>
    <n v="3"/>
    <n v="912"/>
    <n v="1.020333E-2"/>
    <x v="1"/>
    <n v="265415.79300000001"/>
    <n v="778.50879999999995"/>
    <x v="0"/>
    <s v="High"/>
    <s v="Medium"/>
    <s v="April"/>
    <x v="3"/>
  </r>
  <r>
    <d v="2013-04-28T00:00:00"/>
    <x v="4"/>
    <x v="6"/>
    <n v="444584.20699999999"/>
    <n v="280000"/>
    <x v="0"/>
    <x v="0"/>
    <x v="0"/>
    <n v="3"/>
    <n v="1051"/>
    <n v="1.020333E-2"/>
    <x v="3"/>
    <n v="-164584.20699999999"/>
    <n v="266.41289999999998"/>
    <x v="1"/>
    <s v="Medium"/>
    <s v="Medium"/>
    <s v="April"/>
    <x v="3"/>
  </r>
  <r>
    <d v="2013-04-29T00:00:00"/>
    <x v="4"/>
    <x v="5"/>
    <n v="444584.20699999999"/>
    <n v="168000"/>
    <x v="0"/>
    <x v="0"/>
    <x v="0"/>
    <n v="3"/>
    <n v="968"/>
    <n v="1.020333E-2"/>
    <x v="2"/>
    <n v="-276584.20699999999"/>
    <n v="173.55369999999999"/>
    <x v="1"/>
    <s v="Low"/>
    <s v="Medium"/>
    <s v="April"/>
    <x v="3"/>
  </r>
  <r>
    <d v="2013-05-02T00:00:00"/>
    <x v="4"/>
    <x v="1"/>
    <n v="444584.20699999999"/>
    <n v="382000"/>
    <x v="0"/>
    <x v="0"/>
    <x v="0"/>
    <n v="2"/>
    <n v="944"/>
    <n v="1.020333E-2"/>
    <x v="3"/>
    <n v="-62584.207000000002"/>
    <n v="404.661"/>
    <x v="1"/>
    <s v="Medium"/>
    <s v="Medium"/>
    <s v="May"/>
    <x v="4"/>
  </r>
  <r>
    <d v="2013-05-03T00:00:00"/>
    <x v="4"/>
    <x v="5"/>
    <n v="137100"/>
    <n v="30000"/>
    <x v="0"/>
    <x v="0"/>
    <x v="0"/>
    <n v="2"/>
    <n v="911"/>
    <n v="1.020333E-2"/>
    <x v="2"/>
    <n v="-107100"/>
    <n v="32.930799999999998"/>
    <x v="1"/>
    <s v="Low"/>
    <s v="Medium"/>
    <s v="May"/>
    <x v="4"/>
  </r>
  <r>
    <d v="2013-05-05T00:00:00"/>
    <x v="4"/>
    <x v="1"/>
    <n v="858340"/>
    <n v="1299000"/>
    <x v="0"/>
    <x v="0"/>
    <x v="0"/>
    <n v="1"/>
    <n v="992"/>
    <n v="1.020333E-2"/>
    <x v="3"/>
    <n v="440660"/>
    <n v="1309.4757999999999"/>
    <x v="0"/>
    <s v="High"/>
    <s v="Medium"/>
    <s v="May"/>
    <x v="4"/>
  </r>
  <r>
    <d v="2013-05-06T00:00:00"/>
    <x v="4"/>
    <x v="7"/>
    <n v="404980"/>
    <n v="517500"/>
    <x v="0"/>
    <x v="0"/>
    <x v="0"/>
    <n v="2"/>
    <n v="1009"/>
    <n v="1.020333E-2"/>
    <x v="0"/>
    <n v="112520"/>
    <n v="512.88400000000001"/>
    <x v="0"/>
    <s v="Medium"/>
    <s v="Medium"/>
    <s v="May"/>
    <x v="4"/>
  </r>
  <r>
    <d v="2013-05-10T00:00:00"/>
    <x v="4"/>
    <x v="2"/>
    <n v="171670"/>
    <n v="100000"/>
    <x v="2"/>
    <x v="2"/>
    <x v="2"/>
    <n v="4"/>
    <n v="2196"/>
    <n v="1.020333E-2"/>
    <x v="3"/>
    <n v="-71670"/>
    <n v="45.537300000000002"/>
    <x v="1"/>
    <s v="Low"/>
    <s v="Large"/>
    <s v="May"/>
    <x v="4"/>
  </r>
  <r>
    <d v="2013-05-12T00:00:00"/>
    <x v="4"/>
    <x v="5"/>
    <n v="235830"/>
    <n v="240000"/>
    <x v="0"/>
    <x v="0"/>
    <x v="0"/>
    <n v="3"/>
    <n v="997"/>
    <n v="1.020333E-2"/>
    <x v="1"/>
    <n v="4170"/>
    <n v="240.72219999999999"/>
    <x v="0"/>
    <s v="Medium"/>
    <s v="Medium"/>
    <s v="May"/>
    <x v="4"/>
  </r>
  <r>
    <d v="2013-05-13T00:00:00"/>
    <x v="4"/>
    <x v="1"/>
    <n v="318220"/>
    <n v="426500"/>
    <x v="0"/>
    <x v="0"/>
    <x v="0"/>
    <n v="3"/>
    <n v="1027"/>
    <n v="1.020333E-2"/>
    <x v="0"/>
    <n v="108280"/>
    <n v="415.28719999999998"/>
    <x v="0"/>
    <s v="Medium"/>
    <s v="Medium"/>
    <s v="May"/>
    <x v="4"/>
  </r>
  <r>
    <d v="2013-05-16T00:00:00"/>
    <x v="4"/>
    <x v="2"/>
    <n v="156230"/>
    <n v="116000"/>
    <x v="0"/>
    <x v="0"/>
    <x v="0"/>
    <n v="2"/>
    <n v="982"/>
    <n v="1.020333E-2"/>
    <x v="1"/>
    <n v="-40230"/>
    <n v="118.1263"/>
    <x v="1"/>
    <s v="Low"/>
    <s v="Medium"/>
    <s v="May"/>
    <x v="4"/>
  </r>
  <r>
    <d v="2013-05-18T00:00:00"/>
    <x v="4"/>
    <x v="6"/>
    <n v="261200"/>
    <n v="85000"/>
    <x v="0"/>
    <x v="0"/>
    <x v="0"/>
    <n v="2"/>
    <n v="1056"/>
    <n v="1.020333E-2"/>
    <x v="3"/>
    <n v="-176200"/>
    <n v="80.492400000000004"/>
    <x v="1"/>
    <s v="Low"/>
    <s v="Medium"/>
    <s v="May"/>
    <x v="4"/>
  </r>
  <r>
    <d v="2013-05-23T00:00:00"/>
    <x v="4"/>
    <x v="0"/>
    <n v="111580"/>
    <n v="55000"/>
    <x v="0"/>
    <x v="0"/>
    <x v="0"/>
    <n v="2"/>
    <n v="990"/>
    <n v="1.020333E-2"/>
    <x v="0"/>
    <n v="-56580"/>
    <n v="55.555599999999998"/>
    <x v="1"/>
    <s v="Low"/>
    <s v="Medium"/>
    <s v="May"/>
    <x v="4"/>
  </r>
  <r>
    <d v="2013-05-26T00:00:00"/>
    <x v="4"/>
    <x v="6"/>
    <n v="444584.20699999999"/>
    <n v="250000"/>
    <x v="0"/>
    <x v="0"/>
    <x v="0"/>
    <n v="1"/>
    <n v="1016"/>
    <n v="1.020333E-2"/>
    <x v="2"/>
    <n v="-194584.20699999999"/>
    <n v="246.06299999999999"/>
    <x v="1"/>
    <s v="Medium"/>
    <s v="Medium"/>
    <s v="May"/>
    <x v="4"/>
  </r>
  <r>
    <d v="2013-05-31T00:00:00"/>
    <x v="4"/>
    <x v="2"/>
    <n v="192260"/>
    <n v="235000"/>
    <x v="0"/>
    <x v="0"/>
    <x v="0"/>
    <n v="1"/>
    <n v="1033"/>
    <n v="1.020333E-2"/>
    <x v="1"/>
    <n v="42740"/>
    <n v="227.49270000000001"/>
    <x v="0"/>
    <s v="Medium"/>
    <s v="Medium"/>
    <s v="May"/>
    <x v="4"/>
  </r>
  <r>
    <d v="2013-06-02T00:00:00"/>
    <x v="4"/>
    <x v="7"/>
    <n v="391050"/>
    <n v="345000"/>
    <x v="0"/>
    <x v="0"/>
    <x v="0"/>
    <n v="2"/>
    <n v="1100"/>
    <n v="1.020333E-2"/>
    <x v="3"/>
    <n v="-46050"/>
    <n v="313.63639999999998"/>
    <x v="1"/>
    <s v="Medium"/>
    <s v="Medium"/>
    <s v="June"/>
    <x v="5"/>
  </r>
  <r>
    <d v="2013-06-06T00:00:00"/>
    <x v="4"/>
    <x v="5"/>
    <n v="444584.20699999999"/>
    <n v="565000"/>
    <x v="0"/>
    <x v="0"/>
    <x v="0"/>
    <n v="1"/>
    <n v="1088"/>
    <n v="1.020333E-2"/>
    <x v="2"/>
    <n v="120415.79300000001"/>
    <n v="519.30150000000003"/>
    <x v="0"/>
    <s v="Medium"/>
    <s v="Medium"/>
    <s v="June"/>
    <x v="5"/>
  </r>
  <r>
    <d v="2013-06-07T00:00:00"/>
    <x v="4"/>
    <x v="0"/>
    <n v="84370"/>
    <n v="30000"/>
    <x v="0"/>
    <x v="0"/>
    <x v="0"/>
    <n v="3"/>
    <n v="1010"/>
    <n v="1.020333E-2"/>
    <x v="0"/>
    <n v="-54370"/>
    <n v="29.702999999999999"/>
    <x v="1"/>
    <s v="Low"/>
    <s v="Medium"/>
    <s v="June"/>
    <x v="5"/>
  </r>
  <r>
    <d v="2013-06-13T00:00:00"/>
    <x v="4"/>
    <x v="2"/>
    <n v="121240"/>
    <n v="95000"/>
    <x v="1"/>
    <x v="1"/>
    <x v="1"/>
    <n v="3"/>
    <n v="1484"/>
    <n v="1.020333E-2"/>
    <x v="2"/>
    <n v="-26240"/>
    <n v="64.016199999999998"/>
    <x v="1"/>
    <s v="Low"/>
    <s v="Large"/>
    <s v="June"/>
    <x v="5"/>
  </r>
  <r>
    <d v="2013-06-14T00:00:00"/>
    <x v="4"/>
    <x v="6"/>
    <n v="177300"/>
    <n v="172500"/>
    <x v="0"/>
    <x v="0"/>
    <x v="0"/>
    <n v="1"/>
    <n v="976"/>
    <n v="1.020333E-2"/>
    <x v="1"/>
    <n v="-4800"/>
    <n v="176.74180000000001"/>
    <x v="1"/>
    <s v="Low"/>
    <s v="Medium"/>
    <s v="June"/>
    <x v="5"/>
  </r>
  <r>
    <d v="2013-06-15T00:00:00"/>
    <x v="4"/>
    <x v="7"/>
    <n v="585650"/>
    <n v="415000"/>
    <x v="0"/>
    <x v="0"/>
    <x v="0"/>
    <n v="2"/>
    <n v="913"/>
    <n v="1.020333E-2"/>
    <x v="2"/>
    <n v="-170650"/>
    <n v="454.5455"/>
    <x v="1"/>
    <s v="Medium"/>
    <s v="Medium"/>
    <s v="June"/>
    <x v="5"/>
  </r>
  <r>
    <d v="2013-06-20T00:00:00"/>
    <x v="4"/>
    <x v="2"/>
    <n v="188610"/>
    <n v="235000"/>
    <x v="0"/>
    <x v="0"/>
    <x v="0"/>
    <n v="3"/>
    <n v="955"/>
    <n v="1.020333E-2"/>
    <x v="0"/>
    <n v="46390"/>
    <n v="246.07329999999999"/>
    <x v="0"/>
    <s v="Medium"/>
    <s v="Medium"/>
    <s v="June"/>
    <x v="5"/>
  </r>
  <r>
    <d v="2013-06-21T00:00:00"/>
    <x v="4"/>
    <x v="2"/>
    <n v="444584.20699999999"/>
    <n v="36000"/>
    <x v="1"/>
    <x v="1"/>
    <x v="1"/>
    <n v="3"/>
    <n v="1310"/>
    <n v="1.020333E-2"/>
    <x v="1"/>
    <n v="-408584.20699999999"/>
    <n v="27.480899999999998"/>
    <x v="1"/>
    <s v="Low"/>
    <s v="Large"/>
    <s v="June"/>
    <x v="5"/>
  </r>
  <r>
    <d v="2013-06-22T00:00:00"/>
    <x v="4"/>
    <x v="2"/>
    <n v="154100"/>
    <n v="75000"/>
    <x v="0"/>
    <x v="0"/>
    <x v="0"/>
    <n v="2"/>
    <n v="988"/>
    <n v="1.020333E-2"/>
    <x v="1"/>
    <n v="-79100"/>
    <n v="75.910899999999998"/>
    <x v="1"/>
    <s v="Low"/>
    <s v="Medium"/>
    <s v="June"/>
    <x v="5"/>
  </r>
  <r>
    <d v="2013-06-24T00:00:00"/>
    <x v="4"/>
    <x v="0"/>
    <n v="444584.20699999999"/>
    <n v="49000"/>
    <x v="0"/>
    <x v="0"/>
    <x v="0"/>
    <n v="3"/>
    <n v="1098"/>
    <n v="1.020333E-2"/>
    <x v="3"/>
    <n v="-395584.20699999999"/>
    <n v="44.626600000000003"/>
    <x v="1"/>
    <s v="Low"/>
    <s v="Medium"/>
    <s v="June"/>
    <x v="5"/>
  </r>
  <r>
    <d v="2013-06-28T00:00:00"/>
    <x v="4"/>
    <x v="5"/>
    <n v="280400"/>
    <n v="424000"/>
    <x v="0"/>
    <x v="0"/>
    <x v="0"/>
    <n v="2"/>
    <n v="916"/>
    <n v="1.020333E-2"/>
    <x v="0"/>
    <n v="143600"/>
    <n v="462.88209999999998"/>
    <x v="0"/>
    <s v="Medium"/>
    <s v="Medium"/>
    <s v="June"/>
    <x v="5"/>
  </r>
  <r>
    <d v="2013-06-29T00:00:00"/>
    <x v="4"/>
    <x v="2"/>
    <n v="255940"/>
    <n v="125500"/>
    <x v="0"/>
    <x v="0"/>
    <x v="0"/>
    <n v="3"/>
    <n v="978"/>
    <n v="1.020333E-2"/>
    <x v="2"/>
    <n v="-130440"/>
    <n v="128.32310000000001"/>
    <x v="1"/>
    <s v="Low"/>
    <s v="Medium"/>
    <s v="June"/>
    <x v="5"/>
  </r>
  <r>
    <d v="2013-06-30T00:00:00"/>
    <x v="4"/>
    <x v="7"/>
    <n v="747850"/>
    <n v="927500"/>
    <x v="0"/>
    <x v="0"/>
    <x v="0"/>
    <n v="2"/>
    <n v="998"/>
    <n v="1.020333E-2"/>
    <x v="3"/>
    <n v="179650"/>
    <n v="929.3587"/>
    <x v="0"/>
    <s v="High"/>
    <s v="Medium"/>
    <s v="June"/>
    <x v="5"/>
  </r>
  <r>
    <d v="2013-07-05T00:00:00"/>
    <x v="4"/>
    <x v="6"/>
    <n v="239200"/>
    <n v="282500"/>
    <x v="0"/>
    <x v="0"/>
    <x v="0"/>
    <n v="1"/>
    <n v="1111.6589814177564"/>
    <n v="1.020333E-2"/>
    <x v="2"/>
    <n v="43300"/>
    <n v="254.12469999999999"/>
    <x v="0"/>
    <s v="Medium"/>
    <s v="Medium"/>
    <s v="July"/>
    <x v="6"/>
  </r>
  <r>
    <d v="2013-07-06T00:00:00"/>
    <x v="4"/>
    <x v="0"/>
    <n v="123730"/>
    <n v="30000"/>
    <x v="3"/>
    <x v="3"/>
    <x v="3"/>
    <n v="7"/>
    <n v="1111.6589814177564"/>
    <n v="1.020333E-2"/>
    <x v="0"/>
    <n v="-93730"/>
    <n v="26.986699999999999"/>
    <x v="1"/>
    <s v="Low"/>
    <s v="Medium"/>
    <s v="July"/>
    <x v="6"/>
  </r>
  <r>
    <d v="2013-07-07T00:00:00"/>
    <x v="4"/>
    <x v="2"/>
    <n v="135570"/>
    <n v="155000"/>
    <x v="1"/>
    <x v="1"/>
    <x v="1"/>
    <n v="2"/>
    <n v="1354"/>
    <n v="1.020333E-2"/>
    <x v="2"/>
    <n v="19430"/>
    <n v="114.4756"/>
    <x v="0"/>
    <s v="Low"/>
    <s v="Large"/>
    <s v="July"/>
    <x v="6"/>
  </r>
  <r>
    <d v="2013-07-08T00:00:00"/>
    <x v="4"/>
    <x v="0"/>
    <n v="102210"/>
    <n v="99900"/>
    <x v="0"/>
    <x v="0"/>
    <x v="0"/>
    <n v="1"/>
    <n v="935"/>
    <n v="1.020333E-2"/>
    <x v="1"/>
    <n v="-2310"/>
    <n v="106.8449"/>
    <x v="1"/>
    <s v="Low"/>
    <s v="Medium"/>
    <s v="July"/>
    <x v="6"/>
  </r>
  <r>
    <d v="2013-07-12T00:00:00"/>
    <x v="4"/>
    <x v="1"/>
    <n v="383180"/>
    <n v="437500"/>
    <x v="0"/>
    <x v="0"/>
    <x v="0"/>
    <n v="3"/>
    <n v="1032"/>
    <n v="1.020333E-2"/>
    <x v="2"/>
    <n v="54320"/>
    <n v="423.9341"/>
    <x v="0"/>
    <s v="Medium"/>
    <s v="Medium"/>
    <s v="July"/>
    <x v="6"/>
  </r>
  <r>
    <d v="2013-07-14T00:00:00"/>
    <x v="4"/>
    <x v="5"/>
    <n v="402220"/>
    <n v="523000"/>
    <x v="0"/>
    <x v="0"/>
    <x v="0"/>
    <n v="1"/>
    <n v="1070"/>
    <n v="1.020333E-2"/>
    <x v="1"/>
    <n v="120780"/>
    <n v="488.78500000000003"/>
    <x v="0"/>
    <s v="Medium"/>
    <s v="Medium"/>
    <s v="July"/>
    <x v="6"/>
  </r>
  <r>
    <d v="2013-07-15T00:00:00"/>
    <x v="4"/>
    <x v="5"/>
    <n v="249620"/>
    <n v="315000"/>
    <x v="0"/>
    <x v="0"/>
    <x v="0"/>
    <n v="1"/>
    <n v="1111.6589814177564"/>
    <n v="1.020333E-2"/>
    <x v="0"/>
    <n v="65380"/>
    <n v="283.3603"/>
    <x v="0"/>
    <s v="Medium"/>
    <s v="Medium"/>
    <s v="July"/>
    <x v="6"/>
  </r>
  <r>
    <d v="2013-07-18T00:00:00"/>
    <x v="4"/>
    <x v="6"/>
    <n v="247200"/>
    <n v="375000"/>
    <x v="0"/>
    <x v="0"/>
    <x v="0"/>
    <n v="1"/>
    <n v="1034"/>
    <n v="1.020333E-2"/>
    <x v="2"/>
    <n v="127800"/>
    <n v="362.66919999999999"/>
    <x v="0"/>
    <s v="Medium"/>
    <s v="Medium"/>
    <s v="July"/>
    <x v="6"/>
  </r>
  <r>
    <d v="2013-07-19T00:00:00"/>
    <x v="4"/>
    <x v="0"/>
    <n v="142990"/>
    <n v="107000"/>
    <x v="1"/>
    <x v="1"/>
    <x v="1"/>
    <n v="2"/>
    <n v="1321"/>
    <n v="1.020333E-2"/>
    <x v="2"/>
    <n v="-35990"/>
    <n v="80.999200000000002"/>
    <x v="1"/>
    <s v="Low"/>
    <s v="Large"/>
    <s v="July"/>
    <x v="6"/>
  </r>
  <r>
    <d v="2013-07-21T00:00:00"/>
    <x v="4"/>
    <x v="7"/>
    <n v="444584.20699999999"/>
    <n v="420000"/>
    <x v="0"/>
    <x v="0"/>
    <x v="0"/>
    <n v="3"/>
    <n v="1111.6589814177564"/>
    <n v="1.020333E-2"/>
    <x v="3"/>
    <n v="-24584.206999999999"/>
    <n v="377.81369999999998"/>
    <x v="1"/>
    <s v="Medium"/>
    <s v="Medium"/>
    <s v="July"/>
    <x v="6"/>
  </r>
  <r>
    <d v="2013-07-26T00:00:00"/>
    <x v="4"/>
    <x v="5"/>
    <n v="326280"/>
    <n v="307000"/>
    <x v="0"/>
    <x v="0"/>
    <x v="0"/>
    <n v="3"/>
    <n v="1111.6589814177564"/>
    <n v="1.020333E-2"/>
    <x v="1"/>
    <n v="-19280"/>
    <n v="276.16379999999998"/>
    <x v="1"/>
    <s v="Medium"/>
    <s v="Medium"/>
    <s v="July"/>
    <x v="6"/>
  </r>
  <r>
    <d v="2013-07-28T00:00:00"/>
    <x v="4"/>
    <x v="0"/>
    <n v="131180"/>
    <n v="19105"/>
    <x v="1"/>
    <x v="1"/>
    <x v="1"/>
    <n v="4"/>
    <n v="1438"/>
    <n v="1.020333E-2"/>
    <x v="1"/>
    <n v="-112075"/>
    <n v="13.2858"/>
    <x v="1"/>
    <s v="Low"/>
    <s v="Large"/>
    <s v="July"/>
    <x v="6"/>
  </r>
  <r>
    <d v="2013-08-01T00:00:00"/>
    <x v="4"/>
    <x v="2"/>
    <n v="109710"/>
    <n v="10000"/>
    <x v="0"/>
    <x v="0"/>
    <x v="0"/>
    <n v="3"/>
    <n v="921"/>
    <n v="1.020333E-2"/>
    <x v="0"/>
    <n v="-99710"/>
    <n v="10.857799999999999"/>
    <x v="1"/>
    <s v="Low"/>
    <s v="Medium"/>
    <s v="August"/>
    <x v="7"/>
  </r>
  <r>
    <d v="2013-08-02T00:00:00"/>
    <x v="4"/>
    <x v="0"/>
    <n v="91710"/>
    <n v="83000"/>
    <x v="0"/>
    <x v="0"/>
    <x v="0"/>
    <n v="2"/>
    <n v="988"/>
    <n v="1.020333E-2"/>
    <x v="0"/>
    <n v="-8710"/>
    <n v="84.008099999999999"/>
    <x v="1"/>
    <s v="Low"/>
    <s v="Medium"/>
    <s v="August"/>
    <x v="7"/>
  </r>
  <r>
    <d v="2013-08-03T00:00:00"/>
    <x v="4"/>
    <x v="7"/>
    <n v="631600"/>
    <n v="605000"/>
    <x v="0"/>
    <x v="0"/>
    <x v="0"/>
    <n v="1"/>
    <n v="1068"/>
    <n v="1.020333E-2"/>
    <x v="3"/>
    <n v="-26600"/>
    <n v="566.47940000000006"/>
    <x v="1"/>
    <s v="High"/>
    <s v="Medium"/>
    <s v="August"/>
    <x v="7"/>
  </r>
  <r>
    <d v="2013-08-04T00:00:00"/>
    <x v="4"/>
    <x v="7"/>
    <n v="444584.20699999999"/>
    <n v="435000"/>
    <x v="0"/>
    <x v="0"/>
    <x v="0"/>
    <n v="2"/>
    <n v="1013"/>
    <n v="1.020333E-2"/>
    <x v="3"/>
    <n v="-9584.2070000000003"/>
    <n v="429.41759999999999"/>
    <x v="1"/>
    <s v="Medium"/>
    <s v="Medium"/>
    <s v="August"/>
    <x v="7"/>
  </r>
  <r>
    <d v="2013-08-05T00:00:00"/>
    <x v="4"/>
    <x v="2"/>
    <n v="174970"/>
    <n v="55000"/>
    <x v="2"/>
    <x v="2"/>
    <x v="2"/>
    <n v="5"/>
    <n v="1867"/>
    <n v="1.020333E-2"/>
    <x v="1"/>
    <n v="-119970"/>
    <n v="29.459"/>
    <x v="1"/>
    <s v="Low"/>
    <s v="Large"/>
    <s v="August"/>
    <x v="7"/>
  </r>
  <r>
    <d v="2013-08-08T00:00:00"/>
    <x v="4"/>
    <x v="6"/>
    <n v="130000"/>
    <n v="92000"/>
    <x v="0"/>
    <x v="0"/>
    <x v="0"/>
    <n v="3"/>
    <n v="1019"/>
    <n v="1.020333E-2"/>
    <x v="2"/>
    <n v="-38000"/>
    <n v="90.284599999999998"/>
    <x v="1"/>
    <s v="Low"/>
    <s v="Medium"/>
    <s v="August"/>
    <x v="7"/>
  </r>
  <r>
    <d v="2013-08-09T00:00:00"/>
    <x v="4"/>
    <x v="1"/>
    <n v="21980"/>
    <n v="801000"/>
    <x v="0"/>
    <x v="0"/>
    <x v="0"/>
    <n v="3"/>
    <n v="1096"/>
    <n v="1.020333E-2"/>
    <x v="3"/>
    <n v="779020"/>
    <n v="730.83939999999996"/>
    <x v="0"/>
    <s v="High"/>
    <s v="Medium"/>
    <s v="August"/>
    <x v="7"/>
  </r>
  <r>
    <d v="2013-08-11T00:00:00"/>
    <x v="4"/>
    <x v="7"/>
    <n v="700800"/>
    <n v="725000"/>
    <x v="0"/>
    <x v="0"/>
    <x v="0"/>
    <n v="2"/>
    <n v="937"/>
    <n v="1.020333E-2"/>
    <x v="0"/>
    <n v="24200"/>
    <n v="773.74599999999998"/>
    <x v="0"/>
    <s v="High"/>
    <s v="Medium"/>
    <s v="August"/>
    <x v="7"/>
  </r>
  <r>
    <d v="2013-08-12T00:00:00"/>
    <x v="4"/>
    <x v="0"/>
    <n v="121700"/>
    <n v="61000"/>
    <x v="0"/>
    <x v="0"/>
    <x v="0"/>
    <n v="3"/>
    <n v="945"/>
    <n v="1.020333E-2"/>
    <x v="1"/>
    <n v="-60700"/>
    <n v="64.550299999999993"/>
    <x v="1"/>
    <s v="Low"/>
    <s v="Medium"/>
    <s v="August"/>
    <x v="7"/>
  </r>
  <r>
    <d v="2013-08-16T00:00:00"/>
    <x v="4"/>
    <x v="6"/>
    <n v="240800"/>
    <n v="400000"/>
    <x v="0"/>
    <x v="0"/>
    <x v="0"/>
    <n v="1"/>
    <n v="1007"/>
    <n v="1.020333E-2"/>
    <x v="1"/>
    <n v="159200"/>
    <n v="397.21949999999998"/>
    <x v="0"/>
    <s v="Medium"/>
    <s v="Medium"/>
    <s v="August"/>
    <x v="7"/>
  </r>
  <r>
    <d v="2013-08-17T00:00:00"/>
    <x v="4"/>
    <x v="1"/>
    <n v="350350"/>
    <n v="511500"/>
    <x v="0"/>
    <x v="0"/>
    <x v="0"/>
    <n v="1"/>
    <n v="1004"/>
    <n v="1.020333E-2"/>
    <x v="0"/>
    <n v="161150"/>
    <n v="509.4622"/>
    <x v="0"/>
    <s v="Medium"/>
    <s v="Medium"/>
    <s v="August"/>
    <x v="7"/>
  </r>
  <r>
    <d v="2013-08-18T00:00:00"/>
    <x v="4"/>
    <x v="2"/>
    <n v="170490"/>
    <n v="40500"/>
    <x v="1"/>
    <x v="1"/>
    <x v="1"/>
    <n v="2"/>
    <n v="1241"/>
    <n v="1.020333E-2"/>
    <x v="2"/>
    <n v="-129990"/>
    <n v="32.634999999999998"/>
    <x v="1"/>
    <s v="Low"/>
    <s v="Medium"/>
    <s v="August"/>
    <x v="7"/>
  </r>
  <r>
    <d v="2013-08-22T00:00:00"/>
    <x v="4"/>
    <x v="0"/>
    <n v="109740"/>
    <n v="25010"/>
    <x v="1"/>
    <x v="1"/>
    <x v="1"/>
    <n v="3"/>
    <n v="1475"/>
    <n v="1.020333E-2"/>
    <x v="0"/>
    <n v="-84730"/>
    <n v="16.9559"/>
    <x v="1"/>
    <s v="Low"/>
    <s v="Large"/>
    <s v="August"/>
    <x v="7"/>
  </r>
  <r>
    <d v="2013-08-23T00:00:00"/>
    <x v="4"/>
    <x v="7"/>
    <n v="410430"/>
    <n v="29000"/>
    <x v="0"/>
    <x v="0"/>
    <x v="0"/>
    <n v="2"/>
    <n v="952"/>
    <n v="1.020333E-2"/>
    <x v="1"/>
    <n v="-381430"/>
    <n v="30.462199999999999"/>
    <x v="1"/>
    <s v="Low"/>
    <s v="Medium"/>
    <s v="August"/>
    <x v="7"/>
  </r>
  <r>
    <d v="2013-08-25T00:00:00"/>
    <x v="4"/>
    <x v="6"/>
    <n v="211100"/>
    <n v="245000"/>
    <x v="0"/>
    <x v="0"/>
    <x v="0"/>
    <n v="3"/>
    <n v="1071"/>
    <n v="1.020333E-2"/>
    <x v="2"/>
    <n v="33900"/>
    <n v="228.75819999999999"/>
    <x v="0"/>
    <s v="Medium"/>
    <s v="Medium"/>
    <s v="August"/>
    <x v="7"/>
  </r>
  <r>
    <d v="2013-08-26T00:00:00"/>
    <x v="4"/>
    <x v="5"/>
    <n v="564680"/>
    <n v="755000"/>
    <x v="0"/>
    <x v="0"/>
    <x v="0"/>
    <n v="3"/>
    <n v="998"/>
    <n v="1.020333E-2"/>
    <x v="3"/>
    <n v="190320"/>
    <n v="756.51300000000003"/>
    <x v="0"/>
    <s v="High"/>
    <s v="Medium"/>
    <s v="August"/>
    <x v="7"/>
  </r>
  <r>
    <d v="2013-08-29T00:00:00"/>
    <x v="4"/>
    <x v="2"/>
    <n v="444584.20699999999"/>
    <n v="21000"/>
    <x v="1"/>
    <x v="1"/>
    <x v="1"/>
    <n v="3"/>
    <n v="1340"/>
    <n v="1.020333E-2"/>
    <x v="1"/>
    <n v="-423584.20699999999"/>
    <n v="15.6716"/>
    <x v="1"/>
    <s v="Low"/>
    <s v="Large"/>
    <s v="August"/>
    <x v="7"/>
  </r>
  <r>
    <d v="2013-08-30T00:00:00"/>
    <x v="4"/>
    <x v="7"/>
    <n v="554730"/>
    <n v="600000"/>
    <x v="0"/>
    <x v="0"/>
    <x v="0"/>
    <n v="1"/>
    <n v="967"/>
    <n v="1.020333E-2"/>
    <x v="0"/>
    <n v="45270"/>
    <n v="620.47569999999996"/>
    <x v="0"/>
    <s v="High"/>
    <s v="Medium"/>
    <s v="August"/>
    <x v="7"/>
  </r>
  <r>
    <d v="2013-08-31T00:00:00"/>
    <x v="4"/>
    <x v="0"/>
    <n v="111550"/>
    <n v="105000"/>
    <x v="0"/>
    <x v="0"/>
    <x v="0"/>
    <n v="2"/>
    <n v="1007"/>
    <n v="1.020333E-2"/>
    <x v="2"/>
    <n v="-6550"/>
    <n v="104.2701"/>
    <x v="1"/>
    <s v="Low"/>
    <s v="Medium"/>
    <s v="August"/>
    <x v="7"/>
  </r>
  <r>
    <d v="2013-09-01T00:00:00"/>
    <x v="4"/>
    <x v="7"/>
    <n v="473220"/>
    <n v="480000"/>
    <x v="0"/>
    <x v="0"/>
    <x v="0"/>
    <n v="1"/>
    <n v="1096"/>
    <n v="1.020333E-2"/>
    <x v="2"/>
    <n v="6780"/>
    <n v="437.95620000000002"/>
    <x v="0"/>
    <s v="Medium"/>
    <s v="Medium"/>
    <s v="September"/>
    <x v="8"/>
  </r>
  <r>
    <d v="2013-09-07T00:00:00"/>
    <x v="4"/>
    <x v="0"/>
    <n v="444584.20699999999"/>
    <n v="36000"/>
    <x v="0"/>
    <x v="0"/>
    <x v="0"/>
    <n v="2"/>
    <n v="900"/>
    <n v="1.020333E-2"/>
    <x v="2"/>
    <n v="-408584.20699999999"/>
    <n v="40"/>
    <x v="1"/>
    <s v="Low"/>
    <s v="Medium"/>
    <s v="September"/>
    <x v="8"/>
  </r>
  <r>
    <d v="2013-09-08T00:00:00"/>
    <x v="4"/>
    <x v="5"/>
    <n v="204330"/>
    <n v="135000"/>
    <x v="2"/>
    <x v="2"/>
    <x v="2"/>
    <n v="5"/>
    <n v="2157"/>
    <n v="1.020333E-2"/>
    <x v="0"/>
    <n v="-69330"/>
    <n v="62.5869"/>
    <x v="1"/>
    <s v="Low"/>
    <s v="Large"/>
    <s v="September"/>
    <x v="8"/>
  </r>
  <r>
    <d v="2013-09-09T00:00:00"/>
    <x v="4"/>
    <x v="0"/>
    <n v="206640"/>
    <n v="220000"/>
    <x v="0"/>
    <x v="0"/>
    <x v="0"/>
    <n v="1"/>
    <n v="1036"/>
    <n v="1.020333E-2"/>
    <x v="3"/>
    <n v="13360"/>
    <n v="212.3552"/>
    <x v="0"/>
    <s v="Medium"/>
    <s v="Medium"/>
    <s v="September"/>
    <x v="8"/>
  </r>
  <r>
    <d v="2013-09-13T00:00:00"/>
    <x v="4"/>
    <x v="6"/>
    <n v="444584.20699999999"/>
    <n v="363000"/>
    <x v="0"/>
    <x v="0"/>
    <x v="0"/>
    <n v="1"/>
    <n v="956"/>
    <n v="1.020333E-2"/>
    <x v="3"/>
    <n v="-81584.206999999995"/>
    <n v="379.70710000000003"/>
    <x v="1"/>
    <s v="Medium"/>
    <s v="Medium"/>
    <s v="September"/>
    <x v="8"/>
  </r>
  <r>
    <d v="2013-09-14T00:00:00"/>
    <x v="4"/>
    <x v="0"/>
    <n v="444584.20699999999"/>
    <n v="10000"/>
    <x v="1"/>
    <x v="1"/>
    <x v="1"/>
    <n v="3"/>
    <n v="1111.6589814177564"/>
    <n v="1.020333E-2"/>
    <x v="2"/>
    <n v="-434584.20699999999"/>
    <n v="8.9955999999999996"/>
    <x v="1"/>
    <s v="Low"/>
    <s v="Medium"/>
    <s v="September"/>
    <x v="8"/>
  </r>
  <r>
    <d v="2013-09-15T00:00:00"/>
    <x v="4"/>
    <x v="7"/>
    <n v="378670"/>
    <n v="360000"/>
    <x v="0"/>
    <x v="0"/>
    <x v="0"/>
    <n v="1"/>
    <n v="986"/>
    <n v="1.020333E-2"/>
    <x v="3"/>
    <n v="-18670"/>
    <n v="365.11160000000001"/>
    <x v="1"/>
    <s v="Medium"/>
    <s v="Medium"/>
    <s v="September"/>
    <x v="8"/>
  </r>
  <r>
    <d v="2013-09-16T00:00:00"/>
    <x v="4"/>
    <x v="7"/>
    <n v="608170"/>
    <n v="750000"/>
    <x v="0"/>
    <x v="0"/>
    <x v="0"/>
    <n v="1"/>
    <n v="1111.6589814177564"/>
    <n v="1.020333E-2"/>
    <x v="1"/>
    <n v="141830"/>
    <n v="674.66729999999995"/>
    <x v="0"/>
    <s v="High"/>
    <s v="Medium"/>
    <s v="September"/>
    <x v="8"/>
  </r>
  <r>
    <d v="2013-09-19T00:00:00"/>
    <x v="4"/>
    <x v="1"/>
    <n v="255080"/>
    <n v="302500"/>
    <x v="0"/>
    <x v="0"/>
    <x v="0"/>
    <n v="2"/>
    <n v="1020"/>
    <n v="1.020333E-2"/>
    <x v="3"/>
    <n v="47420"/>
    <n v="296.5686"/>
    <x v="0"/>
    <s v="Medium"/>
    <s v="Medium"/>
    <s v="September"/>
    <x v="8"/>
  </r>
  <r>
    <d v="2013-09-20T00:00:00"/>
    <x v="4"/>
    <x v="6"/>
    <n v="269500"/>
    <n v="365000"/>
    <x v="0"/>
    <x v="0"/>
    <x v="0"/>
    <n v="1"/>
    <n v="978"/>
    <n v="1.020333E-2"/>
    <x v="3"/>
    <n v="95500"/>
    <n v="373.2106"/>
    <x v="0"/>
    <s v="Medium"/>
    <s v="Medium"/>
    <s v="September"/>
    <x v="8"/>
  </r>
  <r>
    <d v="2013-09-23T00:00:00"/>
    <x v="4"/>
    <x v="7"/>
    <n v="323760"/>
    <n v="440000"/>
    <x v="0"/>
    <x v="0"/>
    <x v="0"/>
    <n v="3"/>
    <n v="1070"/>
    <n v="1.020333E-2"/>
    <x v="2"/>
    <n v="116240"/>
    <n v="411.21499999999997"/>
    <x v="0"/>
    <s v="Medium"/>
    <s v="Medium"/>
    <s v="September"/>
    <x v="8"/>
  </r>
  <r>
    <d v="2013-09-26T00:00:00"/>
    <x v="4"/>
    <x v="6"/>
    <n v="311000"/>
    <n v="390000"/>
    <x v="0"/>
    <x v="0"/>
    <x v="0"/>
    <n v="2"/>
    <n v="1060"/>
    <n v="1.020333E-2"/>
    <x v="3"/>
    <n v="79000"/>
    <n v="367.92450000000002"/>
    <x v="0"/>
    <s v="Medium"/>
    <s v="Medium"/>
    <s v="September"/>
    <x v="8"/>
  </r>
  <r>
    <d v="2013-09-27T00:00:00"/>
    <x v="4"/>
    <x v="2"/>
    <n v="159830"/>
    <n v="76100"/>
    <x v="1"/>
    <x v="1"/>
    <x v="1"/>
    <n v="2"/>
    <n v="1336"/>
    <n v="1.020333E-2"/>
    <x v="2"/>
    <n v="-83730"/>
    <n v="56.961100000000002"/>
    <x v="1"/>
    <s v="Low"/>
    <s v="Large"/>
    <s v="September"/>
    <x v="8"/>
  </r>
  <r>
    <d v="2013-09-28T00:00:00"/>
    <x v="4"/>
    <x v="0"/>
    <n v="137300"/>
    <n v="75000"/>
    <x v="2"/>
    <x v="2"/>
    <x v="2"/>
    <n v="6"/>
    <n v="1949"/>
    <n v="1.020333E-2"/>
    <x v="0"/>
    <n v="-62300"/>
    <n v="38.481299999999997"/>
    <x v="1"/>
    <s v="Low"/>
    <s v="Large"/>
    <s v="September"/>
    <x v="8"/>
  </r>
  <r>
    <d v="2013-09-29T00:00:00"/>
    <x v="4"/>
    <x v="6"/>
    <n v="125500"/>
    <n v="118000"/>
    <x v="0"/>
    <x v="0"/>
    <x v="0"/>
    <n v="2"/>
    <n v="975"/>
    <n v="1.020333E-2"/>
    <x v="1"/>
    <n v="-7500"/>
    <n v="121.0256"/>
    <x v="1"/>
    <s v="Low"/>
    <s v="Medium"/>
    <s v="September"/>
    <x v="8"/>
  </r>
  <r>
    <d v="2013-09-30T00:00:00"/>
    <x v="4"/>
    <x v="5"/>
    <n v="444584.20699999999"/>
    <n v="50000"/>
    <x v="0"/>
    <x v="0"/>
    <x v="0"/>
    <n v="3"/>
    <n v="964"/>
    <n v="1.020333E-2"/>
    <x v="3"/>
    <n v="-394584.20699999999"/>
    <n v="51.867199999999997"/>
    <x v="1"/>
    <s v="Low"/>
    <s v="Medium"/>
    <s v="September"/>
    <x v="8"/>
  </r>
  <r>
    <d v="2013-10-03T00:00:00"/>
    <x v="4"/>
    <x v="0"/>
    <n v="148240"/>
    <n v="145000"/>
    <x v="0"/>
    <x v="0"/>
    <x v="0"/>
    <n v="2"/>
    <n v="1111.6589814177564"/>
    <n v="1.020333E-2"/>
    <x v="0"/>
    <n v="-3240"/>
    <n v="130.4357"/>
    <x v="1"/>
    <s v="Low"/>
    <s v="Medium"/>
    <s v="October"/>
    <x v="9"/>
  </r>
  <r>
    <d v="2013-10-04T00:00:00"/>
    <x v="4"/>
    <x v="2"/>
    <n v="125050"/>
    <n v="120000"/>
    <x v="0"/>
    <x v="0"/>
    <x v="0"/>
    <n v="2"/>
    <n v="1077"/>
    <n v="1.020333E-2"/>
    <x v="0"/>
    <n v="-5050"/>
    <n v="111.42059999999999"/>
    <x v="1"/>
    <s v="Low"/>
    <s v="Medium"/>
    <s v="October"/>
    <x v="9"/>
  </r>
  <r>
    <d v="2013-10-05T00:00:00"/>
    <x v="4"/>
    <x v="5"/>
    <n v="307160"/>
    <n v="205000"/>
    <x v="0"/>
    <x v="0"/>
    <x v="0"/>
    <n v="1"/>
    <n v="934"/>
    <n v="1.020333E-2"/>
    <x v="3"/>
    <n v="-102160"/>
    <n v="219.48609999999999"/>
    <x v="1"/>
    <s v="Medium"/>
    <s v="Medium"/>
    <s v="October"/>
    <x v="9"/>
  </r>
  <r>
    <d v="2013-10-06T00:00:00"/>
    <x v="4"/>
    <x v="1"/>
    <n v="289870"/>
    <n v="420000"/>
    <x v="0"/>
    <x v="0"/>
    <x v="0"/>
    <n v="1"/>
    <n v="937"/>
    <n v="1.020333E-2"/>
    <x v="1"/>
    <n v="130130"/>
    <n v="448.23910000000001"/>
    <x v="0"/>
    <s v="Medium"/>
    <s v="Medium"/>
    <s v="October"/>
    <x v="9"/>
  </r>
  <r>
    <d v="2013-10-12T00:00:00"/>
    <x v="4"/>
    <x v="4"/>
    <n v="257390"/>
    <n v="423000"/>
    <x v="0"/>
    <x v="0"/>
    <x v="0"/>
    <n v="2"/>
    <n v="1093"/>
    <n v="1.020333E-2"/>
    <x v="3"/>
    <n v="165610"/>
    <n v="387.00819999999999"/>
    <x v="0"/>
    <s v="Medium"/>
    <s v="Medium"/>
    <s v="October"/>
    <x v="9"/>
  </r>
  <r>
    <d v="2013-10-13T00:00:00"/>
    <x v="4"/>
    <x v="2"/>
    <n v="173990"/>
    <n v="140000"/>
    <x v="2"/>
    <x v="2"/>
    <x v="2"/>
    <n v="6"/>
    <n v="2029"/>
    <n v="1.020333E-2"/>
    <x v="2"/>
    <n v="-33990"/>
    <n v="68.999499999999998"/>
    <x v="1"/>
    <s v="Low"/>
    <s v="Large"/>
    <s v="October"/>
    <x v="9"/>
  </r>
  <r>
    <d v="2013-10-14T00:00:00"/>
    <x v="4"/>
    <x v="4"/>
    <n v="1349530"/>
    <n v="2275000"/>
    <x v="0"/>
    <x v="0"/>
    <x v="0"/>
    <n v="3"/>
    <n v="1094"/>
    <n v="1.020333E-2"/>
    <x v="2"/>
    <n v="925470"/>
    <n v="2079.5246999999999"/>
    <x v="0"/>
    <s v="High"/>
    <s v="Medium"/>
    <s v="October"/>
    <x v="9"/>
  </r>
  <r>
    <d v="2013-10-17T00:00:00"/>
    <x v="4"/>
    <x v="2"/>
    <n v="168350"/>
    <n v="270000"/>
    <x v="2"/>
    <x v="2"/>
    <x v="2"/>
    <n v="4"/>
    <n v="2066"/>
    <n v="1.020333E-2"/>
    <x v="3"/>
    <n v="101650"/>
    <n v="130.68729999999999"/>
    <x v="0"/>
    <s v="Medium"/>
    <s v="Large"/>
    <s v="October"/>
    <x v="9"/>
  </r>
  <r>
    <d v="2013-10-19T00:00:00"/>
    <x v="4"/>
    <x v="7"/>
    <n v="507650"/>
    <n v="480000"/>
    <x v="1"/>
    <x v="1"/>
    <x v="1"/>
    <n v="2"/>
    <n v="1111.6589814177564"/>
    <n v="1.020333E-2"/>
    <x v="1"/>
    <n v="-27650"/>
    <n v="431.78710000000001"/>
    <x v="1"/>
    <s v="Medium"/>
    <s v="Medium"/>
    <s v="October"/>
    <x v="9"/>
  </r>
  <r>
    <d v="2013-10-21T00:00:00"/>
    <x v="4"/>
    <x v="5"/>
    <n v="380800"/>
    <n v="425000"/>
    <x v="0"/>
    <x v="0"/>
    <x v="0"/>
    <n v="3"/>
    <n v="927"/>
    <n v="1.020333E-2"/>
    <x v="2"/>
    <n v="44200"/>
    <n v="458.46820000000002"/>
    <x v="0"/>
    <s v="Medium"/>
    <s v="Medium"/>
    <s v="October"/>
    <x v="9"/>
  </r>
  <r>
    <d v="2013-10-25T00:00:00"/>
    <x v="4"/>
    <x v="7"/>
    <n v="443860"/>
    <n v="300000"/>
    <x v="0"/>
    <x v="0"/>
    <x v="0"/>
    <n v="1"/>
    <n v="1061"/>
    <n v="1.020333E-2"/>
    <x v="2"/>
    <n v="-143860"/>
    <n v="282.75209999999998"/>
    <x v="1"/>
    <s v="Medium"/>
    <s v="Medium"/>
    <s v="October"/>
    <x v="9"/>
  </r>
  <r>
    <d v="2013-10-28T00:00:00"/>
    <x v="4"/>
    <x v="1"/>
    <n v="404460"/>
    <n v="495000"/>
    <x v="0"/>
    <x v="0"/>
    <x v="0"/>
    <n v="3"/>
    <n v="1050"/>
    <n v="1.020333E-2"/>
    <x v="3"/>
    <n v="90540"/>
    <n v="471.42860000000002"/>
    <x v="0"/>
    <s v="Medium"/>
    <s v="Medium"/>
    <s v="October"/>
    <x v="9"/>
  </r>
  <r>
    <d v="2013-10-31T00:00:00"/>
    <x v="4"/>
    <x v="7"/>
    <n v="370410"/>
    <n v="500000"/>
    <x v="0"/>
    <x v="0"/>
    <x v="0"/>
    <n v="2"/>
    <n v="1052"/>
    <n v="1.020333E-2"/>
    <x v="3"/>
    <n v="129590"/>
    <n v="475.28519999999997"/>
    <x v="0"/>
    <s v="Medium"/>
    <s v="Medium"/>
    <s v="October"/>
    <x v="9"/>
  </r>
  <r>
    <d v="2013-11-01T00:00:00"/>
    <x v="4"/>
    <x v="2"/>
    <n v="244220"/>
    <n v="89000"/>
    <x v="1"/>
    <x v="1"/>
    <x v="1"/>
    <n v="4"/>
    <n v="1328"/>
    <n v="1.020333E-2"/>
    <x v="3"/>
    <n v="-155220"/>
    <n v="67.018100000000004"/>
    <x v="1"/>
    <s v="Low"/>
    <s v="Large"/>
    <s v="November"/>
    <x v="10"/>
  </r>
  <r>
    <d v="2013-11-02T00:00:00"/>
    <x v="4"/>
    <x v="7"/>
    <n v="280460"/>
    <n v="130000"/>
    <x v="1"/>
    <x v="1"/>
    <x v="1"/>
    <n v="3"/>
    <n v="1111.6589814177564"/>
    <n v="1.020333E-2"/>
    <x v="0"/>
    <n v="-150460"/>
    <n v="116.9423"/>
    <x v="1"/>
    <s v="Low"/>
    <s v="Medium"/>
    <s v="November"/>
    <x v="10"/>
  </r>
  <r>
    <d v="2013-11-03T00:00:00"/>
    <x v="4"/>
    <x v="2"/>
    <n v="444584.20699999999"/>
    <n v="35750"/>
    <x v="0"/>
    <x v="0"/>
    <x v="0"/>
    <n v="2"/>
    <n v="1018"/>
    <n v="1.020333E-2"/>
    <x v="2"/>
    <n v="-408834.20699999999"/>
    <n v="35.117899999999999"/>
    <x v="1"/>
    <s v="Low"/>
    <s v="Medium"/>
    <s v="November"/>
    <x v="10"/>
  </r>
  <r>
    <d v="2013-11-04T00:00:00"/>
    <x v="4"/>
    <x v="0"/>
    <n v="111490"/>
    <n v="25000"/>
    <x v="0"/>
    <x v="0"/>
    <x v="0"/>
    <n v="1"/>
    <n v="1027"/>
    <n v="1.020333E-2"/>
    <x v="2"/>
    <n v="-86490"/>
    <n v="24.342700000000001"/>
    <x v="1"/>
    <s v="Low"/>
    <s v="Medium"/>
    <s v="November"/>
    <x v="10"/>
  </r>
  <r>
    <d v="2013-11-09T00:00:00"/>
    <x v="4"/>
    <x v="2"/>
    <n v="173190"/>
    <n v="165000"/>
    <x v="1"/>
    <x v="1"/>
    <x v="1"/>
    <n v="2"/>
    <n v="1382"/>
    <n v="1.020333E-2"/>
    <x v="1"/>
    <n v="-8190"/>
    <n v="119.3922"/>
    <x v="1"/>
    <s v="Low"/>
    <s v="Large"/>
    <s v="November"/>
    <x v="10"/>
  </r>
  <r>
    <d v="2013-11-10T00:00:00"/>
    <x v="4"/>
    <x v="7"/>
    <n v="575890"/>
    <n v="350000"/>
    <x v="2"/>
    <x v="2"/>
    <x v="2"/>
    <n v="5"/>
    <n v="1923"/>
    <n v="1.020333E-2"/>
    <x v="2"/>
    <n v="-225890"/>
    <n v="182.00729999999999"/>
    <x v="1"/>
    <s v="Medium"/>
    <s v="Large"/>
    <s v="November"/>
    <x v="10"/>
  </r>
  <r>
    <d v="2013-11-14T00:00:00"/>
    <x v="4"/>
    <x v="0"/>
    <n v="444584.20699999999"/>
    <n v="192500"/>
    <x v="0"/>
    <x v="0"/>
    <x v="0"/>
    <n v="1"/>
    <n v="937"/>
    <n v="1.020333E-2"/>
    <x v="2"/>
    <n v="-252084.20699999999"/>
    <n v="205.44290000000001"/>
    <x v="1"/>
    <s v="Low"/>
    <s v="Medium"/>
    <s v="November"/>
    <x v="10"/>
  </r>
  <r>
    <d v="2013-11-15T00:00:00"/>
    <x v="4"/>
    <x v="3"/>
    <n v="1259300"/>
    <n v="2500000"/>
    <x v="0"/>
    <x v="0"/>
    <x v="0"/>
    <n v="1"/>
    <n v="1111.6589814177564"/>
    <n v="1.020333E-2"/>
    <x v="0"/>
    <n v="1240700"/>
    <n v="2248.8910999999998"/>
    <x v="0"/>
    <s v="High"/>
    <s v="Medium"/>
    <s v="November"/>
    <x v="10"/>
  </r>
  <r>
    <d v="2013-11-16T00:00:00"/>
    <x v="4"/>
    <x v="0"/>
    <n v="138180"/>
    <n v="173000"/>
    <x v="0"/>
    <x v="0"/>
    <x v="0"/>
    <n v="1"/>
    <n v="1013"/>
    <n v="1.020333E-2"/>
    <x v="2"/>
    <n v="34820"/>
    <n v="170.7799"/>
    <x v="0"/>
    <s v="Low"/>
    <s v="Medium"/>
    <s v="November"/>
    <x v="10"/>
  </r>
  <r>
    <d v="2013-11-17T00:00:00"/>
    <x v="4"/>
    <x v="5"/>
    <n v="444584.20699999999"/>
    <n v="160000"/>
    <x v="1"/>
    <x v="1"/>
    <x v="1"/>
    <n v="4"/>
    <n v="1466"/>
    <n v="1.020333E-2"/>
    <x v="0"/>
    <n v="-284584.20699999999"/>
    <n v="109.1405"/>
    <x v="1"/>
    <s v="Low"/>
    <s v="Large"/>
    <s v="November"/>
    <x v="10"/>
  </r>
  <r>
    <d v="2013-11-18T00:00:00"/>
    <x v="4"/>
    <x v="0"/>
    <n v="125920"/>
    <n v="105000"/>
    <x v="0"/>
    <x v="0"/>
    <x v="0"/>
    <n v="2"/>
    <n v="956"/>
    <n v="1.020333E-2"/>
    <x v="3"/>
    <n v="-20920"/>
    <n v="109.8326"/>
    <x v="1"/>
    <s v="Low"/>
    <s v="Medium"/>
    <s v="November"/>
    <x v="10"/>
  </r>
  <r>
    <d v="2013-11-21T00:00:00"/>
    <x v="4"/>
    <x v="3"/>
    <n v="408450"/>
    <n v="400000"/>
    <x v="1"/>
    <x v="1"/>
    <x v="1"/>
    <n v="3"/>
    <n v="1214"/>
    <n v="1.020333E-2"/>
    <x v="3"/>
    <n v="-8450"/>
    <n v="329.48930000000001"/>
    <x v="1"/>
    <s v="Medium"/>
    <s v="Medium"/>
    <s v="November"/>
    <x v="10"/>
  </r>
  <r>
    <d v="2013-11-22T00:00:00"/>
    <x v="4"/>
    <x v="3"/>
    <n v="746550"/>
    <n v="2500000"/>
    <x v="0"/>
    <x v="0"/>
    <x v="0"/>
    <n v="1"/>
    <n v="990"/>
    <n v="1.020333E-2"/>
    <x v="1"/>
    <n v="1753450"/>
    <n v="2525.2525000000001"/>
    <x v="0"/>
    <s v="High"/>
    <s v="Medium"/>
    <s v="November"/>
    <x v="10"/>
  </r>
  <r>
    <d v="2013-11-23T00:00:00"/>
    <x v="4"/>
    <x v="0"/>
    <n v="444584.20699999999"/>
    <n v="55000"/>
    <x v="0"/>
    <x v="0"/>
    <x v="0"/>
    <n v="1"/>
    <n v="1049"/>
    <n v="1.020333E-2"/>
    <x v="2"/>
    <n v="-389584.20699999999"/>
    <n v="52.430900000000001"/>
    <x v="1"/>
    <s v="Low"/>
    <s v="Medium"/>
    <s v="November"/>
    <x v="10"/>
  </r>
  <r>
    <d v="2013-11-28T00:00:00"/>
    <x v="4"/>
    <x v="2"/>
    <n v="121050"/>
    <n v="41655"/>
    <x v="1"/>
    <x v="1"/>
    <x v="1"/>
    <n v="3"/>
    <n v="1205"/>
    <n v="1.020333E-2"/>
    <x v="2"/>
    <n v="-79395"/>
    <n v="34.5685"/>
    <x v="1"/>
    <s v="Low"/>
    <s v="Medium"/>
    <s v="November"/>
    <x v="10"/>
  </r>
  <r>
    <d v="2013-11-29T00:00:00"/>
    <x v="4"/>
    <x v="1"/>
    <n v="335160"/>
    <n v="230000"/>
    <x v="1"/>
    <x v="1"/>
    <x v="1"/>
    <n v="4"/>
    <n v="1421"/>
    <n v="1.020333E-2"/>
    <x v="3"/>
    <n v="-105160"/>
    <n v="161.8578"/>
    <x v="1"/>
    <s v="Medium"/>
    <s v="Large"/>
    <s v="November"/>
    <x v="10"/>
  </r>
  <r>
    <d v="2013-11-30T00:00:00"/>
    <x v="4"/>
    <x v="4"/>
    <n v="444584.20699999999"/>
    <n v="348000"/>
    <x v="0"/>
    <x v="0"/>
    <x v="0"/>
    <n v="2"/>
    <n v="968"/>
    <n v="1.020333E-2"/>
    <x v="0"/>
    <n v="-96584.206999999995"/>
    <n v="359.50409999999999"/>
    <x v="1"/>
    <s v="Medium"/>
    <s v="Medium"/>
    <s v="November"/>
    <x v="10"/>
  </r>
  <r>
    <d v="2013-12-01T00:00:00"/>
    <x v="4"/>
    <x v="2"/>
    <n v="137620"/>
    <n v="150000"/>
    <x v="0"/>
    <x v="0"/>
    <x v="0"/>
    <n v="3"/>
    <n v="1025"/>
    <n v="1.020333E-2"/>
    <x v="0"/>
    <n v="12380"/>
    <n v="146.3415"/>
    <x v="0"/>
    <s v="Low"/>
    <s v="Medium"/>
    <s v="December"/>
    <x v="11"/>
  </r>
  <r>
    <d v="2013-12-02T00:00:00"/>
    <x v="4"/>
    <x v="7"/>
    <n v="666040"/>
    <n v="810000"/>
    <x v="0"/>
    <x v="0"/>
    <x v="0"/>
    <n v="1"/>
    <n v="1111.6589814177564"/>
    <n v="1.020333E-2"/>
    <x v="3"/>
    <n v="143960"/>
    <n v="728.64070000000004"/>
    <x v="0"/>
    <s v="High"/>
    <s v="Medium"/>
    <s v="December"/>
    <x v="11"/>
  </r>
  <r>
    <d v="2013-12-05T00:00:00"/>
    <x v="4"/>
    <x v="3"/>
    <n v="611100"/>
    <n v="800000"/>
    <x v="0"/>
    <x v="0"/>
    <x v="0"/>
    <n v="3"/>
    <n v="949"/>
    <n v="1.020333E-2"/>
    <x v="1"/>
    <n v="188900"/>
    <n v="842.99260000000004"/>
    <x v="0"/>
    <s v="High"/>
    <s v="Medium"/>
    <s v="December"/>
    <x v="11"/>
  </r>
  <r>
    <d v="2013-12-06T00:00:00"/>
    <x v="4"/>
    <x v="2"/>
    <n v="149890"/>
    <n v="68000"/>
    <x v="0"/>
    <x v="0"/>
    <x v="0"/>
    <n v="3"/>
    <n v="966"/>
    <n v="1.020333E-2"/>
    <x v="2"/>
    <n v="-81890"/>
    <n v="70.3934"/>
    <x v="1"/>
    <s v="Low"/>
    <s v="Medium"/>
    <s v="December"/>
    <x v="11"/>
  </r>
  <r>
    <d v="2013-12-07T00:00:00"/>
    <x v="4"/>
    <x v="2"/>
    <n v="198960"/>
    <n v="100000"/>
    <x v="0"/>
    <x v="0"/>
    <x v="0"/>
    <n v="2"/>
    <n v="1074"/>
    <n v="1.020333E-2"/>
    <x v="2"/>
    <n v="-98960"/>
    <n v="93.109899999999996"/>
    <x v="1"/>
    <s v="Low"/>
    <s v="Medium"/>
    <s v="December"/>
    <x v="11"/>
  </r>
  <r>
    <d v="2013-12-09T00:00:00"/>
    <x v="4"/>
    <x v="7"/>
    <n v="424060"/>
    <n v="580000"/>
    <x v="0"/>
    <x v="0"/>
    <x v="0"/>
    <n v="3"/>
    <n v="1025"/>
    <n v="1.020333E-2"/>
    <x v="1"/>
    <n v="155940"/>
    <n v="565.8537"/>
    <x v="0"/>
    <s v="Medium"/>
    <s v="Medium"/>
    <s v="December"/>
    <x v="11"/>
  </r>
  <r>
    <d v="2013-12-14T00:00:00"/>
    <x v="4"/>
    <x v="2"/>
    <n v="138380"/>
    <n v="115000"/>
    <x v="1"/>
    <x v="1"/>
    <x v="1"/>
    <n v="2"/>
    <n v="1469"/>
    <n v="1.020333E-2"/>
    <x v="2"/>
    <n v="-23380"/>
    <n v="78.284499999999994"/>
    <x v="1"/>
    <s v="Low"/>
    <s v="Large"/>
    <s v="December"/>
    <x v="11"/>
  </r>
  <r>
    <d v="2013-12-15T00:00:00"/>
    <x v="4"/>
    <x v="5"/>
    <n v="1043350"/>
    <n v="1501000"/>
    <x v="0"/>
    <x v="0"/>
    <x v="0"/>
    <n v="3"/>
    <n v="1065"/>
    <n v="1.020333E-2"/>
    <x v="3"/>
    <n v="457650"/>
    <n v="1409.3896999999999"/>
    <x v="0"/>
    <s v="High"/>
    <s v="Medium"/>
    <s v="December"/>
    <x v="11"/>
  </r>
  <r>
    <d v="2013-12-16T00:00:00"/>
    <x v="4"/>
    <x v="3"/>
    <n v="522480"/>
    <n v="710000"/>
    <x v="0"/>
    <x v="0"/>
    <x v="0"/>
    <n v="3"/>
    <n v="1049"/>
    <n v="1.020333E-2"/>
    <x v="1"/>
    <n v="187520"/>
    <n v="676.83510000000001"/>
    <x v="0"/>
    <s v="High"/>
    <s v="Medium"/>
    <s v="December"/>
    <x v="11"/>
  </r>
  <r>
    <d v="2013-12-19T00:00:00"/>
    <x v="4"/>
    <x v="2"/>
    <n v="444584.20699999999"/>
    <n v="120000"/>
    <x v="1"/>
    <x v="1"/>
    <x v="1"/>
    <n v="2"/>
    <n v="1385"/>
    <n v="1.020333E-2"/>
    <x v="0"/>
    <n v="-324584.20699999999"/>
    <n v="86.642600000000002"/>
    <x v="1"/>
    <s v="Low"/>
    <s v="Large"/>
    <s v="December"/>
    <x v="11"/>
  </r>
  <r>
    <d v="2013-12-20T00:00:00"/>
    <x v="4"/>
    <x v="0"/>
    <n v="444584.20699999999"/>
    <n v="82500"/>
    <x v="0"/>
    <x v="0"/>
    <x v="0"/>
    <n v="3"/>
    <n v="908"/>
    <n v="1.020333E-2"/>
    <x v="2"/>
    <n v="-362084.20699999999"/>
    <n v="90.858999999999995"/>
    <x v="1"/>
    <s v="Low"/>
    <s v="Medium"/>
    <s v="December"/>
    <x v="11"/>
  </r>
  <r>
    <d v="2013-12-21T00:00:00"/>
    <x v="4"/>
    <x v="7"/>
    <n v="393100"/>
    <n v="330000"/>
    <x v="1"/>
    <x v="1"/>
    <x v="1"/>
    <n v="4"/>
    <n v="1410"/>
    <n v="1.020333E-2"/>
    <x v="2"/>
    <n v="-63100"/>
    <n v="234.04259999999999"/>
    <x v="1"/>
    <s v="Medium"/>
    <s v="Large"/>
    <s v="December"/>
    <x v="11"/>
  </r>
  <r>
    <d v="2013-12-27T00:00:00"/>
    <x v="4"/>
    <x v="5"/>
    <n v="937230"/>
    <n v="1250000"/>
    <x v="0"/>
    <x v="0"/>
    <x v="0"/>
    <n v="3"/>
    <n v="943"/>
    <n v="1.020333E-2"/>
    <x v="1"/>
    <n v="312770"/>
    <n v="1325.5567000000001"/>
    <x v="0"/>
    <s v="High"/>
    <s v="Medium"/>
    <s v="December"/>
    <x v="11"/>
  </r>
  <r>
    <d v="2013-12-28T00:00:00"/>
    <x v="4"/>
    <x v="0"/>
    <n v="124930"/>
    <n v="127900"/>
    <x v="0"/>
    <x v="0"/>
    <x v="0"/>
    <n v="1"/>
    <n v="980"/>
    <n v="1.020333E-2"/>
    <x v="3"/>
    <n v="2970"/>
    <n v="130.5102"/>
    <x v="0"/>
    <s v="Low"/>
    <s v="Medium"/>
    <s v="December"/>
    <x v="11"/>
  </r>
  <r>
    <d v="2013-12-29T00:00:00"/>
    <x v="4"/>
    <x v="5"/>
    <n v="191150"/>
    <n v="60000"/>
    <x v="2"/>
    <x v="2"/>
    <x v="2"/>
    <n v="5"/>
    <n v="1111.6589814177564"/>
    <n v="1.020333E-2"/>
    <x v="2"/>
    <n v="-131150"/>
    <n v="53.973399999999998"/>
    <x v="1"/>
    <s v="Low"/>
    <s v="Medium"/>
    <s v="December"/>
    <x v="11"/>
  </r>
  <r>
    <d v="2013-12-30T00:00:00"/>
    <x v="4"/>
    <x v="0"/>
    <n v="444584.20699999999"/>
    <n v="147000"/>
    <x v="0"/>
    <x v="0"/>
    <x v="0"/>
    <n v="2"/>
    <n v="901"/>
    <n v="1.020333E-2"/>
    <x v="2"/>
    <n v="-297584.20699999999"/>
    <n v="163.15209999999999"/>
    <x v="1"/>
    <s v="Low"/>
    <s v="Medium"/>
    <s v="December"/>
    <x v="11"/>
  </r>
  <r>
    <d v="2014-01-03T00:00:00"/>
    <x v="5"/>
    <x v="2"/>
    <n v="163950"/>
    <n v="135000"/>
    <x v="1"/>
    <x v="1"/>
    <x v="1"/>
    <n v="2"/>
    <n v="1111.6589814177564"/>
    <n v="1.350819E-2"/>
    <x v="2"/>
    <n v="-28950"/>
    <n v="121.4401"/>
    <x v="1"/>
    <s v="Low"/>
    <s v="Medium"/>
    <s v="January"/>
    <x v="0"/>
  </r>
  <r>
    <d v="2014-01-04T00:00:00"/>
    <x v="5"/>
    <x v="2"/>
    <n v="142770"/>
    <n v="285000"/>
    <x v="0"/>
    <x v="0"/>
    <x v="0"/>
    <n v="3"/>
    <n v="1081"/>
    <n v="1.350819E-2"/>
    <x v="0"/>
    <n v="142230"/>
    <n v="263.64479999999998"/>
    <x v="0"/>
    <s v="Medium"/>
    <s v="Medium"/>
    <s v="January"/>
    <x v="0"/>
  </r>
  <r>
    <d v="2014-01-05T00:00:00"/>
    <x v="5"/>
    <x v="3"/>
    <n v="466340"/>
    <n v="515000"/>
    <x v="0"/>
    <x v="0"/>
    <x v="0"/>
    <n v="1"/>
    <n v="929"/>
    <n v="1.350819E-2"/>
    <x v="2"/>
    <n v="48660"/>
    <n v="554.35950000000003"/>
    <x v="0"/>
    <s v="Medium"/>
    <s v="Medium"/>
    <s v="January"/>
    <x v="0"/>
  </r>
  <r>
    <d v="2014-01-06T00:00:00"/>
    <x v="5"/>
    <x v="1"/>
    <n v="203840"/>
    <n v="200000"/>
    <x v="0"/>
    <x v="0"/>
    <x v="0"/>
    <n v="3"/>
    <n v="1017"/>
    <n v="1.350819E-2"/>
    <x v="0"/>
    <n v="-3840"/>
    <n v="196.6568"/>
    <x v="1"/>
    <s v="Medium"/>
    <s v="Medium"/>
    <s v="January"/>
    <x v="0"/>
  </r>
  <r>
    <d v="2014-01-09T00:00:00"/>
    <x v="5"/>
    <x v="2"/>
    <n v="144620"/>
    <n v="69900"/>
    <x v="2"/>
    <x v="2"/>
    <x v="2"/>
    <n v="5"/>
    <n v="1847"/>
    <n v="1.350819E-2"/>
    <x v="0"/>
    <n v="-74720"/>
    <n v="37.845199999999998"/>
    <x v="1"/>
    <s v="Low"/>
    <s v="Large"/>
    <s v="January"/>
    <x v="0"/>
  </r>
  <r>
    <d v="2014-01-10T00:00:00"/>
    <x v="5"/>
    <x v="3"/>
    <n v="337960"/>
    <n v="530000"/>
    <x v="3"/>
    <x v="3"/>
    <x v="3"/>
    <n v="7"/>
    <n v="2800"/>
    <n v="1.350819E-2"/>
    <x v="3"/>
    <n v="192040"/>
    <n v="189.28569999999999"/>
    <x v="0"/>
    <s v="Medium"/>
    <s v="Large"/>
    <s v="January"/>
    <x v="0"/>
  </r>
  <r>
    <d v="2014-01-11T00:00:00"/>
    <x v="5"/>
    <x v="2"/>
    <n v="138290"/>
    <n v="97000"/>
    <x v="0"/>
    <x v="0"/>
    <x v="0"/>
    <n v="2"/>
    <n v="1013"/>
    <n v="1.350819E-2"/>
    <x v="1"/>
    <n v="-41290"/>
    <n v="95.755200000000002"/>
    <x v="1"/>
    <s v="Low"/>
    <s v="Medium"/>
    <s v="January"/>
    <x v="0"/>
  </r>
  <r>
    <d v="2014-01-12T00:00:00"/>
    <x v="5"/>
    <x v="2"/>
    <n v="444584.20699999999"/>
    <n v="130000"/>
    <x v="0"/>
    <x v="0"/>
    <x v="0"/>
    <n v="3"/>
    <n v="959"/>
    <n v="1.350819E-2"/>
    <x v="2"/>
    <n v="-314584.20699999999"/>
    <n v="135.55789999999999"/>
    <x v="1"/>
    <s v="Low"/>
    <s v="Medium"/>
    <s v="January"/>
    <x v="0"/>
  </r>
  <r>
    <d v="2014-01-13T00:00:00"/>
    <x v="5"/>
    <x v="3"/>
    <n v="2645930"/>
    <n v="3675000"/>
    <x v="0"/>
    <x v="0"/>
    <x v="0"/>
    <n v="1"/>
    <n v="918"/>
    <n v="1.350819E-2"/>
    <x v="3"/>
    <n v="1029070"/>
    <n v="4003.268"/>
    <x v="0"/>
    <s v="High"/>
    <s v="Medium"/>
    <s v="January"/>
    <x v="0"/>
  </r>
  <r>
    <d v="2014-01-19T00:00:00"/>
    <x v="5"/>
    <x v="3"/>
    <n v="521500"/>
    <n v="525000"/>
    <x v="0"/>
    <x v="0"/>
    <x v="0"/>
    <n v="1"/>
    <n v="1071"/>
    <n v="1.350819E-2"/>
    <x v="3"/>
    <n v="3500"/>
    <n v="490.1961"/>
    <x v="0"/>
    <s v="Medium"/>
    <s v="Medium"/>
    <s v="January"/>
    <x v="0"/>
  </r>
  <r>
    <d v="2014-01-23T00:00:00"/>
    <x v="5"/>
    <x v="5"/>
    <n v="444584.20699999999"/>
    <n v="35000"/>
    <x v="2"/>
    <x v="2"/>
    <x v="2"/>
    <n v="6"/>
    <n v="1111.6589814177564"/>
    <n v="1.350819E-2"/>
    <x v="1"/>
    <n v="-409584.20699999999"/>
    <n v="31.484500000000001"/>
    <x v="1"/>
    <s v="Low"/>
    <s v="Medium"/>
    <s v="January"/>
    <x v="0"/>
  </r>
  <r>
    <d v="2014-01-24T00:00:00"/>
    <x v="5"/>
    <x v="4"/>
    <n v="444584.20699999999"/>
    <n v="200000"/>
    <x v="0"/>
    <x v="0"/>
    <x v="0"/>
    <n v="2"/>
    <n v="939"/>
    <n v="1.350819E-2"/>
    <x v="0"/>
    <n v="-244584.20699999999"/>
    <n v="212.99250000000001"/>
    <x v="1"/>
    <s v="Medium"/>
    <s v="Medium"/>
    <s v="January"/>
    <x v="0"/>
  </r>
  <r>
    <d v="2014-01-25T00:00:00"/>
    <x v="5"/>
    <x v="7"/>
    <n v="306490"/>
    <n v="188000"/>
    <x v="0"/>
    <x v="0"/>
    <x v="0"/>
    <n v="3"/>
    <n v="1111.6589814177564"/>
    <n v="1.350819E-2"/>
    <x v="2"/>
    <n v="-118490"/>
    <n v="169.11660000000001"/>
    <x v="1"/>
    <s v="Low"/>
    <s v="Medium"/>
    <s v="January"/>
    <x v="0"/>
  </r>
  <r>
    <d v="2014-01-26T00:00:00"/>
    <x v="5"/>
    <x v="2"/>
    <n v="232270"/>
    <n v="185000"/>
    <x v="2"/>
    <x v="2"/>
    <x v="2"/>
    <n v="4"/>
    <n v="2033"/>
    <n v="1.350819E-2"/>
    <x v="0"/>
    <n v="-47270"/>
    <n v="90.998500000000007"/>
    <x v="1"/>
    <s v="Low"/>
    <s v="Large"/>
    <s v="January"/>
    <x v="0"/>
  </r>
  <r>
    <d v="2014-01-27T00:00:00"/>
    <x v="5"/>
    <x v="4"/>
    <n v="444584.20699999999"/>
    <n v="915000"/>
    <x v="0"/>
    <x v="0"/>
    <x v="0"/>
    <n v="2"/>
    <n v="951"/>
    <n v="1.350819E-2"/>
    <x v="0"/>
    <n v="470415.79300000001"/>
    <n v="962.14509999999996"/>
    <x v="0"/>
    <s v="High"/>
    <s v="Medium"/>
    <s v="January"/>
    <x v="0"/>
  </r>
  <r>
    <d v="2014-01-31T00:00:00"/>
    <x v="5"/>
    <x v="3"/>
    <n v="444584.20699999999"/>
    <n v="1750000"/>
    <x v="0"/>
    <x v="0"/>
    <x v="0"/>
    <n v="2"/>
    <n v="1111.6589814177564"/>
    <n v="1.350819E-2"/>
    <x v="3"/>
    <n v="1305415.7930000001"/>
    <n v="1574.2238"/>
    <x v="0"/>
    <s v="High"/>
    <s v="Medium"/>
    <s v="January"/>
    <x v="0"/>
  </r>
  <r>
    <d v="2014-02-01T00:00:00"/>
    <x v="5"/>
    <x v="1"/>
    <n v="773850"/>
    <n v="1060783"/>
    <x v="0"/>
    <x v="0"/>
    <x v="0"/>
    <n v="3"/>
    <n v="1023"/>
    <n v="1.350819E-2"/>
    <x v="2"/>
    <n v="286933"/>
    <n v="1036.9335000000001"/>
    <x v="0"/>
    <s v="High"/>
    <s v="Medium"/>
    <s v="February"/>
    <x v="1"/>
  </r>
  <r>
    <d v="2014-02-02T00:00:00"/>
    <x v="5"/>
    <x v="2"/>
    <n v="137610"/>
    <n v="134260"/>
    <x v="0"/>
    <x v="0"/>
    <x v="0"/>
    <n v="3"/>
    <n v="1043"/>
    <n v="1.350819E-2"/>
    <x v="0"/>
    <n v="-3350"/>
    <n v="128.72479999999999"/>
    <x v="1"/>
    <s v="Low"/>
    <s v="Medium"/>
    <s v="February"/>
    <x v="1"/>
  </r>
  <r>
    <d v="2014-02-03T00:00:00"/>
    <x v="5"/>
    <x v="3"/>
    <n v="444584.20699999999"/>
    <n v="6453000"/>
    <x v="0"/>
    <x v="0"/>
    <x v="0"/>
    <n v="1"/>
    <n v="955"/>
    <n v="1.350819E-2"/>
    <x v="3"/>
    <n v="6008415.7929999996"/>
    <n v="6757.0681000000004"/>
    <x v="0"/>
    <s v="High"/>
    <s v="Medium"/>
    <s v="February"/>
    <x v="1"/>
  </r>
  <r>
    <d v="2014-02-06T00:00:00"/>
    <x v="5"/>
    <x v="0"/>
    <n v="116840"/>
    <n v="70000"/>
    <x v="1"/>
    <x v="1"/>
    <x v="1"/>
    <n v="2"/>
    <n v="1343"/>
    <n v="1.350819E-2"/>
    <x v="1"/>
    <n v="-46840"/>
    <n v="52.122100000000003"/>
    <x v="1"/>
    <s v="Low"/>
    <s v="Large"/>
    <s v="February"/>
    <x v="1"/>
  </r>
  <r>
    <d v="2014-02-07T00:00:00"/>
    <x v="5"/>
    <x v="5"/>
    <n v="446530"/>
    <n v="745000"/>
    <x v="0"/>
    <x v="0"/>
    <x v="0"/>
    <n v="3"/>
    <n v="943"/>
    <n v="1.350819E-2"/>
    <x v="2"/>
    <n v="298470"/>
    <n v="790.03179999999998"/>
    <x v="0"/>
    <s v="High"/>
    <s v="Medium"/>
    <s v="February"/>
    <x v="1"/>
  </r>
  <r>
    <d v="2014-02-08T00:00:00"/>
    <x v="5"/>
    <x v="5"/>
    <n v="177230"/>
    <n v="95000"/>
    <x v="0"/>
    <x v="0"/>
    <x v="0"/>
    <n v="3"/>
    <n v="907"/>
    <n v="1.350819E-2"/>
    <x v="0"/>
    <n v="-82230"/>
    <n v="104.7409"/>
    <x v="1"/>
    <s v="Low"/>
    <s v="Medium"/>
    <s v="February"/>
    <x v="1"/>
  </r>
  <r>
    <d v="2014-02-13T00:00:00"/>
    <x v="5"/>
    <x v="2"/>
    <n v="148820"/>
    <n v="48924"/>
    <x v="2"/>
    <x v="2"/>
    <x v="2"/>
    <n v="6"/>
    <n v="1111.6589814177564"/>
    <n v="1.350819E-2"/>
    <x v="0"/>
    <n v="-99896"/>
    <n v="44.009900000000002"/>
    <x v="1"/>
    <s v="Low"/>
    <s v="Medium"/>
    <s v="February"/>
    <x v="1"/>
  </r>
  <r>
    <d v="2014-02-14T00:00:00"/>
    <x v="5"/>
    <x v="1"/>
    <n v="534520"/>
    <n v="380000"/>
    <x v="1"/>
    <x v="1"/>
    <x v="1"/>
    <n v="3"/>
    <n v="1111.6589814177564"/>
    <n v="1.350819E-2"/>
    <x v="0"/>
    <n v="-154520"/>
    <n v="341.83139999999997"/>
    <x v="1"/>
    <s v="Medium"/>
    <s v="Medium"/>
    <s v="February"/>
    <x v="1"/>
  </r>
  <r>
    <d v="2014-02-15T00:00:00"/>
    <x v="5"/>
    <x v="2"/>
    <n v="176528"/>
    <n v="235000"/>
    <x v="0"/>
    <x v="0"/>
    <x v="0"/>
    <n v="3"/>
    <n v="1111.6589814177564"/>
    <n v="1.350819E-2"/>
    <x v="1"/>
    <n v="58472"/>
    <n v="211.39580000000001"/>
    <x v="0"/>
    <s v="Medium"/>
    <s v="Medium"/>
    <s v="February"/>
    <x v="1"/>
  </r>
  <r>
    <d v="2014-02-16T00:00:00"/>
    <x v="5"/>
    <x v="4"/>
    <n v="1886780"/>
    <n v="2365000"/>
    <x v="0"/>
    <x v="0"/>
    <x v="0"/>
    <n v="2"/>
    <n v="1073"/>
    <n v="1.350819E-2"/>
    <x v="3"/>
    <n v="478220"/>
    <n v="2204.1007"/>
    <x v="0"/>
    <s v="High"/>
    <s v="Medium"/>
    <s v="February"/>
    <x v="1"/>
  </r>
  <r>
    <d v="2014-02-17T00:00:00"/>
    <x v="5"/>
    <x v="1"/>
    <n v="311150"/>
    <n v="215000"/>
    <x v="0"/>
    <x v="0"/>
    <x v="0"/>
    <n v="3"/>
    <n v="997"/>
    <n v="1.350819E-2"/>
    <x v="0"/>
    <n v="-96150"/>
    <n v="215.64689999999999"/>
    <x v="1"/>
    <s v="Medium"/>
    <s v="Medium"/>
    <s v="February"/>
    <x v="1"/>
  </r>
  <r>
    <d v="2014-02-22T00:00:00"/>
    <x v="5"/>
    <x v="3"/>
    <n v="1379980"/>
    <n v="1450000"/>
    <x v="0"/>
    <x v="0"/>
    <x v="0"/>
    <n v="2"/>
    <n v="1016"/>
    <n v="1.350819E-2"/>
    <x v="1"/>
    <n v="70020"/>
    <n v="1427.1654000000001"/>
    <x v="0"/>
    <s v="High"/>
    <s v="Medium"/>
    <s v="February"/>
    <x v="1"/>
  </r>
  <r>
    <d v="2014-02-24T00:00:00"/>
    <x v="5"/>
    <x v="3"/>
    <n v="907200"/>
    <n v="1330000"/>
    <x v="0"/>
    <x v="0"/>
    <x v="0"/>
    <n v="2"/>
    <n v="989"/>
    <n v="1.350819E-2"/>
    <x v="1"/>
    <n v="422800"/>
    <n v="1344.7927"/>
    <x v="0"/>
    <s v="High"/>
    <s v="Medium"/>
    <s v="February"/>
    <x v="1"/>
  </r>
  <r>
    <d v="2014-02-27T00:00:00"/>
    <x v="5"/>
    <x v="1"/>
    <n v="413490"/>
    <n v="465000"/>
    <x v="0"/>
    <x v="0"/>
    <x v="0"/>
    <n v="2"/>
    <n v="1111.6589814177564"/>
    <n v="1.350819E-2"/>
    <x v="2"/>
    <n v="51510"/>
    <n v="418.2937"/>
    <x v="0"/>
    <s v="Medium"/>
    <s v="Medium"/>
    <s v="February"/>
    <x v="1"/>
  </r>
  <r>
    <d v="2014-02-28T00:00:00"/>
    <x v="5"/>
    <x v="5"/>
    <n v="444584.20699999999"/>
    <n v="240000"/>
    <x v="1"/>
    <x v="1"/>
    <x v="1"/>
    <n v="3"/>
    <n v="1294"/>
    <n v="1.350819E-2"/>
    <x v="0"/>
    <n v="-204584.20699999999"/>
    <n v="185.47139999999999"/>
    <x v="1"/>
    <s v="Medium"/>
    <s v="Medium"/>
    <s v="February"/>
    <x v="1"/>
  </r>
  <r>
    <d v="2014-03-01T00:00:00"/>
    <x v="5"/>
    <x v="3"/>
    <n v="580860"/>
    <n v="458333"/>
    <x v="1"/>
    <x v="1"/>
    <x v="1"/>
    <n v="2"/>
    <n v="1361"/>
    <n v="1.350819E-2"/>
    <x v="1"/>
    <n v="-122527"/>
    <n v="336.76190000000003"/>
    <x v="1"/>
    <s v="Medium"/>
    <s v="Large"/>
    <s v="March"/>
    <x v="2"/>
  </r>
  <r>
    <d v="2014-03-02T00:00:00"/>
    <x v="5"/>
    <x v="3"/>
    <n v="444584.20699999999"/>
    <n v="200000"/>
    <x v="0"/>
    <x v="0"/>
    <x v="0"/>
    <n v="2"/>
    <n v="1025"/>
    <n v="1.350819E-2"/>
    <x v="1"/>
    <n v="-244584.20699999999"/>
    <n v="195.12200000000001"/>
    <x v="1"/>
    <s v="Medium"/>
    <s v="Medium"/>
    <s v="March"/>
    <x v="2"/>
  </r>
  <r>
    <d v="2014-03-05T00:00:00"/>
    <x v="5"/>
    <x v="7"/>
    <n v="329160"/>
    <n v="365000"/>
    <x v="0"/>
    <x v="0"/>
    <x v="0"/>
    <n v="3"/>
    <n v="1010"/>
    <n v="1.350819E-2"/>
    <x v="1"/>
    <n v="35840"/>
    <n v="361.3861"/>
    <x v="0"/>
    <s v="Medium"/>
    <s v="Medium"/>
    <s v="March"/>
    <x v="2"/>
  </r>
  <r>
    <d v="2014-03-08T00:00:00"/>
    <x v="5"/>
    <x v="0"/>
    <n v="122070"/>
    <n v="50000"/>
    <x v="2"/>
    <x v="2"/>
    <x v="2"/>
    <n v="5"/>
    <n v="2082"/>
    <n v="1.350819E-2"/>
    <x v="2"/>
    <n v="-72070"/>
    <n v="24.0154"/>
    <x v="1"/>
    <s v="Low"/>
    <s v="Large"/>
    <s v="March"/>
    <x v="2"/>
  </r>
  <r>
    <d v="2014-03-09T00:00:00"/>
    <x v="5"/>
    <x v="0"/>
    <n v="95590"/>
    <n v="104000"/>
    <x v="0"/>
    <x v="0"/>
    <x v="0"/>
    <n v="3"/>
    <n v="1111.6589814177564"/>
    <n v="1.350819E-2"/>
    <x v="0"/>
    <n v="8410"/>
    <n v="93.553899999999999"/>
    <x v="0"/>
    <s v="Low"/>
    <s v="Medium"/>
    <s v="March"/>
    <x v="2"/>
  </r>
  <r>
    <d v="2014-03-12T00:00:00"/>
    <x v="5"/>
    <x v="0"/>
    <n v="134160"/>
    <n v="75000"/>
    <x v="2"/>
    <x v="2"/>
    <x v="2"/>
    <n v="6"/>
    <n v="2098"/>
    <n v="1.350819E-2"/>
    <x v="0"/>
    <n v="-59160"/>
    <n v="35.7483"/>
    <x v="1"/>
    <s v="Low"/>
    <s v="Large"/>
    <s v="March"/>
    <x v="2"/>
  </r>
  <r>
    <d v="2014-03-14T00:00:00"/>
    <x v="5"/>
    <x v="1"/>
    <n v="441280"/>
    <n v="520000"/>
    <x v="0"/>
    <x v="0"/>
    <x v="0"/>
    <n v="3"/>
    <n v="966"/>
    <n v="1.350819E-2"/>
    <x v="2"/>
    <n v="78720"/>
    <n v="538.30229999999995"/>
    <x v="0"/>
    <s v="Medium"/>
    <s v="Medium"/>
    <s v="March"/>
    <x v="2"/>
  </r>
  <r>
    <d v="2014-03-15T00:00:00"/>
    <x v="5"/>
    <x v="3"/>
    <n v="444584.20699999999"/>
    <n v="1036800"/>
    <x v="0"/>
    <x v="0"/>
    <x v="0"/>
    <n v="2"/>
    <n v="1030"/>
    <n v="1.350819E-2"/>
    <x v="2"/>
    <n v="592215.79299999995"/>
    <n v="1006.6019"/>
    <x v="0"/>
    <s v="High"/>
    <s v="Medium"/>
    <s v="March"/>
    <x v="2"/>
  </r>
  <r>
    <d v="2014-03-16T00:00:00"/>
    <x v="5"/>
    <x v="0"/>
    <n v="139250"/>
    <n v="129500"/>
    <x v="0"/>
    <x v="0"/>
    <x v="0"/>
    <n v="3"/>
    <n v="999"/>
    <n v="1.350819E-2"/>
    <x v="3"/>
    <n v="-9750"/>
    <n v="129.62960000000001"/>
    <x v="1"/>
    <s v="Low"/>
    <s v="Medium"/>
    <s v="March"/>
    <x v="2"/>
  </r>
  <r>
    <d v="2014-03-19T00:00:00"/>
    <x v="5"/>
    <x v="2"/>
    <n v="100480"/>
    <n v="90000"/>
    <x v="0"/>
    <x v="0"/>
    <x v="0"/>
    <n v="2"/>
    <n v="969"/>
    <n v="1.350819E-2"/>
    <x v="1"/>
    <n v="-10480"/>
    <n v="92.879300000000001"/>
    <x v="1"/>
    <s v="Low"/>
    <s v="Medium"/>
    <s v="March"/>
    <x v="2"/>
  </r>
  <r>
    <d v="2014-03-21T00:00:00"/>
    <x v="5"/>
    <x v="5"/>
    <n v="176920"/>
    <n v="60000"/>
    <x v="0"/>
    <x v="0"/>
    <x v="0"/>
    <n v="1"/>
    <n v="1111.6589814177564"/>
    <n v="1.350819E-2"/>
    <x v="2"/>
    <n v="-116920"/>
    <n v="53.973399999999998"/>
    <x v="1"/>
    <s v="Low"/>
    <s v="Medium"/>
    <s v="March"/>
    <x v="2"/>
  </r>
  <r>
    <d v="2014-03-22T00:00:00"/>
    <x v="5"/>
    <x v="0"/>
    <n v="64200"/>
    <n v="10000"/>
    <x v="2"/>
    <x v="2"/>
    <x v="2"/>
    <n v="6"/>
    <n v="1952"/>
    <n v="1.350819E-2"/>
    <x v="1"/>
    <n v="-54200"/>
    <n v="5.1230000000000002"/>
    <x v="1"/>
    <s v="Low"/>
    <s v="Large"/>
    <s v="March"/>
    <x v="2"/>
  </r>
  <r>
    <d v="2014-03-23T00:00:00"/>
    <x v="5"/>
    <x v="0"/>
    <n v="81280"/>
    <n v="16163"/>
    <x v="0"/>
    <x v="0"/>
    <x v="0"/>
    <n v="2"/>
    <n v="1093"/>
    <n v="1.350819E-2"/>
    <x v="2"/>
    <n v="-65117"/>
    <n v="14.787699999999999"/>
    <x v="1"/>
    <s v="Low"/>
    <s v="Medium"/>
    <s v="March"/>
    <x v="2"/>
  </r>
  <r>
    <d v="2014-03-28T00:00:00"/>
    <x v="5"/>
    <x v="2"/>
    <n v="120950"/>
    <n v="74000"/>
    <x v="0"/>
    <x v="0"/>
    <x v="0"/>
    <n v="2"/>
    <n v="1111.6589814177564"/>
    <n v="1.350819E-2"/>
    <x v="3"/>
    <n v="-46950"/>
    <n v="66.5672"/>
    <x v="1"/>
    <s v="Low"/>
    <s v="Medium"/>
    <s v="March"/>
    <x v="2"/>
  </r>
  <r>
    <d v="2014-03-29T00:00:00"/>
    <x v="5"/>
    <x v="5"/>
    <n v="444584.20699999999"/>
    <n v="535000"/>
    <x v="0"/>
    <x v="0"/>
    <x v="0"/>
    <n v="1"/>
    <n v="951"/>
    <n v="1.350819E-2"/>
    <x v="1"/>
    <n v="90415.793000000005"/>
    <n v="562.56569999999999"/>
    <x v="0"/>
    <s v="Medium"/>
    <s v="Medium"/>
    <s v="March"/>
    <x v="2"/>
  </r>
  <r>
    <d v="2014-03-30T00:00:00"/>
    <x v="5"/>
    <x v="4"/>
    <n v="812560"/>
    <n v="1250000"/>
    <x v="0"/>
    <x v="0"/>
    <x v="0"/>
    <n v="2"/>
    <n v="939"/>
    <n v="1.350819E-2"/>
    <x v="2"/>
    <n v="437440"/>
    <n v="1331.2034000000001"/>
    <x v="0"/>
    <s v="High"/>
    <s v="Medium"/>
    <s v="March"/>
    <x v="2"/>
  </r>
  <r>
    <d v="2014-04-02T00:00:00"/>
    <x v="5"/>
    <x v="3"/>
    <n v="444584.20699999999"/>
    <n v="1875000"/>
    <x v="0"/>
    <x v="0"/>
    <x v="0"/>
    <n v="1"/>
    <n v="1086"/>
    <n v="1.350819E-2"/>
    <x v="2"/>
    <n v="1430415.7930000001"/>
    <n v="1726.5192999999999"/>
    <x v="0"/>
    <s v="High"/>
    <s v="Medium"/>
    <s v="April"/>
    <x v="3"/>
  </r>
  <r>
    <d v="2014-04-03T00:00:00"/>
    <x v="5"/>
    <x v="0"/>
    <n v="122830"/>
    <n v="125000"/>
    <x v="0"/>
    <x v="0"/>
    <x v="0"/>
    <n v="2"/>
    <n v="1111.6589814177564"/>
    <n v="1.350819E-2"/>
    <x v="2"/>
    <n v="2170"/>
    <n v="112.44459999999999"/>
    <x v="0"/>
    <s v="Low"/>
    <s v="Medium"/>
    <s v="April"/>
    <x v="3"/>
  </r>
  <r>
    <d v="2014-04-04T00:00:00"/>
    <x v="5"/>
    <x v="5"/>
    <n v="119470"/>
    <n v="130000"/>
    <x v="1"/>
    <x v="1"/>
    <x v="1"/>
    <n v="2"/>
    <n v="1356"/>
    <n v="1.350819E-2"/>
    <x v="1"/>
    <n v="10530"/>
    <n v="95.870199999999997"/>
    <x v="0"/>
    <s v="Low"/>
    <s v="Large"/>
    <s v="April"/>
    <x v="3"/>
  </r>
  <r>
    <d v="2014-04-05T00:00:00"/>
    <x v="5"/>
    <x v="3"/>
    <n v="480900"/>
    <n v="510000"/>
    <x v="1"/>
    <x v="1"/>
    <x v="1"/>
    <n v="2"/>
    <n v="1460"/>
    <n v="1.350819E-2"/>
    <x v="1"/>
    <n v="29100"/>
    <n v="349.31509999999997"/>
    <x v="0"/>
    <s v="Medium"/>
    <s v="Large"/>
    <s v="April"/>
    <x v="3"/>
  </r>
  <r>
    <d v="2014-04-10T00:00:00"/>
    <x v="5"/>
    <x v="0"/>
    <n v="155620"/>
    <n v="140000"/>
    <x v="0"/>
    <x v="0"/>
    <x v="0"/>
    <n v="2"/>
    <n v="966"/>
    <n v="1.350819E-2"/>
    <x v="0"/>
    <n v="-15620"/>
    <n v="144.92750000000001"/>
    <x v="1"/>
    <s v="Low"/>
    <s v="Medium"/>
    <s v="April"/>
    <x v="3"/>
  </r>
  <r>
    <d v="2014-04-11T00:00:00"/>
    <x v="5"/>
    <x v="3"/>
    <n v="1124620"/>
    <n v="2025000"/>
    <x v="0"/>
    <x v="0"/>
    <x v="0"/>
    <n v="1"/>
    <n v="900"/>
    <n v="1.350819E-2"/>
    <x v="3"/>
    <n v="900380"/>
    <n v="2250"/>
    <x v="0"/>
    <s v="High"/>
    <s v="Medium"/>
    <s v="April"/>
    <x v="3"/>
  </r>
  <r>
    <d v="2014-04-12T00:00:00"/>
    <x v="5"/>
    <x v="2"/>
    <n v="135240"/>
    <n v="90000"/>
    <x v="0"/>
    <x v="0"/>
    <x v="0"/>
    <n v="1"/>
    <n v="1092"/>
    <n v="1.350819E-2"/>
    <x v="0"/>
    <n v="-45240"/>
    <n v="82.417599999999993"/>
    <x v="1"/>
    <s v="Low"/>
    <s v="Medium"/>
    <s v="April"/>
    <x v="3"/>
  </r>
  <r>
    <d v="2014-04-13T00:00:00"/>
    <x v="5"/>
    <x v="0"/>
    <n v="175850"/>
    <n v="166000"/>
    <x v="0"/>
    <x v="0"/>
    <x v="0"/>
    <n v="1"/>
    <n v="926"/>
    <n v="1.350819E-2"/>
    <x v="1"/>
    <n v="-9850"/>
    <n v="179.26570000000001"/>
    <x v="1"/>
    <s v="Low"/>
    <s v="Medium"/>
    <s v="April"/>
    <x v="3"/>
  </r>
  <r>
    <d v="2014-04-16T00:00:00"/>
    <x v="5"/>
    <x v="2"/>
    <n v="177370"/>
    <n v="40000"/>
    <x v="1"/>
    <x v="1"/>
    <x v="1"/>
    <n v="2"/>
    <n v="1492"/>
    <n v="1.350819E-2"/>
    <x v="2"/>
    <n v="-137370"/>
    <n v="26.809699999999999"/>
    <x v="1"/>
    <s v="Low"/>
    <s v="Large"/>
    <s v="April"/>
    <x v="3"/>
  </r>
  <r>
    <d v="2014-04-17T00:00:00"/>
    <x v="5"/>
    <x v="3"/>
    <n v="1413510"/>
    <n v="3000000"/>
    <x v="0"/>
    <x v="0"/>
    <x v="0"/>
    <n v="1"/>
    <n v="1111.6589814177564"/>
    <n v="1.350819E-2"/>
    <x v="0"/>
    <n v="1586490"/>
    <n v="2698.6693"/>
    <x v="0"/>
    <s v="High"/>
    <s v="Medium"/>
    <s v="April"/>
    <x v="3"/>
  </r>
  <r>
    <d v="2014-04-18T00:00:00"/>
    <x v="5"/>
    <x v="2"/>
    <n v="228430"/>
    <n v="210000"/>
    <x v="3"/>
    <x v="3"/>
    <x v="3"/>
    <n v="6"/>
    <n v="2570"/>
    <n v="1.350819E-2"/>
    <x v="1"/>
    <n v="-18430"/>
    <n v="81.712100000000007"/>
    <x v="1"/>
    <s v="Medium"/>
    <s v="Large"/>
    <s v="April"/>
    <x v="3"/>
  </r>
  <r>
    <d v="2014-04-20T00:00:00"/>
    <x v="5"/>
    <x v="4"/>
    <n v="1188740"/>
    <n v="950000"/>
    <x v="0"/>
    <x v="0"/>
    <x v="0"/>
    <n v="2"/>
    <n v="999"/>
    <n v="1.350819E-2"/>
    <x v="3"/>
    <n v="-238740"/>
    <n v="950.95100000000002"/>
    <x v="1"/>
    <s v="High"/>
    <s v="Medium"/>
    <s v="April"/>
    <x v="3"/>
  </r>
  <r>
    <d v="2014-04-23T00:00:00"/>
    <x v="5"/>
    <x v="5"/>
    <n v="457240"/>
    <n v="552000"/>
    <x v="0"/>
    <x v="0"/>
    <x v="0"/>
    <n v="3"/>
    <n v="974"/>
    <n v="1.350819E-2"/>
    <x v="1"/>
    <n v="94760"/>
    <n v="566.73509999999999"/>
    <x v="0"/>
    <s v="Medium"/>
    <s v="Medium"/>
    <s v="April"/>
    <x v="3"/>
  </r>
  <r>
    <d v="2014-04-25T00:00:00"/>
    <x v="5"/>
    <x v="4"/>
    <n v="227290"/>
    <n v="222750"/>
    <x v="0"/>
    <x v="0"/>
    <x v="0"/>
    <n v="1"/>
    <n v="971"/>
    <n v="1.350819E-2"/>
    <x v="1"/>
    <n v="-4540"/>
    <n v="229.40270000000001"/>
    <x v="1"/>
    <s v="Medium"/>
    <s v="Medium"/>
    <s v="April"/>
    <x v="3"/>
  </r>
  <r>
    <d v="2014-04-26T00:00:00"/>
    <x v="5"/>
    <x v="4"/>
    <n v="314230"/>
    <n v="365000"/>
    <x v="0"/>
    <x v="0"/>
    <x v="0"/>
    <n v="3"/>
    <n v="942"/>
    <n v="1.350819E-2"/>
    <x v="2"/>
    <n v="50770"/>
    <n v="387.4735"/>
    <x v="0"/>
    <s v="Medium"/>
    <s v="Medium"/>
    <s v="April"/>
    <x v="3"/>
  </r>
  <r>
    <d v="2014-04-27T00:00:00"/>
    <x v="5"/>
    <x v="7"/>
    <n v="327190"/>
    <n v="315000"/>
    <x v="0"/>
    <x v="0"/>
    <x v="0"/>
    <n v="2"/>
    <n v="913"/>
    <n v="1.350819E-2"/>
    <x v="2"/>
    <n v="-12190"/>
    <n v="345.01639999999998"/>
    <x v="1"/>
    <s v="Medium"/>
    <s v="Medium"/>
    <s v="April"/>
    <x v="3"/>
  </r>
  <r>
    <d v="2014-04-30T00:00:00"/>
    <x v="5"/>
    <x v="1"/>
    <n v="340200"/>
    <n v="425000"/>
    <x v="0"/>
    <x v="0"/>
    <x v="0"/>
    <n v="3"/>
    <n v="904"/>
    <n v="1.350819E-2"/>
    <x v="1"/>
    <n v="84800"/>
    <n v="470.1327"/>
    <x v="0"/>
    <s v="Medium"/>
    <s v="Medium"/>
    <s v="April"/>
    <x v="3"/>
  </r>
  <r>
    <d v="2014-05-01T00:00:00"/>
    <x v="5"/>
    <x v="2"/>
    <n v="444584.20699999999"/>
    <n v="155000"/>
    <x v="0"/>
    <x v="0"/>
    <x v="0"/>
    <n v="3"/>
    <n v="979"/>
    <n v="1.350819E-2"/>
    <x v="0"/>
    <n v="-289584.20699999999"/>
    <n v="158.32480000000001"/>
    <x v="1"/>
    <s v="Low"/>
    <s v="Medium"/>
    <s v="May"/>
    <x v="4"/>
  </r>
  <r>
    <d v="2014-05-02T00:00:00"/>
    <x v="5"/>
    <x v="3"/>
    <n v="548380"/>
    <n v="319000"/>
    <x v="0"/>
    <x v="0"/>
    <x v="0"/>
    <n v="3"/>
    <n v="1099"/>
    <n v="1.350819E-2"/>
    <x v="2"/>
    <n v="-229380"/>
    <n v="290.26389999999998"/>
    <x v="1"/>
    <s v="Medium"/>
    <s v="Medium"/>
    <s v="May"/>
    <x v="4"/>
  </r>
  <r>
    <d v="2014-05-03T00:00:00"/>
    <x v="5"/>
    <x v="5"/>
    <n v="155740"/>
    <n v="56500"/>
    <x v="1"/>
    <x v="1"/>
    <x v="1"/>
    <n v="2"/>
    <n v="1422"/>
    <n v="1.350819E-2"/>
    <x v="0"/>
    <n v="-99240"/>
    <n v="39.732799999999997"/>
    <x v="1"/>
    <s v="Low"/>
    <s v="Large"/>
    <s v="May"/>
    <x v="4"/>
  </r>
  <r>
    <d v="2014-05-07T00:00:00"/>
    <x v="5"/>
    <x v="5"/>
    <n v="444584.20699999999"/>
    <n v="995000"/>
    <x v="0"/>
    <x v="0"/>
    <x v="0"/>
    <n v="3"/>
    <n v="963"/>
    <n v="1.350819E-2"/>
    <x v="3"/>
    <n v="550415.79299999995"/>
    <n v="1033.2294999999999"/>
    <x v="0"/>
    <s v="High"/>
    <s v="Medium"/>
    <s v="May"/>
    <x v="4"/>
  </r>
  <r>
    <d v="2014-05-10T00:00:00"/>
    <x v="5"/>
    <x v="2"/>
    <n v="163120"/>
    <n v="105000"/>
    <x v="2"/>
    <x v="2"/>
    <x v="2"/>
    <n v="6"/>
    <n v="1111.6589814177564"/>
    <n v="1.350819E-2"/>
    <x v="3"/>
    <n v="-58120"/>
    <n v="94.453400000000002"/>
    <x v="1"/>
    <s v="Low"/>
    <s v="Medium"/>
    <s v="May"/>
    <x v="4"/>
  </r>
  <r>
    <d v="2014-05-11T00:00:00"/>
    <x v="5"/>
    <x v="7"/>
    <n v="313820"/>
    <n v="350000"/>
    <x v="0"/>
    <x v="0"/>
    <x v="0"/>
    <n v="2"/>
    <n v="1019"/>
    <n v="1.350819E-2"/>
    <x v="0"/>
    <n v="36180"/>
    <n v="343.47399999999999"/>
    <x v="0"/>
    <s v="Medium"/>
    <s v="Medium"/>
    <s v="May"/>
    <x v="4"/>
  </r>
  <r>
    <d v="2014-05-17T00:00:00"/>
    <x v="5"/>
    <x v="5"/>
    <n v="438090"/>
    <n v="410000"/>
    <x v="0"/>
    <x v="0"/>
    <x v="0"/>
    <n v="1"/>
    <n v="1056"/>
    <n v="1.350819E-2"/>
    <x v="3"/>
    <n v="-28090"/>
    <n v="388.25760000000002"/>
    <x v="1"/>
    <s v="Medium"/>
    <s v="Medium"/>
    <s v="May"/>
    <x v="4"/>
  </r>
  <r>
    <d v="2014-05-18T00:00:00"/>
    <x v="5"/>
    <x v="0"/>
    <n v="33260"/>
    <n v="3000"/>
    <x v="0"/>
    <x v="0"/>
    <x v="0"/>
    <n v="3"/>
    <n v="1054"/>
    <n v="1.350819E-2"/>
    <x v="2"/>
    <n v="-30260"/>
    <n v="2.8462999999999998"/>
    <x v="1"/>
    <s v="Low"/>
    <s v="Medium"/>
    <s v="May"/>
    <x v="4"/>
  </r>
  <r>
    <d v="2014-05-20T00:00:00"/>
    <x v="5"/>
    <x v="0"/>
    <n v="101850"/>
    <n v="130000"/>
    <x v="0"/>
    <x v="0"/>
    <x v="0"/>
    <n v="3"/>
    <n v="1084"/>
    <n v="1.350819E-2"/>
    <x v="2"/>
    <n v="28150"/>
    <n v="119.92619999999999"/>
    <x v="0"/>
    <s v="Low"/>
    <s v="Medium"/>
    <s v="May"/>
    <x v="4"/>
  </r>
  <r>
    <d v="2014-05-21T00:00:00"/>
    <x v="5"/>
    <x v="0"/>
    <n v="107890"/>
    <n v="38400"/>
    <x v="0"/>
    <x v="0"/>
    <x v="0"/>
    <n v="1"/>
    <n v="1098"/>
    <n v="1.350819E-2"/>
    <x v="3"/>
    <n v="-69490"/>
    <n v="34.972700000000003"/>
    <x v="1"/>
    <s v="Low"/>
    <s v="Medium"/>
    <s v="May"/>
    <x v="4"/>
  </r>
  <r>
    <d v="2014-05-22T00:00:00"/>
    <x v="5"/>
    <x v="7"/>
    <n v="504780"/>
    <n v="395000"/>
    <x v="1"/>
    <x v="1"/>
    <x v="1"/>
    <n v="2"/>
    <n v="1397"/>
    <n v="1.350819E-2"/>
    <x v="0"/>
    <n v="-109780"/>
    <n v="282.74869999999999"/>
    <x v="1"/>
    <s v="Medium"/>
    <s v="Large"/>
    <s v="May"/>
    <x v="4"/>
  </r>
  <r>
    <d v="2014-05-25T00:00:00"/>
    <x v="5"/>
    <x v="3"/>
    <n v="1702890"/>
    <n v="2500000"/>
    <x v="0"/>
    <x v="0"/>
    <x v="0"/>
    <n v="1"/>
    <n v="912"/>
    <n v="1.350819E-2"/>
    <x v="2"/>
    <n v="797110"/>
    <n v="2741.2280999999998"/>
    <x v="0"/>
    <s v="High"/>
    <s v="Medium"/>
    <s v="May"/>
    <x v="4"/>
  </r>
  <r>
    <d v="2014-05-29T00:00:00"/>
    <x v="5"/>
    <x v="4"/>
    <n v="272790"/>
    <n v="425000"/>
    <x v="0"/>
    <x v="0"/>
    <x v="0"/>
    <n v="1"/>
    <n v="1041"/>
    <n v="1.350819E-2"/>
    <x v="2"/>
    <n v="152210"/>
    <n v="408.26130000000001"/>
    <x v="0"/>
    <s v="Medium"/>
    <s v="Medium"/>
    <s v="May"/>
    <x v="4"/>
  </r>
  <r>
    <d v="2014-05-30T00:00:00"/>
    <x v="5"/>
    <x v="7"/>
    <n v="438760"/>
    <n v="424975"/>
    <x v="0"/>
    <x v="0"/>
    <x v="0"/>
    <n v="2"/>
    <n v="1005"/>
    <n v="1.350819E-2"/>
    <x v="2"/>
    <n v="-13785"/>
    <n v="422.86070000000001"/>
    <x v="1"/>
    <s v="Medium"/>
    <s v="Medium"/>
    <s v="May"/>
    <x v="4"/>
  </r>
  <r>
    <d v="2014-05-31T00:00:00"/>
    <x v="5"/>
    <x v="4"/>
    <n v="444584.20699999999"/>
    <n v="1352750"/>
    <x v="0"/>
    <x v="0"/>
    <x v="0"/>
    <n v="1"/>
    <n v="1099"/>
    <n v="1.350819E-2"/>
    <x v="3"/>
    <n v="908165.79299999995"/>
    <n v="1230.8916999999999"/>
    <x v="0"/>
    <s v="High"/>
    <s v="Medium"/>
    <s v="May"/>
    <x v="4"/>
  </r>
  <r>
    <d v="2014-06-01T00:00:00"/>
    <x v="5"/>
    <x v="4"/>
    <n v="310310"/>
    <n v="445000"/>
    <x v="0"/>
    <x v="0"/>
    <x v="0"/>
    <n v="1"/>
    <n v="932"/>
    <n v="1.350819E-2"/>
    <x v="0"/>
    <n v="134690"/>
    <n v="477.46780000000001"/>
    <x v="0"/>
    <s v="Medium"/>
    <s v="Medium"/>
    <s v="June"/>
    <x v="5"/>
  </r>
  <r>
    <d v="2014-06-04T00:00:00"/>
    <x v="5"/>
    <x v="2"/>
    <n v="150500"/>
    <n v="107000"/>
    <x v="1"/>
    <x v="1"/>
    <x v="1"/>
    <n v="2"/>
    <n v="1292"/>
    <n v="1.350819E-2"/>
    <x v="1"/>
    <n v="-43500"/>
    <n v="82.817300000000003"/>
    <x v="1"/>
    <s v="Low"/>
    <s v="Medium"/>
    <s v="June"/>
    <x v="5"/>
  </r>
  <r>
    <d v="2014-06-05T00:00:00"/>
    <x v="5"/>
    <x v="4"/>
    <n v="292600"/>
    <n v="390000"/>
    <x v="0"/>
    <x v="0"/>
    <x v="0"/>
    <n v="2"/>
    <n v="1007"/>
    <n v="1.350819E-2"/>
    <x v="0"/>
    <n v="97400"/>
    <n v="387.28899999999999"/>
    <x v="0"/>
    <s v="Medium"/>
    <s v="Medium"/>
    <s v="June"/>
    <x v="5"/>
  </r>
  <r>
    <d v="2014-06-07T00:00:00"/>
    <x v="5"/>
    <x v="5"/>
    <n v="139630"/>
    <n v="40000"/>
    <x v="1"/>
    <x v="1"/>
    <x v="1"/>
    <n v="2"/>
    <n v="1343"/>
    <n v="1.350819E-2"/>
    <x v="0"/>
    <n v="-99630"/>
    <n v="29.784099999999999"/>
    <x v="1"/>
    <s v="Low"/>
    <s v="Large"/>
    <s v="June"/>
    <x v="5"/>
  </r>
  <r>
    <d v="2014-06-08T00:00:00"/>
    <x v="5"/>
    <x v="1"/>
    <n v="520030"/>
    <n v="848000"/>
    <x v="0"/>
    <x v="0"/>
    <x v="0"/>
    <n v="3"/>
    <n v="961"/>
    <n v="1.350819E-2"/>
    <x v="3"/>
    <n v="327970"/>
    <n v="882.41420000000005"/>
    <x v="0"/>
    <s v="High"/>
    <s v="Medium"/>
    <s v="June"/>
    <x v="5"/>
  </r>
  <r>
    <d v="2014-06-12T00:00:00"/>
    <x v="5"/>
    <x v="1"/>
    <n v="285460"/>
    <n v="255000"/>
    <x v="0"/>
    <x v="0"/>
    <x v="0"/>
    <n v="2"/>
    <n v="1034"/>
    <n v="1.350819E-2"/>
    <x v="0"/>
    <n v="-30460"/>
    <n v="246.61510000000001"/>
    <x v="1"/>
    <s v="Medium"/>
    <s v="Medium"/>
    <s v="June"/>
    <x v="5"/>
  </r>
  <r>
    <d v="2014-06-13T00:00:00"/>
    <x v="5"/>
    <x v="1"/>
    <n v="341110"/>
    <n v="424000"/>
    <x v="0"/>
    <x v="0"/>
    <x v="0"/>
    <n v="2"/>
    <n v="1111.6589814177564"/>
    <n v="1.350819E-2"/>
    <x v="0"/>
    <n v="82890"/>
    <n v="381.4119"/>
    <x v="0"/>
    <s v="Medium"/>
    <s v="Medium"/>
    <s v="June"/>
    <x v="5"/>
  </r>
  <r>
    <d v="2014-06-14T00:00:00"/>
    <x v="5"/>
    <x v="3"/>
    <n v="444584.20699999999"/>
    <n v="625000"/>
    <x v="1"/>
    <x v="1"/>
    <x v="1"/>
    <n v="4"/>
    <n v="1231"/>
    <n v="1.350819E-2"/>
    <x v="3"/>
    <n v="180415.79300000001"/>
    <n v="507.71730000000002"/>
    <x v="0"/>
    <s v="High"/>
    <s v="Medium"/>
    <s v="June"/>
    <x v="5"/>
  </r>
  <r>
    <d v="2014-06-15T00:00:00"/>
    <x v="5"/>
    <x v="7"/>
    <n v="444584.20699999999"/>
    <n v="230000"/>
    <x v="0"/>
    <x v="0"/>
    <x v="0"/>
    <n v="2"/>
    <n v="1030"/>
    <n v="1.350819E-2"/>
    <x v="3"/>
    <n v="-214584.20699999999"/>
    <n v="223.30099999999999"/>
    <x v="1"/>
    <s v="Medium"/>
    <s v="Medium"/>
    <s v="June"/>
    <x v="5"/>
  </r>
  <r>
    <d v="2014-06-19T00:00:00"/>
    <x v="5"/>
    <x v="0"/>
    <n v="129670"/>
    <n v="99000"/>
    <x v="0"/>
    <x v="0"/>
    <x v="0"/>
    <n v="1"/>
    <n v="1092"/>
    <n v="1.350819E-2"/>
    <x v="1"/>
    <n v="-30670"/>
    <n v="90.659300000000002"/>
    <x v="1"/>
    <s v="Low"/>
    <s v="Medium"/>
    <s v="June"/>
    <x v="5"/>
  </r>
  <r>
    <d v="2014-06-21T00:00:00"/>
    <x v="5"/>
    <x v="4"/>
    <n v="345170"/>
    <n v="415000"/>
    <x v="0"/>
    <x v="0"/>
    <x v="0"/>
    <n v="3"/>
    <n v="921"/>
    <n v="1.350819E-2"/>
    <x v="2"/>
    <n v="69830"/>
    <n v="450.59719999999999"/>
    <x v="0"/>
    <s v="Medium"/>
    <s v="Medium"/>
    <s v="June"/>
    <x v="5"/>
  </r>
  <r>
    <d v="2014-06-22T00:00:00"/>
    <x v="5"/>
    <x v="4"/>
    <n v="719670"/>
    <n v="440000"/>
    <x v="0"/>
    <x v="0"/>
    <x v="0"/>
    <n v="3"/>
    <n v="944"/>
    <n v="1.350819E-2"/>
    <x v="1"/>
    <n v="-279670"/>
    <n v="466.10169999999999"/>
    <x v="1"/>
    <s v="Medium"/>
    <s v="Medium"/>
    <s v="June"/>
    <x v="5"/>
  </r>
  <r>
    <d v="2014-06-25T00:00:00"/>
    <x v="5"/>
    <x v="1"/>
    <n v="206080"/>
    <n v="286500"/>
    <x v="0"/>
    <x v="0"/>
    <x v="0"/>
    <n v="2"/>
    <n v="1032"/>
    <n v="1.350819E-2"/>
    <x v="1"/>
    <n v="80420"/>
    <n v="277.61630000000002"/>
    <x v="0"/>
    <s v="Medium"/>
    <s v="Medium"/>
    <s v="June"/>
    <x v="5"/>
  </r>
  <r>
    <d v="2014-06-26T00:00:00"/>
    <x v="5"/>
    <x v="5"/>
    <n v="288540"/>
    <n v="310000"/>
    <x v="0"/>
    <x v="0"/>
    <x v="0"/>
    <n v="2"/>
    <n v="977"/>
    <n v="1.350819E-2"/>
    <x v="3"/>
    <n v="21460"/>
    <n v="317.29790000000003"/>
    <x v="0"/>
    <s v="Medium"/>
    <s v="Medium"/>
    <s v="June"/>
    <x v="5"/>
  </r>
  <r>
    <d v="2014-06-27T00:00:00"/>
    <x v="5"/>
    <x v="0"/>
    <n v="89820"/>
    <n v="56500"/>
    <x v="0"/>
    <x v="0"/>
    <x v="0"/>
    <n v="3"/>
    <n v="912"/>
    <n v="1.350819E-2"/>
    <x v="2"/>
    <n v="-33320"/>
    <n v="61.951799999999999"/>
    <x v="1"/>
    <s v="Low"/>
    <s v="Medium"/>
    <s v="June"/>
    <x v="5"/>
  </r>
  <r>
    <d v="2014-06-28T00:00:00"/>
    <x v="5"/>
    <x v="0"/>
    <n v="135560"/>
    <n v="34000"/>
    <x v="2"/>
    <x v="2"/>
    <x v="2"/>
    <n v="6"/>
    <n v="1111.6589814177564"/>
    <n v="1.350819E-2"/>
    <x v="1"/>
    <n v="-101560"/>
    <n v="30.584900000000001"/>
    <x v="1"/>
    <s v="Low"/>
    <s v="Medium"/>
    <s v="June"/>
    <x v="5"/>
  </r>
  <r>
    <d v="2014-06-29T00:00:00"/>
    <x v="5"/>
    <x v="5"/>
    <n v="444584.20699999999"/>
    <n v="88000"/>
    <x v="0"/>
    <x v="0"/>
    <x v="0"/>
    <n v="1"/>
    <n v="1018"/>
    <n v="1.350819E-2"/>
    <x v="3"/>
    <n v="-356584.20699999999"/>
    <n v="86.444000000000003"/>
    <x v="1"/>
    <s v="Low"/>
    <s v="Medium"/>
    <s v="June"/>
    <x v="5"/>
  </r>
  <r>
    <d v="2014-07-03T00:00:00"/>
    <x v="5"/>
    <x v="0"/>
    <n v="296710"/>
    <n v="160000"/>
    <x v="0"/>
    <x v="0"/>
    <x v="0"/>
    <n v="2"/>
    <n v="933"/>
    <n v="1.350819E-2"/>
    <x v="1"/>
    <n v="-136710"/>
    <n v="171.4898"/>
    <x v="1"/>
    <s v="Low"/>
    <s v="Medium"/>
    <s v="July"/>
    <x v="6"/>
  </r>
  <r>
    <d v="2014-07-05T00:00:00"/>
    <x v="5"/>
    <x v="5"/>
    <n v="164890"/>
    <n v="75000"/>
    <x v="1"/>
    <x v="1"/>
    <x v="1"/>
    <n v="4"/>
    <n v="1394"/>
    <n v="1.350819E-2"/>
    <x v="2"/>
    <n v="-89890"/>
    <n v="53.802"/>
    <x v="1"/>
    <s v="Low"/>
    <s v="Large"/>
    <s v="July"/>
    <x v="6"/>
  </r>
  <r>
    <d v="2014-07-06T00:00:00"/>
    <x v="5"/>
    <x v="0"/>
    <n v="356670"/>
    <n v="450000"/>
    <x v="0"/>
    <x v="0"/>
    <x v="0"/>
    <n v="3"/>
    <n v="1061"/>
    <n v="1.350819E-2"/>
    <x v="1"/>
    <n v="93330"/>
    <n v="424.12819999999999"/>
    <x v="0"/>
    <s v="Medium"/>
    <s v="Medium"/>
    <s v="July"/>
    <x v="6"/>
  </r>
  <r>
    <d v="2014-07-09T00:00:00"/>
    <x v="5"/>
    <x v="4"/>
    <n v="249900"/>
    <n v="290000"/>
    <x v="0"/>
    <x v="0"/>
    <x v="0"/>
    <n v="3"/>
    <n v="991"/>
    <n v="1.350819E-2"/>
    <x v="0"/>
    <n v="40100"/>
    <n v="292.63369999999998"/>
    <x v="0"/>
    <s v="Medium"/>
    <s v="Medium"/>
    <s v="July"/>
    <x v="6"/>
  </r>
  <r>
    <d v="2014-07-10T00:00:00"/>
    <x v="5"/>
    <x v="4"/>
    <n v="326900"/>
    <n v="407500"/>
    <x v="0"/>
    <x v="0"/>
    <x v="0"/>
    <n v="2"/>
    <n v="1089"/>
    <n v="1.350819E-2"/>
    <x v="1"/>
    <n v="80600"/>
    <n v="374.19650000000001"/>
    <x v="0"/>
    <s v="Medium"/>
    <s v="Medium"/>
    <s v="July"/>
    <x v="6"/>
  </r>
  <r>
    <d v="2014-07-11T00:00:00"/>
    <x v="5"/>
    <x v="4"/>
    <n v="321020"/>
    <n v="390000"/>
    <x v="0"/>
    <x v="0"/>
    <x v="0"/>
    <n v="3"/>
    <n v="1028"/>
    <n v="1.350819E-2"/>
    <x v="3"/>
    <n v="68980"/>
    <n v="379.37740000000002"/>
    <x v="0"/>
    <s v="Medium"/>
    <s v="Medium"/>
    <s v="July"/>
    <x v="6"/>
  </r>
  <r>
    <d v="2014-07-12T00:00:00"/>
    <x v="5"/>
    <x v="5"/>
    <n v="275870"/>
    <n v="475000"/>
    <x v="0"/>
    <x v="0"/>
    <x v="0"/>
    <n v="3"/>
    <n v="1066"/>
    <n v="1.350819E-2"/>
    <x v="0"/>
    <n v="199130"/>
    <n v="445.59100000000001"/>
    <x v="0"/>
    <s v="Medium"/>
    <s v="Medium"/>
    <s v="July"/>
    <x v="6"/>
  </r>
  <r>
    <d v="2014-07-13T00:00:00"/>
    <x v="5"/>
    <x v="4"/>
    <n v="898450"/>
    <n v="950000"/>
    <x v="0"/>
    <x v="0"/>
    <x v="0"/>
    <n v="3"/>
    <n v="1015"/>
    <n v="1.350819E-2"/>
    <x v="1"/>
    <n v="51550"/>
    <n v="935.9606"/>
    <x v="0"/>
    <s v="High"/>
    <s v="Medium"/>
    <s v="July"/>
    <x v="6"/>
  </r>
  <r>
    <d v="2014-07-17T00:00:00"/>
    <x v="5"/>
    <x v="2"/>
    <n v="150440"/>
    <n v="200000"/>
    <x v="0"/>
    <x v="0"/>
    <x v="0"/>
    <n v="1"/>
    <n v="968"/>
    <n v="1.350819E-2"/>
    <x v="1"/>
    <n v="49560"/>
    <n v="206.61160000000001"/>
    <x v="0"/>
    <s v="Medium"/>
    <s v="Medium"/>
    <s v="July"/>
    <x v="6"/>
  </r>
  <r>
    <d v="2014-07-18T00:00:00"/>
    <x v="5"/>
    <x v="2"/>
    <n v="153870"/>
    <n v="165000"/>
    <x v="2"/>
    <x v="2"/>
    <x v="2"/>
    <n v="5"/>
    <n v="2097"/>
    <n v="1.350819E-2"/>
    <x v="3"/>
    <n v="11130"/>
    <n v="78.683800000000005"/>
    <x v="0"/>
    <s v="Low"/>
    <s v="Large"/>
    <s v="July"/>
    <x v="6"/>
  </r>
  <r>
    <d v="2014-07-19T00:00:00"/>
    <x v="5"/>
    <x v="5"/>
    <n v="92300"/>
    <n v="13000"/>
    <x v="2"/>
    <x v="2"/>
    <x v="2"/>
    <n v="4"/>
    <n v="2075"/>
    <n v="1.350819E-2"/>
    <x v="2"/>
    <n v="-79300"/>
    <n v="6.2651000000000003"/>
    <x v="1"/>
    <s v="Low"/>
    <s v="Large"/>
    <s v="July"/>
    <x v="6"/>
  </r>
  <r>
    <d v="2014-07-20T00:00:00"/>
    <x v="5"/>
    <x v="1"/>
    <n v="531160"/>
    <n v="717000"/>
    <x v="0"/>
    <x v="0"/>
    <x v="0"/>
    <n v="1"/>
    <n v="1111.6589814177564"/>
    <n v="1.350819E-2"/>
    <x v="2"/>
    <n v="185840"/>
    <n v="644.98199999999997"/>
    <x v="0"/>
    <s v="High"/>
    <s v="Medium"/>
    <s v="July"/>
    <x v="6"/>
  </r>
  <r>
    <d v="2014-07-24T00:00:00"/>
    <x v="5"/>
    <x v="5"/>
    <n v="138410"/>
    <n v="105000"/>
    <x v="0"/>
    <x v="0"/>
    <x v="0"/>
    <n v="2"/>
    <n v="1013"/>
    <n v="1.350819E-2"/>
    <x v="3"/>
    <n v="-33410"/>
    <n v="103.6525"/>
    <x v="1"/>
    <s v="Low"/>
    <s v="Medium"/>
    <s v="July"/>
    <x v="6"/>
  </r>
  <r>
    <d v="2014-07-25T00:00:00"/>
    <x v="5"/>
    <x v="0"/>
    <n v="116540"/>
    <n v="56500"/>
    <x v="0"/>
    <x v="0"/>
    <x v="0"/>
    <n v="1"/>
    <n v="997"/>
    <n v="1.350819E-2"/>
    <x v="1"/>
    <n v="-60040"/>
    <n v="56.67"/>
    <x v="1"/>
    <s v="Low"/>
    <s v="Medium"/>
    <s v="July"/>
    <x v="6"/>
  </r>
  <r>
    <d v="2014-07-27T00:00:00"/>
    <x v="5"/>
    <x v="3"/>
    <n v="1550920"/>
    <n v="2600000"/>
    <x v="0"/>
    <x v="0"/>
    <x v="0"/>
    <n v="3"/>
    <n v="910"/>
    <n v="1.350819E-2"/>
    <x v="3"/>
    <n v="1049080"/>
    <n v="2857.1428999999998"/>
    <x v="0"/>
    <s v="High"/>
    <s v="Medium"/>
    <s v="July"/>
    <x v="6"/>
  </r>
  <r>
    <d v="2014-07-31T00:00:00"/>
    <x v="5"/>
    <x v="0"/>
    <n v="135250"/>
    <n v="18100"/>
    <x v="2"/>
    <x v="2"/>
    <x v="2"/>
    <n v="4"/>
    <n v="2094"/>
    <n v="1.350819E-2"/>
    <x v="1"/>
    <n v="-117150"/>
    <n v="8.6437000000000008"/>
    <x v="1"/>
    <s v="Low"/>
    <s v="Large"/>
    <s v="July"/>
    <x v="6"/>
  </r>
  <r>
    <d v="2014-08-01T00:00:00"/>
    <x v="5"/>
    <x v="5"/>
    <n v="805980"/>
    <n v="1539960"/>
    <x v="0"/>
    <x v="0"/>
    <x v="0"/>
    <n v="2"/>
    <n v="1004"/>
    <n v="1.350819E-2"/>
    <x v="3"/>
    <n v="733980"/>
    <n v="1533.8246999999999"/>
    <x v="0"/>
    <s v="High"/>
    <s v="Medium"/>
    <s v="August"/>
    <x v="7"/>
  </r>
  <r>
    <d v="2014-08-03T00:00:00"/>
    <x v="5"/>
    <x v="7"/>
    <n v="408210"/>
    <n v="492500"/>
    <x v="0"/>
    <x v="0"/>
    <x v="0"/>
    <n v="2"/>
    <n v="910"/>
    <n v="1.350819E-2"/>
    <x v="1"/>
    <n v="84290"/>
    <n v="541.2088"/>
    <x v="0"/>
    <s v="Medium"/>
    <s v="Medium"/>
    <s v="August"/>
    <x v="7"/>
  </r>
  <r>
    <d v="2014-08-10T00:00:00"/>
    <x v="5"/>
    <x v="0"/>
    <n v="158860"/>
    <n v="53550"/>
    <x v="1"/>
    <x v="1"/>
    <x v="1"/>
    <n v="2"/>
    <n v="1111.6589814177564"/>
    <n v="1.350819E-2"/>
    <x v="0"/>
    <n v="-105310"/>
    <n v="48.171199999999999"/>
    <x v="1"/>
    <s v="Low"/>
    <s v="Medium"/>
    <s v="August"/>
    <x v="7"/>
  </r>
  <r>
    <d v="2014-08-12T00:00:00"/>
    <x v="5"/>
    <x v="0"/>
    <n v="86320"/>
    <n v="28000"/>
    <x v="0"/>
    <x v="0"/>
    <x v="0"/>
    <n v="3"/>
    <n v="1038"/>
    <n v="1.350819E-2"/>
    <x v="3"/>
    <n v="-58320"/>
    <n v="26.975000000000001"/>
    <x v="1"/>
    <s v="Low"/>
    <s v="Medium"/>
    <s v="August"/>
    <x v="7"/>
  </r>
  <r>
    <d v="2014-08-13T00:00:00"/>
    <x v="5"/>
    <x v="2"/>
    <n v="144410"/>
    <n v="101000"/>
    <x v="0"/>
    <x v="0"/>
    <x v="0"/>
    <n v="3"/>
    <n v="919"/>
    <n v="1.350819E-2"/>
    <x v="2"/>
    <n v="-43410"/>
    <n v="109.9021"/>
    <x v="1"/>
    <s v="Low"/>
    <s v="Medium"/>
    <s v="August"/>
    <x v="7"/>
  </r>
  <r>
    <d v="2014-08-14T00:00:00"/>
    <x v="5"/>
    <x v="5"/>
    <n v="108390"/>
    <n v="119087"/>
    <x v="2"/>
    <x v="2"/>
    <x v="2"/>
    <n v="4"/>
    <n v="1900"/>
    <n v="1.350819E-2"/>
    <x v="2"/>
    <n v="10697"/>
    <n v="62.677399999999999"/>
    <x v="0"/>
    <s v="Low"/>
    <s v="Large"/>
    <s v="August"/>
    <x v="7"/>
  </r>
  <r>
    <d v="2014-08-15T00:00:00"/>
    <x v="5"/>
    <x v="3"/>
    <n v="1011920"/>
    <n v="2225000"/>
    <x v="0"/>
    <x v="0"/>
    <x v="0"/>
    <n v="2"/>
    <n v="1111.6589814177564"/>
    <n v="1.350819E-2"/>
    <x v="0"/>
    <n v="1213080"/>
    <n v="2001.5130999999999"/>
    <x v="0"/>
    <s v="High"/>
    <s v="Medium"/>
    <s v="August"/>
    <x v="7"/>
  </r>
  <r>
    <d v="2014-08-16T00:00:00"/>
    <x v="5"/>
    <x v="4"/>
    <n v="746200"/>
    <n v="1120000"/>
    <x v="0"/>
    <x v="0"/>
    <x v="0"/>
    <n v="1"/>
    <n v="1094"/>
    <n v="1.350819E-2"/>
    <x v="3"/>
    <n v="373800"/>
    <n v="1023.766"/>
    <x v="0"/>
    <s v="High"/>
    <s v="Medium"/>
    <s v="August"/>
    <x v="7"/>
  </r>
  <r>
    <d v="2014-08-20T00:00:00"/>
    <x v="5"/>
    <x v="0"/>
    <n v="79430"/>
    <n v="23000"/>
    <x v="0"/>
    <x v="0"/>
    <x v="0"/>
    <n v="1"/>
    <n v="903"/>
    <n v="1.350819E-2"/>
    <x v="2"/>
    <n v="-56430"/>
    <n v="25.470700000000001"/>
    <x v="1"/>
    <s v="Low"/>
    <s v="Medium"/>
    <s v="August"/>
    <x v="7"/>
  </r>
  <r>
    <d v="2014-08-21T00:00:00"/>
    <x v="5"/>
    <x v="1"/>
    <n v="413280"/>
    <n v="662500"/>
    <x v="0"/>
    <x v="0"/>
    <x v="0"/>
    <n v="2"/>
    <n v="1111.6589814177564"/>
    <n v="1.350819E-2"/>
    <x v="3"/>
    <n v="249220"/>
    <n v="595.95609999999999"/>
    <x v="0"/>
    <s v="High"/>
    <s v="Medium"/>
    <s v="August"/>
    <x v="7"/>
  </r>
  <r>
    <d v="2014-08-24T00:00:00"/>
    <x v="5"/>
    <x v="3"/>
    <n v="444584.20699999999"/>
    <n v="5599000"/>
    <x v="0"/>
    <x v="0"/>
    <x v="0"/>
    <n v="2"/>
    <n v="1099"/>
    <n v="1.350819E-2"/>
    <x v="3"/>
    <n v="5154415.7929999996"/>
    <n v="5094.6315000000004"/>
    <x v="0"/>
    <s v="High"/>
    <s v="Medium"/>
    <s v="August"/>
    <x v="7"/>
  </r>
  <r>
    <d v="2014-08-27T00:00:00"/>
    <x v="5"/>
    <x v="4"/>
    <n v="232890"/>
    <n v="200000"/>
    <x v="0"/>
    <x v="0"/>
    <x v="0"/>
    <n v="3"/>
    <n v="1040"/>
    <n v="1.350819E-2"/>
    <x v="0"/>
    <n v="-32890"/>
    <n v="192.30770000000001"/>
    <x v="1"/>
    <s v="Medium"/>
    <s v="Medium"/>
    <s v="August"/>
    <x v="7"/>
  </r>
  <r>
    <d v="2014-08-28T00:00:00"/>
    <x v="5"/>
    <x v="0"/>
    <n v="136970"/>
    <n v="117000"/>
    <x v="0"/>
    <x v="0"/>
    <x v="0"/>
    <n v="2"/>
    <n v="973"/>
    <n v="1.350819E-2"/>
    <x v="0"/>
    <n v="-19970"/>
    <n v="120.2467"/>
    <x v="1"/>
    <s v="Low"/>
    <s v="Medium"/>
    <s v="August"/>
    <x v="7"/>
  </r>
  <r>
    <d v="2014-08-29T00:00:00"/>
    <x v="5"/>
    <x v="5"/>
    <n v="340130"/>
    <n v="312371"/>
    <x v="0"/>
    <x v="0"/>
    <x v="0"/>
    <n v="1"/>
    <n v="1027"/>
    <n v="1.350819E-2"/>
    <x v="3"/>
    <n v="-27759"/>
    <n v="304.15870000000001"/>
    <x v="1"/>
    <s v="Medium"/>
    <s v="Medium"/>
    <s v="August"/>
    <x v="7"/>
  </r>
  <r>
    <d v="2014-08-31T00:00:00"/>
    <x v="5"/>
    <x v="3"/>
    <n v="1394750"/>
    <n v="2100000"/>
    <x v="0"/>
    <x v="0"/>
    <x v="0"/>
    <n v="3"/>
    <n v="1043"/>
    <n v="1.350819E-2"/>
    <x v="0"/>
    <n v="705250"/>
    <n v="2013.4228000000001"/>
    <x v="0"/>
    <s v="High"/>
    <s v="Medium"/>
    <s v="August"/>
    <x v="7"/>
  </r>
  <r>
    <d v="2014-09-04T00:00:00"/>
    <x v="5"/>
    <x v="4"/>
    <n v="311150"/>
    <n v="618000"/>
    <x v="0"/>
    <x v="0"/>
    <x v="0"/>
    <n v="3"/>
    <n v="1111.6589814177564"/>
    <n v="1.350819E-2"/>
    <x v="3"/>
    <n v="306850"/>
    <n v="555.92589999999996"/>
    <x v="0"/>
    <s v="High"/>
    <s v="Medium"/>
    <s v="September"/>
    <x v="8"/>
  </r>
  <r>
    <d v="2014-09-05T00:00:00"/>
    <x v="5"/>
    <x v="4"/>
    <n v="246470"/>
    <n v="270000"/>
    <x v="0"/>
    <x v="0"/>
    <x v="0"/>
    <n v="1"/>
    <n v="981"/>
    <n v="1.350819E-2"/>
    <x v="0"/>
    <n v="23530"/>
    <n v="275.2294"/>
    <x v="0"/>
    <s v="Medium"/>
    <s v="Medium"/>
    <s v="September"/>
    <x v="8"/>
  </r>
  <r>
    <d v="2014-09-07T00:00:00"/>
    <x v="5"/>
    <x v="3"/>
    <n v="444584.20699999999"/>
    <n v="1030500"/>
    <x v="0"/>
    <x v="0"/>
    <x v="0"/>
    <n v="2"/>
    <n v="1111.6589814177564"/>
    <n v="1.350819E-2"/>
    <x v="1"/>
    <n v="585915.79299999995"/>
    <n v="926.99289999999996"/>
    <x v="0"/>
    <s v="High"/>
    <s v="Medium"/>
    <s v="September"/>
    <x v="8"/>
  </r>
  <r>
    <d v="2014-09-10T00:00:00"/>
    <x v="5"/>
    <x v="1"/>
    <n v="205240"/>
    <n v="209000"/>
    <x v="0"/>
    <x v="0"/>
    <x v="0"/>
    <n v="1"/>
    <n v="1020"/>
    <n v="1.350819E-2"/>
    <x v="3"/>
    <n v="3760"/>
    <n v="204.90199999999999"/>
    <x v="0"/>
    <s v="Medium"/>
    <s v="Medium"/>
    <s v="September"/>
    <x v="8"/>
  </r>
  <r>
    <d v="2014-09-11T00:00:00"/>
    <x v="5"/>
    <x v="4"/>
    <n v="272720"/>
    <n v="342500"/>
    <x v="0"/>
    <x v="0"/>
    <x v="0"/>
    <n v="1"/>
    <n v="931"/>
    <n v="1.350819E-2"/>
    <x v="3"/>
    <n v="69780"/>
    <n v="367.88400000000001"/>
    <x v="0"/>
    <s v="Medium"/>
    <s v="Medium"/>
    <s v="September"/>
    <x v="8"/>
  </r>
  <r>
    <d v="2014-09-12T00:00:00"/>
    <x v="5"/>
    <x v="5"/>
    <n v="890120"/>
    <n v="1900000"/>
    <x v="0"/>
    <x v="0"/>
    <x v="0"/>
    <n v="1"/>
    <n v="994"/>
    <n v="1.350819E-2"/>
    <x v="2"/>
    <n v="1009880"/>
    <n v="1911.4688000000001"/>
    <x v="0"/>
    <s v="High"/>
    <s v="Medium"/>
    <s v="September"/>
    <x v="8"/>
  </r>
  <r>
    <d v="2014-09-13T00:00:00"/>
    <x v="5"/>
    <x v="2"/>
    <n v="176290"/>
    <n v="202000"/>
    <x v="2"/>
    <x v="2"/>
    <x v="2"/>
    <n v="4"/>
    <n v="2093"/>
    <n v="1.350819E-2"/>
    <x v="3"/>
    <n v="25710"/>
    <n v="96.512200000000007"/>
    <x v="0"/>
    <s v="Medium"/>
    <s v="Large"/>
    <s v="September"/>
    <x v="8"/>
  </r>
  <r>
    <d v="2014-09-14T00:00:00"/>
    <x v="5"/>
    <x v="1"/>
    <n v="327250"/>
    <n v="515000"/>
    <x v="0"/>
    <x v="0"/>
    <x v="0"/>
    <n v="2"/>
    <n v="904"/>
    <n v="1.350819E-2"/>
    <x v="1"/>
    <n v="187750"/>
    <n v="569.69029999999998"/>
    <x v="0"/>
    <s v="Medium"/>
    <s v="Medium"/>
    <s v="September"/>
    <x v="8"/>
  </r>
  <r>
    <d v="2014-09-17T00:00:00"/>
    <x v="5"/>
    <x v="2"/>
    <n v="163160"/>
    <n v="167500"/>
    <x v="1"/>
    <x v="1"/>
    <x v="1"/>
    <n v="2"/>
    <n v="1466"/>
    <n v="1.350819E-2"/>
    <x v="3"/>
    <n v="4340"/>
    <n v="114.2565"/>
    <x v="0"/>
    <s v="Low"/>
    <s v="Large"/>
    <s v="September"/>
    <x v="8"/>
  </r>
  <r>
    <d v="2014-09-20T00:00:00"/>
    <x v="5"/>
    <x v="4"/>
    <n v="471590"/>
    <n v="651000"/>
    <x v="0"/>
    <x v="0"/>
    <x v="0"/>
    <n v="3"/>
    <n v="980"/>
    <n v="1.350819E-2"/>
    <x v="2"/>
    <n v="179410"/>
    <n v="664.28570000000002"/>
    <x v="0"/>
    <s v="High"/>
    <s v="Medium"/>
    <s v="September"/>
    <x v="8"/>
  </r>
  <r>
    <d v="2014-09-21T00:00:00"/>
    <x v="5"/>
    <x v="0"/>
    <n v="129520"/>
    <n v="53700"/>
    <x v="0"/>
    <x v="0"/>
    <x v="0"/>
    <n v="2"/>
    <n v="1023"/>
    <n v="1.350819E-2"/>
    <x v="2"/>
    <n v="-75820"/>
    <n v="52.492699999999999"/>
    <x v="1"/>
    <s v="Low"/>
    <s v="Medium"/>
    <s v="September"/>
    <x v="8"/>
  </r>
  <r>
    <d v="2014-09-24T00:00:00"/>
    <x v="5"/>
    <x v="3"/>
    <n v="444584.20699999999"/>
    <n v="395000"/>
    <x v="0"/>
    <x v="0"/>
    <x v="0"/>
    <n v="2"/>
    <n v="956"/>
    <n v="1.350819E-2"/>
    <x v="1"/>
    <n v="-49584.207000000002"/>
    <n v="413.17989999999998"/>
    <x v="1"/>
    <s v="Medium"/>
    <s v="Medium"/>
    <s v="September"/>
    <x v="8"/>
  </r>
  <r>
    <d v="2014-09-25T00:00:00"/>
    <x v="5"/>
    <x v="1"/>
    <n v="666680"/>
    <n v="800000"/>
    <x v="0"/>
    <x v="0"/>
    <x v="0"/>
    <n v="2"/>
    <n v="1082"/>
    <n v="1.350819E-2"/>
    <x v="3"/>
    <n v="133320"/>
    <n v="739.37149999999997"/>
    <x v="0"/>
    <s v="High"/>
    <s v="Medium"/>
    <s v="September"/>
    <x v="8"/>
  </r>
  <r>
    <d v="2014-09-27T00:00:00"/>
    <x v="5"/>
    <x v="4"/>
    <n v="756490"/>
    <n v="925000"/>
    <x v="0"/>
    <x v="0"/>
    <x v="0"/>
    <n v="2"/>
    <n v="955"/>
    <n v="1.350819E-2"/>
    <x v="0"/>
    <n v="168510"/>
    <n v="968.58640000000003"/>
    <x v="0"/>
    <s v="High"/>
    <s v="Medium"/>
    <s v="September"/>
    <x v="8"/>
  </r>
  <r>
    <d v="2014-09-28T00:00:00"/>
    <x v="5"/>
    <x v="1"/>
    <n v="326270"/>
    <n v="340000"/>
    <x v="0"/>
    <x v="0"/>
    <x v="0"/>
    <n v="3"/>
    <n v="965"/>
    <n v="1.350819E-2"/>
    <x v="0"/>
    <n v="13730"/>
    <n v="352.33159999999998"/>
    <x v="0"/>
    <s v="Medium"/>
    <s v="Medium"/>
    <s v="September"/>
    <x v="8"/>
  </r>
  <r>
    <d v="2014-10-01T00:00:00"/>
    <x v="5"/>
    <x v="3"/>
    <n v="4170530"/>
    <n v="6100000"/>
    <x v="0"/>
    <x v="0"/>
    <x v="0"/>
    <n v="1"/>
    <n v="923"/>
    <n v="1.350819E-2"/>
    <x v="1"/>
    <n v="1929470"/>
    <n v="6608.8841000000002"/>
    <x v="0"/>
    <s v="High"/>
    <s v="Medium"/>
    <s v="October"/>
    <x v="9"/>
  </r>
  <r>
    <d v="2014-10-02T00:00:00"/>
    <x v="5"/>
    <x v="2"/>
    <n v="180190"/>
    <n v="115000"/>
    <x v="2"/>
    <x v="2"/>
    <x v="2"/>
    <n v="6"/>
    <n v="2057"/>
    <n v="1.350819E-2"/>
    <x v="3"/>
    <n v="-65190"/>
    <n v="55.906700000000001"/>
    <x v="1"/>
    <s v="Low"/>
    <s v="Large"/>
    <s v="October"/>
    <x v="9"/>
  </r>
  <r>
    <d v="2014-10-03T00:00:00"/>
    <x v="5"/>
    <x v="2"/>
    <n v="156170"/>
    <n v="145000"/>
    <x v="2"/>
    <x v="2"/>
    <x v="2"/>
    <n v="5"/>
    <n v="1916"/>
    <n v="1.350819E-2"/>
    <x v="3"/>
    <n v="-11170"/>
    <n v="75.6785"/>
    <x v="1"/>
    <s v="Low"/>
    <s v="Large"/>
    <s v="October"/>
    <x v="9"/>
  </r>
  <r>
    <d v="2014-10-04T00:00:00"/>
    <x v="5"/>
    <x v="1"/>
    <n v="362180"/>
    <n v="453000"/>
    <x v="0"/>
    <x v="0"/>
    <x v="0"/>
    <n v="2"/>
    <n v="988"/>
    <n v="1.350819E-2"/>
    <x v="3"/>
    <n v="90820"/>
    <n v="458.50200000000001"/>
    <x v="0"/>
    <s v="Medium"/>
    <s v="Medium"/>
    <s v="October"/>
    <x v="9"/>
  </r>
  <r>
    <d v="2014-10-05T00:00:00"/>
    <x v="5"/>
    <x v="4"/>
    <n v="226940"/>
    <n v="235000"/>
    <x v="0"/>
    <x v="0"/>
    <x v="0"/>
    <n v="2"/>
    <n v="1111.6589814177564"/>
    <n v="1.350819E-2"/>
    <x v="2"/>
    <n v="8060"/>
    <n v="211.39580000000001"/>
    <x v="0"/>
    <s v="Medium"/>
    <s v="Medium"/>
    <s v="October"/>
    <x v="9"/>
  </r>
  <r>
    <d v="2014-10-09T00:00:00"/>
    <x v="5"/>
    <x v="5"/>
    <n v="248220"/>
    <n v="410000"/>
    <x v="0"/>
    <x v="0"/>
    <x v="0"/>
    <n v="2"/>
    <n v="998"/>
    <n v="1.350819E-2"/>
    <x v="1"/>
    <n v="161780"/>
    <n v="410.82159999999999"/>
    <x v="0"/>
    <s v="Medium"/>
    <s v="Medium"/>
    <s v="October"/>
    <x v="9"/>
  </r>
  <r>
    <d v="2014-10-19T00:00:00"/>
    <x v="5"/>
    <x v="1"/>
    <n v="229600"/>
    <n v="235000"/>
    <x v="0"/>
    <x v="0"/>
    <x v="0"/>
    <n v="1"/>
    <n v="900"/>
    <n v="1.350819E-2"/>
    <x v="2"/>
    <n v="5400"/>
    <n v="261.11110000000002"/>
    <x v="0"/>
    <s v="Medium"/>
    <s v="Medium"/>
    <s v="October"/>
    <x v="9"/>
  </r>
  <r>
    <d v="2014-10-22T00:00:00"/>
    <x v="5"/>
    <x v="5"/>
    <n v="208460"/>
    <n v="356000"/>
    <x v="0"/>
    <x v="0"/>
    <x v="0"/>
    <n v="2"/>
    <n v="961"/>
    <n v="1.350819E-2"/>
    <x v="0"/>
    <n v="147540"/>
    <n v="370.44749999999999"/>
    <x v="0"/>
    <s v="Medium"/>
    <s v="Medium"/>
    <s v="October"/>
    <x v="9"/>
  </r>
  <r>
    <d v="2014-10-23T00:00:00"/>
    <x v="5"/>
    <x v="1"/>
    <n v="328090"/>
    <n v="360000"/>
    <x v="0"/>
    <x v="0"/>
    <x v="0"/>
    <n v="3"/>
    <n v="971"/>
    <n v="1.350819E-2"/>
    <x v="1"/>
    <n v="31910"/>
    <n v="370.7518"/>
    <x v="0"/>
    <s v="Medium"/>
    <s v="Medium"/>
    <s v="October"/>
    <x v="9"/>
  </r>
  <r>
    <d v="2014-10-26T00:00:00"/>
    <x v="5"/>
    <x v="1"/>
    <n v="355320"/>
    <n v="325000"/>
    <x v="0"/>
    <x v="0"/>
    <x v="0"/>
    <n v="3"/>
    <n v="1083"/>
    <n v="1.350819E-2"/>
    <x v="3"/>
    <n v="-30320"/>
    <n v="300.09230000000002"/>
    <x v="1"/>
    <s v="Medium"/>
    <s v="Medium"/>
    <s v="October"/>
    <x v="9"/>
  </r>
  <r>
    <d v="2014-10-30T00:00:00"/>
    <x v="5"/>
    <x v="6"/>
    <n v="213500"/>
    <n v="290000"/>
    <x v="0"/>
    <x v="0"/>
    <x v="0"/>
    <n v="3"/>
    <n v="1004"/>
    <n v="1.350819E-2"/>
    <x v="0"/>
    <n v="76500"/>
    <n v="288.84460000000001"/>
    <x v="0"/>
    <s v="Medium"/>
    <s v="Medium"/>
    <s v="October"/>
    <x v="9"/>
  </r>
  <r>
    <d v="2014-10-31T00:00:00"/>
    <x v="5"/>
    <x v="5"/>
    <n v="444584.20699999999"/>
    <n v="349900"/>
    <x v="0"/>
    <x v="0"/>
    <x v="0"/>
    <n v="2"/>
    <n v="1025"/>
    <n v="1.350819E-2"/>
    <x v="2"/>
    <n v="-94684.206999999995"/>
    <n v="341.36590000000001"/>
    <x v="1"/>
    <s v="Medium"/>
    <s v="Medium"/>
    <s v="October"/>
    <x v="9"/>
  </r>
  <r>
    <d v="2014-11-01T00:00:00"/>
    <x v="5"/>
    <x v="2"/>
    <n v="286710"/>
    <n v="347500"/>
    <x v="2"/>
    <x v="2"/>
    <x v="2"/>
    <n v="5"/>
    <n v="1984"/>
    <n v="1.350819E-2"/>
    <x v="2"/>
    <n v="60790"/>
    <n v="175.15119999999999"/>
    <x v="0"/>
    <s v="Medium"/>
    <s v="Large"/>
    <s v="November"/>
    <x v="10"/>
  </r>
  <r>
    <d v="2014-11-02T00:00:00"/>
    <x v="5"/>
    <x v="1"/>
    <n v="280490"/>
    <n v="323000"/>
    <x v="0"/>
    <x v="0"/>
    <x v="0"/>
    <n v="2"/>
    <n v="1048"/>
    <n v="1.350819E-2"/>
    <x v="2"/>
    <n v="42510"/>
    <n v="308.20609999999999"/>
    <x v="0"/>
    <s v="Medium"/>
    <s v="Medium"/>
    <s v="November"/>
    <x v="10"/>
  </r>
  <r>
    <d v="2014-11-06T00:00:00"/>
    <x v="5"/>
    <x v="1"/>
    <n v="243670"/>
    <n v="313330"/>
    <x v="0"/>
    <x v="0"/>
    <x v="0"/>
    <n v="2"/>
    <n v="1032"/>
    <n v="1.350819E-2"/>
    <x v="3"/>
    <n v="69660"/>
    <n v="303.61430000000001"/>
    <x v="0"/>
    <s v="Medium"/>
    <s v="Medium"/>
    <s v="November"/>
    <x v="10"/>
  </r>
  <r>
    <d v="2014-11-07T00:00:00"/>
    <x v="5"/>
    <x v="6"/>
    <n v="163030"/>
    <n v="245000"/>
    <x v="0"/>
    <x v="0"/>
    <x v="0"/>
    <n v="2"/>
    <n v="1055"/>
    <n v="1.350819E-2"/>
    <x v="2"/>
    <n v="81970"/>
    <n v="232.22749999999999"/>
    <x v="0"/>
    <s v="Medium"/>
    <s v="Medium"/>
    <s v="November"/>
    <x v="10"/>
  </r>
  <r>
    <d v="2014-11-09T00:00:00"/>
    <x v="5"/>
    <x v="5"/>
    <n v="444584.20699999999"/>
    <n v="550000"/>
    <x v="0"/>
    <x v="0"/>
    <x v="0"/>
    <n v="1"/>
    <n v="951"/>
    <n v="1.350819E-2"/>
    <x v="0"/>
    <n v="105415.79300000001"/>
    <n v="578.33860000000004"/>
    <x v="0"/>
    <s v="Medium"/>
    <s v="Medium"/>
    <s v="November"/>
    <x v="10"/>
  </r>
  <r>
    <d v="2014-11-13T00:00:00"/>
    <x v="5"/>
    <x v="6"/>
    <n v="243880"/>
    <n v="410000"/>
    <x v="0"/>
    <x v="0"/>
    <x v="0"/>
    <n v="1"/>
    <n v="905"/>
    <n v="1.350819E-2"/>
    <x v="1"/>
    <n v="166120"/>
    <n v="453.03870000000001"/>
    <x v="0"/>
    <s v="Medium"/>
    <s v="Medium"/>
    <s v="November"/>
    <x v="10"/>
  </r>
  <r>
    <d v="2014-11-14T00:00:00"/>
    <x v="5"/>
    <x v="6"/>
    <n v="444584.20699999999"/>
    <n v="435000"/>
    <x v="0"/>
    <x v="0"/>
    <x v="0"/>
    <n v="3"/>
    <n v="1045"/>
    <n v="1.350819E-2"/>
    <x v="0"/>
    <n v="-9584.2070000000003"/>
    <n v="416.2679"/>
    <x v="1"/>
    <s v="Medium"/>
    <s v="Medium"/>
    <s v="November"/>
    <x v="10"/>
  </r>
  <r>
    <d v="2014-11-15T00:00:00"/>
    <x v="5"/>
    <x v="2"/>
    <n v="121320"/>
    <n v="88500"/>
    <x v="0"/>
    <x v="0"/>
    <x v="0"/>
    <n v="1"/>
    <n v="951"/>
    <n v="1.350819E-2"/>
    <x v="2"/>
    <n v="-32820"/>
    <n v="93.059899999999999"/>
    <x v="1"/>
    <s v="Low"/>
    <s v="Medium"/>
    <s v="November"/>
    <x v="10"/>
  </r>
  <r>
    <d v="2014-11-16T00:00:00"/>
    <x v="5"/>
    <x v="5"/>
    <n v="315840"/>
    <n v="358000"/>
    <x v="0"/>
    <x v="0"/>
    <x v="0"/>
    <n v="1"/>
    <n v="923"/>
    <n v="1.350819E-2"/>
    <x v="3"/>
    <n v="42160"/>
    <n v="387.8657"/>
    <x v="0"/>
    <s v="Medium"/>
    <s v="Medium"/>
    <s v="November"/>
    <x v="10"/>
  </r>
  <r>
    <d v="2014-11-19T00:00:00"/>
    <x v="5"/>
    <x v="5"/>
    <n v="444584.20699999999"/>
    <n v="176000"/>
    <x v="0"/>
    <x v="0"/>
    <x v="0"/>
    <n v="2"/>
    <n v="907"/>
    <n v="1.350819E-2"/>
    <x v="3"/>
    <n v="-268584.20699999999"/>
    <n v="194.0463"/>
    <x v="1"/>
    <s v="Low"/>
    <s v="Medium"/>
    <s v="November"/>
    <x v="10"/>
  </r>
  <r>
    <d v="2014-11-20T00:00:00"/>
    <x v="5"/>
    <x v="4"/>
    <n v="427630"/>
    <n v="705000"/>
    <x v="0"/>
    <x v="0"/>
    <x v="0"/>
    <n v="1"/>
    <n v="1032"/>
    <n v="1.350819E-2"/>
    <x v="0"/>
    <n v="277370"/>
    <n v="683.1395"/>
    <x v="0"/>
    <s v="High"/>
    <s v="Medium"/>
    <s v="November"/>
    <x v="10"/>
  </r>
  <r>
    <d v="2014-11-21T00:00:00"/>
    <x v="5"/>
    <x v="5"/>
    <n v="139650"/>
    <n v="208000"/>
    <x v="0"/>
    <x v="0"/>
    <x v="0"/>
    <n v="1"/>
    <n v="1008"/>
    <n v="1.350819E-2"/>
    <x v="1"/>
    <n v="68350"/>
    <n v="206.3492"/>
    <x v="0"/>
    <s v="Medium"/>
    <s v="Medium"/>
    <s v="November"/>
    <x v="10"/>
  </r>
  <r>
    <d v="2014-11-26T00:00:00"/>
    <x v="5"/>
    <x v="2"/>
    <n v="169270"/>
    <n v="115000"/>
    <x v="0"/>
    <x v="0"/>
    <x v="0"/>
    <n v="1"/>
    <n v="983"/>
    <n v="1.350819E-2"/>
    <x v="1"/>
    <n v="-54270"/>
    <n v="116.9888"/>
    <x v="1"/>
    <s v="Low"/>
    <s v="Medium"/>
    <s v="November"/>
    <x v="10"/>
  </r>
  <r>
    <d v="2014-11-27T00:00:00"/>
    <x v="5"/>
    <x v="4"/>
    <n v="194320"/>
    <n v="266000"/>
    <x v="0"/>
    <x v="0"/>
    <x v="0"/>
    <n v="2"/>
    <n v="1111.6589814177564"/>
    <n v="1.350819E-2"/>
    <x v="1"/>
    <n v="71680"/>
    <n v="239.28200000000001"/>
    <x v="0"/>
    <s v="Medium"/>
    <s v="Medium"/>
    <s v="November"/>
    <x v="10"/>
  </r>
  <r>
    <d v="2014-11-28T00:00:00"/>
    <x v="5"/>
    <x v="6"/>
    <n v="266210"/>
    <n v="420000"/>
    <x v="0"/>
    <x v="0"/>
    <x v="0"/>
    <n v="3"/>
    <n v="1022"/>
    <n v="1.350819E-2"/>
    <x v="3"/>
    <n v="153790"/>
    <n v="410.95890000000003"/>
    <x v="0"/>
    <s v="Medium"/>
    <s v="Medium"/>
    <s v="November"/>
    <x v="10"/>
  </r>
  <r>
    <d v="2014-11-29T00:00:00"/>
    <x v="5"/>
    <x v="2"/>
    <n v="444584.20699999999"/>
    <n v="171000"/>
    <x v="0"/>
    <x v="0"/>
    <x v="0"/>
    <n v="2"/>
    <n v="908"/>
    <n v="1.350819E-2"/>
    <x v="3"/>
    <n v="-273584.20699999999"/>
    <n v="188.32599999999999"/>
    <x v="1"/>
    <s v="Low"/>
    <s v="Medium"/>
    <s v="November"/>
    <x v="10"/>
  </r>
  <r>
    <d v="2014-11-30T00:00:00"/>
    <x v="5"/>
    <x v="4"/>
    <n v="264530"/>
    <n v="185000"/>
    <x v="0"/>
    <x v="0"/>
    <x v="0"/>
    <n v="1"/>
    <n v="1045"/>
    <n v="1.350819E-2"/>
    <x v="0"/>
    <n v="-79530"/>
    <n v="177.0335"/>
    <x v="1"/>
    <s v="Low"/>
    <s v="Medium"/>
    <s v="November"/>
    <x v="10"/>
  </r>
  <r>
    <d v="2014-12-04T00:00:00"/>
    <x v="5"/>
    <x v="6"/>
    <n v="245700"/>
    <n v="410000"/>
    <x v="0"/>
    <x v="0"/>
    <x v="0"/>
    <n v="2"/>
    <n v="1058"/>
    <n v="1.350819E-2"/>
    <x v="3"/>
    <n v="164300"/>
    <n v="387.52359999999999"/>
    <x v="0"/>
    <s v="Medium"/>
    <s v="Medium"/>
    <s v="December"/>
    <x v="11"/>
  </r>
  <r>
    <d v="2014-12-06T00:00:00"/>
    <x v="5"/>
    <x v="2"/>
    <n v="155450"/>
    <n v="180000"/>
    <x v="2"/>
    <x v="2"/>
    <x v="2"/>
    <n v="4"/>
    <n v="2180"/>
    <n v="1.350819E-2"/>
    <x v="3"/>
    <n v="24550"/>
    <n v="82.568799999999996"/>
    <x v="0"/>
    <s v="Low"/>
    <s v="Large"/>
    <s v="December"/>
    <x v="11"/>
  </r>
  <r>
    <d v="2014-12-07T00:00:00"/>
    <x v="5"/>
    <x v="3"/>
    <n v="3384430"/>
    <n v="5650000"/>
    <x v="0"/>
    <x v="0"/>
    <x v="0"/>
    <n v="2"/>
    <n v="1046"/>
    <n v="1.350819E-2"/>
    <x v="0"/>
    <n v="2265570"/>
    <n v="5401.5295999999998"/>
    <x v="0"/>
    <s v="High"/>
    <s v="Medium"/>
    <s v="December"/>
    <x v="11"/>
  </r>
  <r>
    <d v="2014-12-10T00:00:00"/>
    <x v="5"/>
    <x v="3"/>
    <n v="804930"/>
    <n v="1435000"/>
    <x v="0"/>
    <x v="0"/>
    <x v="0"/>
    <n v="2"/>
    <n v="1097"/>
    <n v="1.350819E-2"/>
    <x v="1"/>
    <n v="630070"/>
    <n v="1308.1130000000001"/>
    <x v="0"/>
    <s v="High"/>
    <s v="Medium"/>
    <s v="December"/>
    <x v="11"/>
  </r>
  <r>
    <d v="2014-12-11T00:00:00"/>
    <x v="5"/>
    <x v="4"/>
    <n v="444584.20699999999"/>
    <n v="776000"/>
    <x v="0"/>
    <x v="0"/>
    <x v="0"/>
    <n v="1"/>
    <n v="1027"/>
    <n v="1.350819E-2"/>
    <x v="2"/>
    <n v="331415.79300000001"/>
    <n v="755.59879999999998"/>
    <x v="0"/>
    <s v="High"/>
    <s v="Medium"/>
    <s v="December"/>
    <x v="11"/>
  </r>
  <r>
    <d v="2014-12-14T00:00:00"/>
    <x v="5"/>
    <x v="3"/>
    <n v="313950"/>
    <n v="498750"/>
    <x v="1"/>
    <x v="1"/>
    <x v="1"/>
    <n v="4"/>
    <n v="1327"/>
    <n v="1.350819E-2"/>
    <x v="1"/>
    <n v="184800"/>
    <n v="375.84780000000001"/>
    <x v="0"/>
    <s v="Medium"/>
    <s v="Large"/>
    <s v="December"/>
    <x v="11"/>
  </r>
  <r>
    <d v="2014-12-16T00:00:00"/>
    <x v="5"/>
    <x v="5"/>
    <n v="176120"/>
    <n v="290000"/>
    <x v="0"/>
    <x v="0"/>
    <x v="0"/>
    <n v="1"/>
    <n v="935"/>
    <n v="1.350819E-2"/>
    <x v="1"/>
    <n v="113880"/>
    <n v="310.16039999999998"/>
    <x v="0"/>
    <s v="Medium"/>
    <s v="Medium"/>
    <s v="December"/>
    <x v="11"/>
  </r>
  <r>
    <d v="2014-12-17T00:00:00"/>
    <x v="5"/>
    <x v="4"/>
    <n v="278180"/>
    <n v="347695"/>
    <x v="0"/>
    <x v="0"/>
    <x v="0"/>
    <n v="2"/>
    <n v="951"/>
    <n v="1.350819E-2"/>
    <x v="0"/>
    <n v="69515"/>
    <n v="365.60989999999998"/>
    <x v="0"/>
    <s v="Medium"/>
    <s v="Medium"/>
    <s v="December"/>
    <x v="11"/>
  </r>
  <r>
    <d v="2014-12-19T00:00:00"/>
    <x v="5"/>
    <x v="1"/>
    <n v="428610"/>
    <n v="746250"/>
    <x v="0"/>
    <x v="0"/>
    <x v="0"/>
    <n v="2"/>
    <n v="1063"/>
    <n v="1.350819E-2"/>
    <x v="0"/>
    <n v="317640"/>
    <n v="702.02260000000001"/>
    <x v="0"/>
    <s v="High"/>
    <s v="Medium"/>
    <s v="December"/>
    <x v="11"/>
  </r>
  <r>
    <d v="2014-12-20T00:00:00"/>
    <x v="5"/>
    <x v="4"/>
    <n v="386190"/>
    <n v="435000"/>
    <x v="0"/>
    <x v="0"/>
    <x v="0"/>
    <n v="2"/>
    <n v="990"/>
    <n v="1.350819E-2"/>
    <x v="0"/>
    <n v="48810"/>
    <n v="439.39389999999997"/>
    <x v="0"/>
    <s v="Medium"/>
    <s v="Medium"/>
    <s v="December"/>
    <x v="11"/>
  </r>
  <r>
    <d v="2014-12-21T00:00:00"/>
    <x v="5"/>
    <x v="5"/>
    <n v="200480"/>
    <n v="240000"/>
    <x v="0"/>
    <x v="0"/>
    <x v="0"/>
    <n v="3"/>
    <n v="941"/>
    <n v="1.350819E-2"/>
    <x v="2"/>
    <n v="39520"/>
    <n v="255.0478"/>
    <x v="0"/>
    <s v="Medium"/>
    <s v="Medium"/>
    <s v="December"/>
    <x v="11"/>
  </r>
  <r>
    <d v="2014-12-26T00:00:00"/>
    <x v="5"/>
    <x v="6"/>
    <n v="153930"/>
    <n v="215000"/>
    <x v="0"/>
    <x v="0"/>
    <x v="0"/>
    <n v="2"/>
    <n v="1092"/>
    <n v="1.350819E-2"/>
    <x v="3"/>
    <n v="61070"/>
    <n v="196.88640000000001"/>
    <x v="0"/>
    <s v="Medium"/>
    <s v="Medium"/>
    <s v="December"/>
    <x v="11"/>
  </r>
  <r>
    <d v="2014-12-28T00:00:00"/>
    <x v="5"/>
    <x v="3"/>
    <n v="2124220"/>
    <n v="825000"/>
    <x v="0"/>
    <x v="0"/>
    <x v="0"/>
    <n v="1"/>
    <n v="1089"/>
    <n v="1.350819E-2"/>
    <x v="0"/>
    <n v="-1299220"/>
    <n v="757.57579999999996"/>
    <x v="1"/>
    <s v="High"/>
    <s v="Medium"/>
    <s v="December"/>
    <x v="11"/>
  </r>
  <r>
    <d v="2014-12-31T00:00:00"/>
    <x v="5"/>
    <x v="6"/>
    <n v="252140"/>
    <n v="274280"/>
    <x v="0"/>
    <x v="0"/>
    <x v="0"/>
    <n v="2"/>
    <n v="1001"/>
    <n v="1.350819E-2"/>
    <x v="0"/>
    <n v="22140"/>
    <n v="274.00599999999997"/>
    <x v="0"/>
    <s v="Medium"/>
    <s v="Medium"/>
    <s v="December"/>
    <x v="11"/>
  </r>
  <r>
    <d v="2015-01-02T00:00:00"/>
    <x v="6"/>
    <x v="2"/>
    <n v="150340"/>
    <n v="30000"/>
    <x v="1"/>
    <x v="1"/>
    <x v="1"/>
    <n v="4"/>
    <n v="1419"/>
    <n v="1.3402249999999999E-2"/>
    <x v="1"/>
    <n v="-120340"/>
    <n v="21.1416"/>
    <x v="1"/>
    <s v="Low"/>
    <s v="Large"/>
    <s v="January"/>
    <x v="0"/>
  </r>
  <r>
    <d v="2015-01-07T00:00:00"/>
    <x v="6"/>
    <x v="1"/>
    <n v="444584.20699999999"/>
    <n v="355000"/>
    <x v="0"/>
    <x v="0"/>
    <x v="0"/>
    <n v="1"/>
    <n v="1001"/>
    <n v="1.3402249999999999E-2"/>
    <x v="1"/>
    <n v="-89584.206999999995"/>
    <n v="354.6454"/>
    <x v="1"/>
    <s v="Medium"/>
    <s v="Medium"/>
    <s v="January"/>
    <x v="0"/>
  </r>
  <r>
    <d v="2015-01-08T00:00:00"/>
    <x v="6"/>
    <x v="3"/>
    <n v="2691430"/>
    <n v="3900000"/>
    <x v="0"/>
    <x v="0"/>
    <x v="0"/>
    <n v="2"/>
    <n v="1111.6589814177564"/>
    <n v="1.3402249999999999E-2"/>
    <x v="2"/>
    <n v="1208570"/>
    <n v="3508.2701000000002"/>
    <x v="0"/>
    <s v="High"/>
    <s v="Medium"/>
    <s v="January"/>
    <x v="0"/>
  </r>
  <r>
    <d v="2015-01-16T00:00:00"/>
    <x v="6"/>
    <x v="2"/>
    <n v="240560"/>
    <n v="139620"/>
    <x v="2"/>
    <x v="2"/>
    <x v="2"/>
    <n v="5"/>
    <n v="1875"/>
    <n v="1.3402249999999999E-2"/>
    <x v="0"/>
    <n v="-100940"/>
    <n v="74.463999999999999"/>
    <x v="1"/>
    <s v="Low"/>
    <s v="Large"/>
    <s v="January"/>
    <x v="0"/>
  </r>
  <r>
    <d v="2015-01-17T00:00:00"/>
    <x v="6"/>
    <x v="2"/>
    <n v="131460"/>
    <n v="155000"/>
    <x v="0"/>
    <x v="0"/>
    <x v="0"/>
    <n v="3"/>
    <n v="1077"/>
    <n v="1.3402249999999999E-2"/>
    <x v="1"/>
    <n v="23540"/>
    <n v="143.91829999999999"/>
    <x v="0"/>
    <s v="Low"/>
    <s v="Medium"/>
    <s v="January"/>
    <x v="0"/>
  </r>
  <r>
    <d v="2015-01-22T00:00:00"/>
    <x v="6"/>
    <x v="2"/>
    <n v="133130"/>
    <n v="75000"/>
    <x v="0"/>
    <x v="0"/>
    <x v="0"/>
    <n v="2"/>
    <n v="1066"/>
    <n v="1.3402249999999999E-2"/>
    <x v="3"/>
    <n v="-58130"/>
    <n v="70.356499999999997"/>
    <x v="1"/>
    <s v="Low"/>
    <s v="Medium"/>
    <s v="January"/>
    <x v="0"/>
  </r>
  <r>
    <d v="2015-01-23T00:00:00"/>
    <x v="6"/>
    <x v="3"/>
    <n v="431760"/>
    <n v="658500"/>
    <x v="0"/>
    <x v="0"/>
    <x v="0"/>
    <n v="1"/>
    <n v="1023"/>
    <n v="1.3402249999999999E-2"/>
    <x v="0"/>
    <n v="226740"/>
    <n v="643.69500000000005"/>
    <x v="0"/>
    <s v="High"/>
    <s v="Medium"/>
    <s v="January"/>
    <x v="0"/>
  </r>
  <r>
    <d v="2015-01-24T00:00:00"/>
    <x v="6"/>
    <x v="5"/>
    <n v="124220"/>
    <n v="179900"/>
    <x v="0"/>
    <x v="0"/>
    <x v="0"/>
    <n v="3"/>
    <n v="1111.6589814177564"/>
    <n v="1.3402249999999999E-2"/>
    <x v="3"/>
    <n v="55680"/>
    <n v="161.83019999999999"/>
    <x v="0"/>
    <s v="Low"/>
    <s v="Medium"/>
    <s v="January"/>
    <x v="0"/>
  </r>
  <r>
    <d v="2015-01-25T00:00:00"/>
    <x v="6"/>
    <x v="1"/>
    <n v="823550"/>
    <n v="1000000"/>
    <x v="0"/>
    <x v="0"/>
    <x v="0"/>
    <n v="2"/>
    <n v="993"/>
    <n v="1.3402249999999999E-2"/>
    <x v="1"/>
    <n v="176450"/>
    <n v="1007.0493"/>
    <x v="0"/>
    <s v="High"/>
    <s v="Medium"/>
    <s v="January"/>
    <x v="0"/>
  </r>
  <r>
    <d v="2015-01-28T00:00:00"/>
    <x v="6"/>
    <x v="1"/>
    <n v="347340"/>
    <n v="300000"/>
    <x v="0"/>
    <x v="0"/>
    <x v="0"/>
    <n v="3"/>
    <n v="1083"/>
    <n v="1.3402249999999999E-2"/>
    <x v="3"/>
    <n v="-47340"/>
    <n v="277.00830000000002"/>
    <x v="1"/>
    <s v="Medium"/>
    <s v="Medium"/>
    <s v="January"/>
    <x v="0"/>
  </r>
  <r>
    <d v="2015-01-30T00:00:00"/>
    <x v="6"/>
    <x v="2"/>
    <n v="79400"/>
    <n v="27000"/>
    <x v="0"/>
    <x v="0"/>
    <x v="0"/>
    <n v="2"/>
    <n v="946"/>
    <n v="1.3402249999999999E-2"/>
    <x v="3"/>
    <n v="-52400"/>
    <n v="28.5412"/>
    <x v="1"/>
    <s v="Low"/>
    <s v="Medium"/>
    <s v="January"/>
    <x v="0"/>
  </r>
  <r>
    <d v="2015-01-31T00:00:00"/>
    <x v="6"/>
    <x v="2"/>
    <n v="138220"/>
    <n v="144000"/>
    <x v="0"/>
    <x v="0"/>
    <x v="0"/>
    <n v="2"/>
    <n v="934"/>
    <n v="1.3402249999999999E-2"/>
    <x v="2"/>
    <n v="5780"/>
    <n v="154.1756"/>
    <x v="0"/>
    <s v="Low"/>
    <s v="Medium"/>
    <s v="January"/>
    <x v="0"/>
  </r>
  <r>
    <d v="2015-02-01T00:00:00"/>
    <x v="6"/>
    <x v="1"/>
    <n v="268170"/>
    <n v="352500"/>
    <x v="0"/>
    <x v="0"/>
    <x v="0"/>
    <n v="2"/>
    <n v="985"/>
    <n v="1.3402249999999999E-2"/>
    <x v="3"/>
    <n v="84330"/>
    <n v="357.86799999999999"/>
    <x v="0"/>
    <s v="Medium"/>
    <s v="Medium"/>
    <s v="February"/>
    <x v="1"/>
  </r>
  <r>
    <d v="2015-02-04T00:00:00"/>
    <x v="6"/>
    <x v="5"/>
    <n v="275730"/>
    <n v="340000"/>
    <x v="0"/>
    <x v="0"/>
    <x v="0"/>
    <n v="2"/>
    <n v="949"/>
    <n v="1.3402249999999999E-2"/>
    <x v="0"/>
    <n v="64270"/>
    <n v="358.27190000000002"/>
    <x v="0"/>
    <s v="Medium"/>
    <s v="Medium"/>
    <s v="February"/>
    <x v="1"/>
  </r>
  <r>
    <d v="2015-02-05T00:00:00"/>
    <x v="6"/>
    <x v="5"/>
    <n v="362950"/>
    <n v="430000"/>
    <x v="0"/>
    <x v="0"/>
    <x v="0"/>
    <n v="3"/>
    <n v="972"/>
    <n v="1.3402249999999999E-2"/>
    <x v="0"/>
    <n v="67050"/>
    <n v="442.38679999999999"/>
    <x v="0"/>
    <s v="Medium"/>
    <s v="Medium"/>
    <s v="February"/>
    <x v="1"/>
  </r>
  <r>
    <d v="2015-02-11T00:00:00"/>
    <x v="6"/>
    <x v="3"/>
    <n v="591850"/>
    <n v="800000"/>
    <x v="0"/>
    <x v="0"/>
    <x v="0"/>
    <n v="1"/>
    <n v="984"/>
    <n v="1.3402249999999999E-2"/>
    <x v="1"/>
    <n v="208150"/>
    <n v="813.00810000000001"/>
    <x v="0"/>
    <s v="High"/>
    <s v="Medium"/>
    <s v="February"/>
    <x v="1"/>
  </r>
  <r>
    <d v="2015-02-12T00:00:00"/>
    <x v="6"/>
    <x v="3"/>
    <n v="4540690"/>
    <n v="5755448"/>
    <x v="0"/>
    <x v="0"/>
    <x v="0"/>
    <n v="3"/>
    <n v="920"/>
    <n v="1.3402249999999999E-2"/>
    <x v="2"/>
    <n v="1214758"/>
    <n v="6255.9216999999999"/>
    <x v="0"/>
    <s v="High"/>
    <s v="Medium"/>
    <s v="February"/>
    <x v="1"/>
  </r>
  <r>
    <d v="2015-02-13T00:00:00"/>
    <x v="6"/>
    <x v="1"/>
    <n v="694260"/>
    <n v="925500"/>
    <x v="0"/>
    <x v="0"/>
    <x v="0"/>
    <n v="3"/>
    <n v="1111.6589814177564"/>
    <n v="1.3402249999999999E-2"/>
    <x v="0"/>
    <n v="231240"/>
    <n v="832.53949999999998"/>
    <x v="0"/>
    <s v="High"/>
    <s v="Medium"/>
    <s v="February"/>
    <x v="1"/>
  </r>
  <r>
    <d v="2015-02-14T00:00:00"/>
    <x v="6"/>
    <x v="2"/>
    <n v="242170"/>
    <n v="500000"/>
    <x v="0"/>
    <x v="0"/>
    <x v="0"/>
    <n v="1"/>
    <n v="1031"/>
    <n v="1.3402249999999999E-2"/>
    <x v="0"/>
    <n v="257830"/>
    <n v="484.96609999999998"/>
    <x v="0"/>
    <s v="Medium"/>
    <s v="Medium"/>
    <s v="February"/>
    <x v="1"/>
  </r>
  <r>
    <d v="2015-02-20T00:00:00"/>
    <x v="6"/>
    <x v="2"/>
    <n v="444584.20699999999"/>
    <n v="140000"/>
    <x v="0"/>
    <x v="0"/>
    <x v="0"/>
    <n v="3"/>
    <n v="1002"/>
    <n v="1.3402249999999999E-2"/>
    <x v="2"/>
    <n v="-304584.20699999999"/>
    <n v="139.72059999999999"/>
    <x v="1"/>
    <s v="Low"/>
    <s v="Medium"/>
    <s v="February"/>
    <x v="1"/>
  </r>
  <r>
    <d v="2015-02-21T00:00:00"/>
    <x v="6"/>
    <x v="3"/>
    <n v="5250000"/>
    <n v="5800000"/>
    <x v="0"/>
    <x v="0"/>
    <x v="0"/>
    <n v="2"/>
    <n v="1099"/>
    <n v="1.3402249999999999E-2"/>
    <x v="3"/>
    <n v="550000"/>
    <n v="5277.5249999999996"/>
    <x v="0"/>
    <s v="High"/>
    <s v="Medium"/>
    <s v="February"/>
    <x v="1"/>
  </r>
  <r>
    <d v="2015-02-22T00:00:00"/>
    <x v="6"/>
    <x v="1"/>
    <n v="469140"/>
    <n v="600000"/>
    <x v="0"/>
    <x v="0"/>
    <x v="0"/>
    <n v="2"/>
    <n v="1004"/>
    <n v="1.3402249999999999E-2"/>
    <x v="1"/>
    <n v="130860"/>
    <n v="597.6096"/>
    <x v="0"/>
    <s v="High"/>
    <s v="Medium"/>
    <s v="February"/>
    <x v="1"/>
  </r>
  <r>
    <d v="2015-02-25T00:00:00"/>
    <x v="6"/>
    <x v="2"/>
    <n v="120270"/>
    <n v="88000"/>
    <x v="0"/>
    <x v="0"/>
    <x v="0"/>
    <n v="2"/>
    <n v="1073"/>
    <n v="1.3402249999999999E-2"/>
    <x v="0"/>
    <n v="-32270"/>
    <n v="82.013000000000005"/>
    <x v="1"/>
    <s v="Low"/>
    <s v="Medium"/>
    <s v="February"/>
    <x v="1"/>
  </r>
  <r>
    <d v="2015-02-26T00:00:00"/>
    <x v="6"/>
    <x v="2"/>
    <n v="153260"/>
    <n v="186000"/>
    <x v="0"/>
    <x v="0"/>
    <x v="0"/>
    <n v="2"/>
    <n v="1040"/>
    <n v="1.3402249999999999E-2"/>
    <x v="2"/>
    <n v="32740"/>
    <n v="178.84620000000001"/>
    <x v="0"/>
    <s v="Low"/>
    <s v="Medium"/>
    <s v="February"/>
    <x v="1"/>
  </r>
  <r>
    <d v="2015-02-27T00:00:00"/>
    <x v="6"/>
    <x v="2"/>
    <n v="96330"/>
    <n v="109000"/>
    <x v="0"/>
    <x v="0"/>
    <x v="0"/>
    <n v="1"/>
    <n v="922"/>
    <n v="1.3402249999999999E-2"/>
    <x v="3"/>
    <n v="12670"/>
    <n v="118.2213"/>
    <x v="0"/>
    <s v="Low"/>
    <s v="Medium"/>
    <s v="February"/>
    <x v="1"/>
  </r>
  <r>
    <d v="2015-02-28T00:00:00"/>
    <x v="6"/>
    <x v="1"/>
    <n v="411040"/>
    <n v="462500"/>
    <x v="0"/>
    <x v="0"/>
    <x v="0"/>
    <n v="1"/>
    <n v="1059"/>
    <n v="1.3402249999999999E-2"/>
    <x v="3"/>
    <n v="51460"/>
    <n v="436.7328"/>
    <x v="0"/>
    <s v="Medium"/>
    <s v="Medium"/>
    <s v="February"/>
    <x v="1"/>
  </r>
  <r>
    <d v="2015-03-01T00:00:00"/>
    <x v="6"/>
    <x v="3"/>
    <n v="4068680"/>
    <n v="5200000"/>
    <x v="0"/>
    <x v="0"/>
    <x v="0"/>
    <n v="3"/>
    <n v="906"/>
    <n v="1.3402249999999999E-2"/>
    <x v="0"/>
    <n v="1131320"/>
    <n v="5739.5142999999998"/>
    <x v="0"/>
    <s v="High"/>
    <s v="Medium"/>
    <s v="March"/>
    <x v="2"/>
  </r>
  <r>
    <d v="2015-03-04T00:00:00"/>
    <x v="6"/>
    <x v="3"/>
    <n v="444584.20699999999"/>
    <n v="533900"/>
    <x v="0"/>
    <x v="0"/>
    <x v="0"/>
    <n v="1"/>
    <n v="988"/>
    <n v="1.3402249999999999E-2"/>
    <x v="3"/>
    <n v="89315.793000000005"/>
    <n v="540.38459999999998"/>
    <x v="0"/>
    <s v="Medium"/>
    <s v="Medium"/>
    <s v="March"/>
    <x v="2"/>
  </r>
  <r>
    <d v="2015-03-05T00:00:00"/>
    <x v="6"/>
    <x v="1"/>
    <n v="288260"/>
    <n v="254400"/>
    <x v="1"/>
    <x v="1"/>
    <x v="1"/>
    <n v="2"/>
    <n v="1246"/>
    <n v="1.3402249999999999E-2"/>
    <x v="1"/>
    <n v="-33860"/>
    <n v="204.17339999999999"/>
    <x v="1"/>
    <s v="Medium"/>
    <s v="Medium"/>
    <s v="March"/>
    <x v="2"/>
  </r>
  <r>
    <d v="2015-03-06T00:00:00"/>
    <x v="6"/>
    <x v="4"/>
    <n v="268240"/>
    <n v="295000"/>
    <x v="0"/>
    <x v="0"/>
    <x v="0"/>
    <n v="1"/>
    <n v="1092"/>
    <n v="1.3402249999999999E-2"/>
    <x v="0"/>
    <n v="26760"/>
    <n v="270.1465"/>
    <x v="0"/>
    <s v="Medium"/>
    <s v="Medium"/>
    <s v="March"/>
    <x v="2"/>
  </r>
  <r>
    <d v="2015-03-07T00:00:00"/>
    <x v="6"/>
    <x v="6"/>
    <n v="155610"/>
    <n v="232000"/>
    <x v="0"/>
    <x v="0"/>
    <x v="0"/>
    <n v="3"/>
    <n v="1004"/>
    <n v="1.3402249999999999E-2"/>
    <x v="3"/>
    <n v="76390"/>
    <n v="231.07570000000001"/>
    <x v="0"/>
    <s v="Medium"/>
    <s v="Medium"/>
    <s v="March"/>
    <x v="2"/>
  </r>
  <r>
    <d v="2015-03-11T00:00:00"/>
    <x v="6"/>
    <x v="4"/>
    <n v="1060430"/>
    <n v="1215000"/>
    <x v="0"/>
    <x v="0"/>
    <x v="0"/>
    <n v="2"/>
    <n v="1045"/>
    <n v="1.3402249999999999E-2"/>
    <x v="1"/>
    <n v="154570"/>
    <n v="1162.6794"/>
    <x v="0"/>
    <s v="High"/>
    <s v="Medium"/>
    <s v="March"/>
    <x v="2"/>
  </r>
  <r>
    <d v="2015-03-12T00:00:00"/>
    <x v="6"/>
    <x v="2"/>
    <n v="175520"/>
    <n v="75000"/>
    <x v="1"/>
    <x v="1"/>
    <x v="1"/>
    <n v="4"/>
    <n v="1368"/>
    <n v="1.3402249999999999E-2"/>
    <x v="2"/>
    <n v="-100520"/>
    <n v="54.824599999999997"/>
    <x v="1"/>
    <s v="Low"/>
    <s v="Large"/>
    <s v="March"/>
    <x v="2"/>
  </r>
  <r>
    <d v="2015-03-13T00:00:00"/>
    <x v="6"/>
    <x v="4"/>
    <n v="829570"/>
    <n v="700000"/>
    <x v="0"/>
    <x v="0"/>
    <x v="0"/>
    <n v="2"/>
    <n v="912"/>
    <n v="1.3402249999999999E-2"/>
    <x v="0"/>
    <n v="-129570"/>
    <n v="767.54390000000001"/>
    <x v="1"/>
    <s v="High"/>
    <s v="Medium"/>
    <s v="March"/>
    <x v="2"/>
  </r>
  <r>
    <d v="2015-03-14T00:00:00"/>
    <x v="6"/>
    <x v="6"/>
    <n v="162540"/>
    <n v="215000"/>
    <x v="0"/>
    <x v="0"/>
    <x v="0"/>
    <n v="2"/>
    <n v="929"/>
    <n v="1.3402249999999999E-2"/>
    <x v="2"/>
    <n v="52460"/>
    <n v="231.4316"/>
    <x v="0"/>
    <s v="Medium"/>
    <s v="Medium"/>
    <s v="March"/>
    <x v="2"/>
  </r>
  <r>
    <d v="2015-03-20T00:00:00"/>
    <x v="6"/>
    <x v="4"/>
    <n v="558110"/>
    <n v="845000"/>
    <x v="0"/>
    <x v="0"/>
    <x v="0"/>
    <n v="3"/>
    <n v="1111.6589814177564"/>
    <n v="1.3402249999999999E-2"/>
    <x v="1"/>
    <n v="286890"/>
    <n v="760.12519999999995"/>
    <x v="0"/>
    <s v="High"/>
    <s v="Medium"/>
    <s v="March"/>
    <x v="2"/>
  </r>
  <r>
    <d v="2015-03-25T00:00:00"/>
    <x v="6"/>
    <x v="6"/>
    <n v="149660"/>
    <n v="160000"/>
    <x v="0"/>
    <x v="0"/>
    <x v="0"/>
    <n v="1"/>
    <n v="1066"/>
    <n v="1.3402249999999999E-2"/>
    <x v="0"/>
    <n v="10340"/>
    <n v="150.09379999999999"/>
    <x v="0"/>
    <s v="Low"/>
    <s v="Medium"/>
    <s v="March"/>
    <x v="2"/>
  </r>
  <r>
    <d v="2015-03-26T00:00:00"/>
    <x v="6"/>
    <x v="2"/>
    <n v="135960"/>
    <n v="21000"/>
    <x v="1"/>
    <x v="1"/>
    <x v="1"/>
    <n v="3"/>
    <n v="1385"/>
    <n v="1.3402249999999999E-2"/>
    <x v="1"/>
    <n v="-114960"/>
    <n v="15.1625"/>
    <x v="1"/>
    <s v="Low"/>
    <s v="Large"/>
    <s v="March"/>
    <x v="2"/>
  </r>
  <r>
    <d v="2015-03-27T00:00:00"/>
    <x v="6"/>
    <x v="4"/>
    <n v="275660"/>
    <n v="440000"/>
    <x v="0"/>
    <x v="0"/>
    <x v="0"/>
    <n v="3"/>
    <n v="949"/>
    <n v="1.3402249999999999E-2"/>
    <x v="0"/>
    <n v="164340"/>
    <n v="463.64589999999998"/>
    <x v="0"/>
    <s v="Medium"/>
    <s v="Medium"/>
    <s v="March"/>
    <x v="2"/>
  </r>
  <r>
    <d v="2015-03-28T00:00:00"/>
    <x v="6"/>
    <x v="4"/>
    <n v="508900"/>
    <n v="633000"/>
    <x v="0"/>
    <x v="0"/>
    <x v="0"/>
    <n v="2"/>
    <n v="980"/>
    <n v="1.3402249999999999E-2"/>
    <x v="2"/>
    <n v="124100"/>
    <n v="645.91840000000002"/>
    <x v="0"/>
    <s v="High"/>
    <s v="Medium"/>
    <s v="March"/>
    <x v="2"/>
  </r>
  <r>
    <d v="2015-04-03T00:00:00"/>
    <x v="6"/>
    <x v="1"/>
    <n v="921480"/>
    <n v="635000"/>
    <x v="0"/>
    <x v="0"/>
    <x v="0"/>
    <n v="1"/>
    <n v="947"/>
    <n v="1.3402249999999999E-2"/>
    <x v="3"/>
    <n v="-286480"/>
    <n v="670.5385"/>
    <x v="1"/>
    <s v="High"/>
    <s v="Medium"/>
    <s v="April"/>
    <x v="3"/>
  </r>
  <r>
    <d v="2015-04-05T00:00:00"/>
    <x v="6"/>
    <x v="3"/>
    <n v="1460760"/>
    <n v="1797000"/>
    <x v="0"/>
    <x v="0"/>
    <x v="0"/>
    <n v="2"/>
    <n v="978"/>
    <n v="1.3402249999999999E-2"/>
    <x v="3"/>
    <n v="336240"/>
    <n v="1837.4232999999999"/>
    <x v="0"/>
    <s v="High"/>
    <s v="Medium"/>
    <s v="April"/>
    <x v="3"/>
  </r>
  <r>
    <d v="2015-04-10T00:00:00"/>
    <x v="6"/>
    <x v="4"/>
    <n v="243250"/>
    <n v="340000"/>
    <x v="0"/>
    <x v="0"/>
    <x v="0"/>
    <n v="2"/>
    <n v="1011"/>
    <n v="1.3402249999999999E-2"/>
    <x v="0"/>
    <n v="96750"/>
    <n v="336.30070000000001"/>
    <x v="0"/>
    <s v="Medium"/>
    <s v="Medium"/>
    <s v="April"/>
    <x v="3"/>
  </r>
  <r>
    <d v="2015-04-11T00:00:00"/>
    <x v="6"/>
    <x v="3"/>
    <n v="264110"/>
    <n v="360000"/>
    <x v="1"/>
    <x v="1"/>
    <x v="1"/>
    <n v="4"/>
    <n v="1111.6589814177564"/>
    <n v="1.3402249999999999E-2"/>
    <x v="1"/>
    <n v="95890"/>
    <n v="323.84030000000001"/>
    <x v="0"/>
    <s v="Medium"/>
    <s v="Medium"/>
    <s v="April"/>
    <x v="3"/>
  </r>
  <r>
    <d v="2015-04-12T00:00:00"/>
    <x v="6"/>
    <x v="3"/>
    <n v="843850"/>
    <n v="660000"/>
    <x v="0"/>
    <x v="0"/>
    <x v="0"/>
    <n v="1"/>
    <n v="1056"/>
    <n v="1.3402249999999999E-2"/>
    <x v="0"/>
    <n v="-183850"/>
    <n v="625"/>
    <x v="1"/>
    <s v="High"/>
    <s v="Medium"/>
    <s v="April"/>
    <x v="3"/>
  </r>
  <r>
    <d v="2015-04-15T00:00:00"/>
    <x v="6"/>
    <x v="4"/>
    <n v="326130"/>
    <n v="451000"/>
    <x v="0"/>
    <x v="0"/>
    <x v="0"/>
    <n v="2"/>
    <n v="914"/>
    <n v="1.3402249999999999E-2"/>
    <x v="2"/>
    <n v="124870"/>
    <n v="493.43540000000002"/>
    <x v="0"/>
    <s v="Medium"/>
    <s v="Medium"/>
    <s v="April"/>
    <x v="3"/>
  </r>
  <r>
    <d v="2015-04-16T00:00:00"/>
    <x v="6"/>
    <x v="1"/>
    <n v="444584.20699999999"/>
    <n v="1222000"/>
    <x v="0"/>
    <x v="0"/>
    <x v="0"/>
    <n v="3"/>
    <n v="938"/>
    <n v="1.3402249999999999E-2"/>
    <x v="3"/>
    <n v="777415.79299999995"/>
    <n v="1302.7719"/>
    <x v="0"/>
    <s v="High"/>
    <s v="Medium"/>
    <s v="April"/>
    <x v="3"/>
  </r>
  <r>
    <d v="2015-04-18T00:00:00"/>
    <x v="6"/>
    <x v="5"/>
    <n v="1096760"/>
    <n v="1587500"/>
    <x v="0"/>
    <x v="0"/>
    <x v="0"/>
    <n v="2"/>
    <n v="1050"/>
    <n v="1.3402249999999999E-2"/>
    <x v="0"/>
    <n v="490740"/>
    <n v="1511.9048"/>
    <x v="0"/>
    <s v="High"/>
    <s v="Medium"/>
    <s v="April"/>
    <x v="3"/>
  </r>
  <r>
    <d v="2015-04-22T00:00:00"/>
    <x v="6"/>
    <x v="5"/>
    <n v="159490"/>
    <n v="113400"/>
    <x v="0"/>
    <x v="0"/>
    <x v="0"/>
    <n v="1"/>
    <n v="1111.6589814177564"/>
    <n v="1.3402249999999999E-2"/>
    <x v="2"/>
    <n v="-46090"/>
    <n v="102.0097"/>
    <x v="1"/>
    <s v="Low"/>
    <s v="Medium"/>
    <s v="April"/>
    <x v="3"/>
  </r>
  <r>
    <d v="2015-04-23T00:00:00"/>
    <x v="6"/>
    <x v="4"/>
    <n v="304710"/>
    <n v="485000"/>
    <x v="0"/>
    <x v="0"/>
    <x v="0"/>
    <n v="1"/>
    <n v="922"/>
    <n v="1.3402249999999999E-2"/>
    <x v="2"/>
    <n v="180290"/>
    <n v="526.03039999999999"/>
    <x v="0"/>
    <s v="Medium"/>
    <s v="Medium"/>
    <s v="April"/>
    <x v="3"/>
  </r>
  <r>
    <d v="2015-04-25T00:00:00"/>
    <x v="6"/>
    <x v="2"/>
    <n v="152690"/>
    <n v="195000"/>
    <x v="0"/>
    <x v="0"/>
    <x v="0"/>
    <n v="1"/>
    <n v="900"/>
    <n v="1.3402249999999999E-2"/>
    <x v="2"/>
    <n v="42310"/>
    <n v="216.66669999999999"/>
    <x v="0"/>
    <s v="Low"/>
    <s v="Medium"/>
    <s v="April"/>
    <x v="3"/>
  </r>
  <r>
    <d v="2015-04-29T00:00:00"/>
    <x v="6"/>
    <x v="5"/>
    <n v="444584.20699999999"/>
    <n v="660000"/>
    <x v="0"/>
    <x v="0"/>
    <x v="0"/>
    <n v="3"/>
    <n v="1090"/>
    <n v="1.3402249999999999E-2"/>
    <x v="1"/>
    <n v="215415.79300000001"/>
    <n v="605.50459999999998"/>
    <x v="0"/>
    <s v="High"/>
    <s v="Medium"/>
    <s v="April"/>
    <x v="3"/>
  </r>
  <r>
    <d v="2015-04-30T00:00:00"/>
    <x v="6"/>
    <x v="1"/>
    <n v="290780"/>
    <n v="326000"/>
    <x v="0"/>
    <x v="0"/>
    <x v="0"/>
    <n v="3"/>
    <n v="1019"/>
    <n v="1.3402249999999999E-2"/>
    <x v="3"/>
    <n v="35220"/>
    <n v="319.92149999999998"/>
    <x v="0"/>
    <s v="Medium"/>
    <s v="Medium"/>
    <s v="April"/>
    <x v="3"/>
  </r>
  <r>
    <d v="2015-05-01T00:00:00"/>
    <x v="6"/>
    <x v="1"/>
    <n v="386050"/>
    <n v="508500"/>
    <x v="0"/>
    <x v="0"/>
    <x v="0"/>
    <n v="2"/>
    <n v="990"/>
    <n v="1.3402249999999999E-2"/>
    <x v="2"/>
    <n v="122450"/>
    <n v="513.63639999999998"/>
    <x v="0"/>
    <s v="Medium"/>
    <s v="Medium"/>
    <s v="May"/>
    <x v="4"/>
  </r>
  <r>
    <d v="2015-05-02T00:00:00"/>
    <x v="6"/>
    <x v="5"/>
    <n v="991340"/>
    <n v="1282500"/>
    <x v="0"/>
    <x v="0"/>
    <x v="0"/>
    <n v="3"/>
    <n v="984"/>
    <n v="1.3402249999999999E-2"/>
    <x v="2"/>
    <n v="291160"/>
    <n v="1303.3536999999999"/>
    <x v="0"/>
    <s v="High"/>
    <s v="Medium"/>
    <s v="May"/>
    <x v="4"/>
  </r>
  <r>
    <d v="2015-05-03T00:00:00"/>
    <x v="6"/>
    <x v="1"/>
    <n v="1158150"/>
    <n v="1435000"/>
    <x v="0"/>
    <x v="0"/>
    <x v="0"/>
    <n v="3"/>
    <n v="1111.6589814177564"/>
    <n v="1.3402249999999999E-2"/>
    <x v="1"/>
    <n v="276850"/>
    <n v="1290.8634999999999"/>
    <x v="0"/>
    <s v="High"/>
    <s v="Medium"/>
    <s v="May"/>
    <x v="4"/>
  </r>
  <r>
    <d v="2015-05-06T00:00:00"/>
    <x v="6"/>
    <x v="4"/>
    <n v="209440"/>
    <n v="274000"/>
    <x v="0"/>
    <x v="0"/>
    <x v="0"/>
    <n v="3"/>
    <n v="1111.6589814177564"/>
    <n v="1.3402249999999999E-2"/>
    <x v="0"/>
    <n v="64560"/>
    <n v="246.4785"/>
    <x v="0"/>
    <s v="Medium"/>
    <s v="Medium"/>
    <s v="May"/>
    <x v="4"/>
  </r>
  <r>
    <d v="2015-05-07T00:00:00"/>
    <x v="6"/>
    <x v="3"/>
    <n v="632240"/>
    <n v="1190000"/>
    <x v="0"/>
    <x v="0"/>
    <x v="0"/>
    <n v="2"/>
    <n v="930"/>
    <n v="1.3402249999999999E-2"/>
    <x v="1"/>
    <n v="557760"/>
    <n v="1279.5699"/>
    <x v="0"/>
    <s v="High"/>
    <s v="Medium"/>
    <s v="May"/>
    <x v="4"/>
  </r>
  <r>
    <d v="2015-05-08T00:00:00"/>
    <x v="6"/>
    <x v="3"/>
    <n v="548310"/>
    <n v="800000"/>
    <x v="3"/>
    <x v="3"/>
    <x v="3"/>
    <n v="7"/>
    <n v="2681"/>
    <n v="1.3402249999999999E-2"/>
    <x v="2"/>
    <n v="251690"/>
    <n v="298.39609999999999"/>
    <x v="0"/>
    <s v="High"/>
    <s v="Large"/>
    <s v="May"/>
    <x v="4"/>
  </r>
  <r>
    <d v="2015-05-09T00:00:00"/>
    <x v="6"/>
    <x v="5"/>
    <n v="357490"/>
    <n v="460000"/>
    <x v="0"/>
    <x v="0"/>
    <x v="0"/>
    <n v="3"/>
    <n v="1031"/>
    <n v="1.3402249999999999E-2"/>
    <x v="2"/>
    <n v="102510"/>
    <n v="446.16879999999998"/>
    <x v="0"/>
    <s v="Medium"/>
    <s v="Medium"/>
    <s v="May"/>
    <x v="4"/>
  </r>
  <r>
    <d v="2015-05-10T00:00:00"/>
    <x v="6"/>
    <x v="4"/>
    <n v="161910"/>
    <n v="177900"/>
    <x v="0"/>
    <x v="0"/>
    <x v="0"/>
    <n v="1"/>
    <n v="1082"/>
    <n v="1.3402249999999999E-2"/>
    <x v="1"/>
    <n v="15990"/>
    <n v="164.4177"/>
    <x v="0"/>
    <s v="Low"/>
    <s v="Medium"/>
    <s v="May"/>
    <x v="4"/>
  </r>
  <r>
    <d v="2015-05-14T00:00:00"/>
    <x v="6"/>
    <x v="5"/>
    <n v="351120"/>
    <n v="500000"/>
    <x v="0"/>
    <x v="0"/>
    <x v="0"/>
    <n v="2"/>
    <n v="971"/>
    <n v="1.3402249999999999E-2"/>
    <x v="0"/>
    <n v="148880"/>
    <n v="514.93309999999997"/>
    <x v="0"/>
    <s v="Medium"/>
    <s v="Medium"/>
    <s v="May"/>
    <x v="4"/>
  </r>
  <r>
    <d v="2015-05-15T00:00:00"/>
    <x v="6"/>
    <x v="2"/>
    <n v="159780"/>
    <n v="46666"/>
    <x v="1"/>
    <x v="1"/>
    <x v="1"/>
    <n v="4"/>
    <n v="1345"/>
    <n v="1.3402249999999999E-2"/>
    <x v="2"/>
    <n v="-113114"/>
    <n v="34.695900000000002"/>
    <x v="1"/>
    <s v="Low"/>
    <s v="Large"/>
    <s v="May"/>
    <x v="4"/>
  </r>
  <r>
    <d v="2015-05-16T00:00:00"/>
    <x v="6"/>
    <x v="3"/>
    <n v="508340"/>
    <n v="455000"/>
    <x v="0"/>
    <x v="0"/>
    <x v="0"/>
    <n v="1"/>
    <n v="990"/>
    <n v="1.3402249999999999E-2"/>
    <x v="3"/>
    <n v="-53340"/>
    <n v="459.596"/>
    <x v="1"/>
    <s v="Medium"/>
    <s v="Medium"/>
    <s v="May"/>
    <x v="4"/>
  </r>
  <r>
    <d v="2015-05-17T00:00:00"/>
    <x v="6"/>
    <x v="4"/>
    <n v="716660"/>
    <n v="1187500"/>
    <x v="0"/>
    <x v="0"/>
    <x v="0"/>
    <n v="3"/>
    <n v="1074"/>
    <n v="1.3402249999999999E-2"/>
    <x v="0"/>
    <n v="470840"/>
    <n v="1105.6796999999999"/>
    <x v="0"/>
    <s v="High"/>
    <s v="Medium"/>
    <s v="May"/>
    <x v="4"/>
  </r>
  <r>
    <d v="2015-05-20T00:00:00"/>
    <x v="6"/>
    <x v="3"/>
    <n v="2138290"/>
    <n v="2565000"/>
    <x v="0"/>
    <x v="0"/>
    <x v="0"/>
    <n v="3"/>
    <n v="1061"/>
    <n v="1.3402249999999999E-2"/>
    <x v="1"/>
    <n v="426710"/>
    <n v="2417.5306"/>
    <x v="0"/>
    <s v="High"/>
    <s v="Medium"/>
    <s v="May"/>
    <x v="4"/>
  </r>
  <r>
    <d v="2015-05-21T00:00:00"/>
    <x v="6"/>
    <x v="4"/>
    <n v="198450"/>
    <n v="185000"/>
    <x v="0"/>
    <x v="0"/>
    <x v="0"/>
    <n v="2"/>
    <n v="902"/>
    <n v="1.3402249999999999E-2"/>
    <x v="3"/>
    <n v="-13450"/>
    <n v="205.09979999999999"/>
    <x v="1"/>
    <s v="Low"/>
    <s v="Medium"/>
    <s v="May"/>
    <x v="4"/>
  </r>
  <r>
    <d v="2015-05-23T00:00:00"/>
    <x v="6"/>
    <x v="6"/>
    <n v="235340"/>
    <n v="360000"/>
    <x v="0"/>
    <x v="0"/>
    <x v="0"/>
    <n v="2"/>
    <n v="966"/>
    <n v="1.3402249999999999E-2"/>
    <x v="1"/>
    <n v="124660"/>
    <n v="372.67079999999999"/>
    <x v="0"/>
    <s v="Medium"/>
    <s v="Medium"/>
    <s v="May"/>
    <x v="4"/>
  </r>
  <r>
    <d v="2015-05-24T00:00:00"/>
    <x v="6"/>
    <x v="4"/>
    <n v="523040"/>
    <n v="745000"/>
    <x v="0"/>
    <x v="0"/>
    <x v="0"/>
    <n v="1"/>
    <n v="1099"/>
    <n v="1.3402249999999999E-2"/>
    <x v="2"/>
    <n v="221960"/>
    <n v="677.88900000000001"/>
    <x v="0"/>
    <s v="High"/>
    <s v="Medium"/>
    <s v="May"/>
    <x v="4"/>
  </r>
  <r>
    <d v="2015-05-28T00:00:00"/>
    <x v="6"/>
    <x v="2"/>
    <n v="106440"/>
    <n v="90000"/>
    <x v="0"/>
    <x v="0"/>
    <x v="0"/>
    <n v="1"/>
    <n v="1048"/>
    <n v="1.3402249999999999E-2"/>
    <x v="3"/>
    <n v="-16440"/>
    <n v="85.877899999999997"/>
    <x v="1"/>
    <s v="Low"/>
    <s v="Medium"/>
    <s v="May"/>
    <x v="4"/>
  </r>
  <r>
    <d v="2015-05-31T00:00:00"/>
    <x v="6"/>
    <x v="4"/>
    <n v="398230"/>
    <n v="238000"/>
    <x v="0"/>
    <x v="0"/>
    <x v="0"/>
    <n v="3"/>
    <n v="1056"/>
    <n v="1.3402249999999999E-2"/>
    <x v="0"/>
    <n v="-160230"/>
    <n v="225.37880000000001"/>
    <x v="1"/>
    <s v="Medium"/>
    <s v="Medium"/>
    <s v="May"/>
    <x v="4"/>
  </r>
  <r>
    <d v="2015-06-03T00:00:00"/>
    <x v="6"/>
    <x v="6"/>
    <n v="167860"/>
    <n v="115000"/>
    <x v="0"/>
    <x v="0"/>
    <x v="0"/>
    <n v="3"/>
    <n v="908"/>
    <n v="1.3402249999999999E-2"/>
    <x v="1"/>
    <n v="-52860"/>
    <n v="126.652"/>
    <x v="1"/>
    <s v="Low"/>
    <s v="Medium"/>
    <s v="June"/>
    <x v="5"/>
  </r>
  <r>
    <d v="2015-06-04T00:00:00"/>
    <x v="6"/>
    <x v="5"/>
    <n v="456960"/>
    <n v="596000"/>
    <x v="0"/>
    <x v="0"/>
    <x v="0"/>
    <n v="3"/>
    <n v="1098"/>
    <n v="1.3402249999999999E-2"/>
    <x v="2"/>
    <n v="139040"/>
    <n v="542.80510000000004"/>
    <x v="0"/>
    <s v="Medium"/>
    <s v="Medium"/>
    <s v="June"/>
    <x v="5"/>
  </r>
  <r>
    <d v="2015-06-05T00:00:00"/>
    <x v="6"/>
    <x v="5"/>
    <n v="3941350"/>
    <n v="5600000"/>
    <x v="0"/>
    <x v="0"/>
    <x v="0"/>
    <n v="2"/>
    <n v="1046"/>
    <n v="1.3402249999999999E-2"/>
    <x v="1"/>
    <n v="1658650"/>
    <n v="5353.7285000000002"/>
    <x v="0"/>
    <s v="High"/>
    <s v="Medium"/>
    <s v="June"/>
    <x v="5"/>
  </r>
  <r>
    <d v="2015-06-06T00:00:00"/>
    <x v="6"/>
    <x v="6"/>
    <n v="123060"/>
    <n v="132000"/>
    <x v="0"/>
    <x v="0"/>
    <x v="0"/>
    <n v="2"/>
    <n v="931"/>
    <n v="1.3402249999999999E-2"/>
    <x v="0"/>
    <n v="8940"/>
    <n v="141.78299999999999"/>
    <x v="0"/>
    <s v="Low"/>
    <s v="Medium"/>
    <s v="June"/>
    <x v="5"/>
  </r>
  <r>
    <d v="2015-06-07T00:00:00"/>
    <x v="6"/>
    <x v="4"/>
    <n v="416080"/>
    <n v="650000"/>
    <x v="0"/>
    <x v="0"/>
    <x v="0"/>
    <n v="2"/>
    <n v="928"/>
    <n v="1.3402249999999999E-2"/>
    <x v="3"/>
    <n v="233920"/>
    <n v="700.43100000000004"/>
    <x v="0"/>
    <s v="High"/>
    <s v="Medium"/>
    <s v="June"/>
    <x v="5"/>
  </r>
  <r>
    <d v="2015-06-10T00:00:00"/>
    <x v="6"/>
    <x v="6"/>
    <n v="220640"/>
    <n v="412000"/>
    <x v="0"/>
    <x v="0"/>
    <x v="0"/>
    <n v="3"/>
    <n v="952"/>
    <n v="1.3402249999999999E-2"/>
    <x v="0"/>
    <n v="191360"/>
    <n v="432.7731"/>
    <x v="0"/>
    <s v="Medium"/>
    <s v="Medium"/>
    <s v="June"/>
    <x v="5"/>
  </r>
  <r>
    <d v="2015-06-11T00:00:00"/>
    <x v="6"/>
    <x v="2"/>
    <n v="241410"/>
    <n v="288660"/>
    <x v="1"/>
    <x v="1"/>
    <x v="1"/>
    <n v="4"/>
    <n v="1458"/>
    <n v="1.3402249999999999E-2"/>
    <x v="2"/>
    <n v="47250"/>
    <n v="197.98349999999999"/>
    <x v="0"/>
    <s v="Medium"/>
    <s v="Large"/>
    <s v="June"/>
    <x v="5"/>
  </r>
  <r>
    <d v="2015-06-12T00:00:00"/>
    <x v="6"/>
    <x v="2"/>
    <n v="156810"/>
    <n v="65000"/>
    <x v="0"/>
    <x v="0"/>
    <x v="0"/>
    <n v="3"/>
    <n v="1073"/>
    <n v="1.3402249999999999E-2"/>
    <x v="2"/>
    <n v="-91810"/>
    <n v="60.577800000000003"/>
    <x v="1"/>
    <s v="Low"/>
    <s v="Medium"/>
    <s v="June"/>
    <x v="5"/>
  </r>
  <r>
    <d v="2015-06-13T00:00:00"/>
    <x v="6"/>
    <x v="1"/>
    <n v="266840"/>
    <n v="372500"/>
    <x v="0"/>
    <x v="0"/>
    <x v="0"/>
    <n v="2"/>
    <n v="962"/>
    <n v="1.3402249999999999E-2"/>
    <x v="0"/>
    <n v="105660"/>
    <n v="387.21409999999997"/>
    <x v="0"/>
    <s v="Medium"/>
    <s v="Medium"/>
    <s v="June"/>
    <x v="5"/>
  </r>
  <r>
    <d v="2015-06-14T00:00:00"/>
    <x v="6"/>
    <x v="5"/>
    <n v="1176770"/>
    <n v="1600000"/>
    <x v="0"/>
    <x v="0"/>
    <x v="0"/>
    <n v="1"/>
    <n v="1066"/>
    <n v="1.3402249999999999E-2"/>
    <x v="0"/>
    <n v="423230"/>
    <n v="1500.9381000000001"/>
    <x v="0"/>
    <s v="High"/>
    <s v="Medium"/>
    <s v="June"/>
    <x v="5"/>
  </r>
  <r>
    <d v="2015-06-18T00:00:00"/>
    <x v="6"/>
    <x v="6"/>
    <n v="244300"/>
    <n v="420000"/>
    <x v="0"/>
    <x v="0"/>
    <x v="0"/>
    <n v="2"/>
    <n v="1111.6589814177564"/>
    <n v="1.3402249999999999E-2"/>
    <x v="2"/>
    <n v="175700"/>
    <n v="377.81369999999998"/>
    <x v="0"/>
    <s v="Medium"/>
    <s v="Medium"/>
    <s v="June"/>
    <x v="5"/>
  </r>
  <r>
    <d v="2015-06-20T00:00:00"/>
    <x v="6"/>
    <x v="5"/>
    <n v="1379140"/>
    <n v="2100000"/>
    <x v="0"/>
    <x v="0"/>
    <x v="0"/>
    <n v="2"/>
    <n v="1029"/>
    <n v="1.3402249999999999E-2"/>
    <x v="3"/>
    <n v="720860"/>
    <n v="2040.8163"/>
    <x v="0"/>
    <s v="High"/>
    <s v="Medium"/>
    <s v="June"/>
    <x v="5"/>
  </r>
  <r>
    <d v="2015-06-24T00:00:00"/>
    <x v="6"/>
    <x v="6"/>
    <n v="287630"/>
    <n v="400000"/>
    <x v="0"/>
    <x v="0"/>
    <x v="0"/>
    <n v="2"/>
    <n v="951"/>
    <n v="1.3402249999999999E-2"/>
    <x v="2"/>
    <n v="112370"/>
    <n v="420.60989999999998"/>
    <x v="0"/>
    <s v="Medium"/>
    <s v="Medium"/>
    <s v="June"/>
    <x v="5"/>
  </r>
  <r>
    <d v="2015-06-25T00:00:00"/>
    <x v="6"/>
    <x v="3"/>
    <n v="598640"/>
    <n v="1030000"/>
    <x v="0"/>
    <x v="0"/>
    <x v="0"/>
    <n v="3"/>
    <n v="1111.6589814177564"/>
    <n v="1.3402249999999999E-2"/>
    <x v="0"/>
    <n v="431360"/>
    <n v="926.54309999999998"/>
    <x v="0"/>
    <s v="High"/>
    <s v="Medium"/>
    <s v="June"/>
    <x v="5"/>
  </r>
  <r>
    <d v="2015-06-26T00:00:00"/>
    <x v="6"/>
    <x v="3"/>
    <n v="1563310"/>
    <n v="2390000"/>
    <x v="0"/>
    <x v="0"/>
    <x v="0"/>
    <n v="2"/>
    <n v="932"/>
    <n v="1.3402249999999999E-2"/>
    <x v="0"/>
    <n v="826690"/>
    <n v="2564.3777"/>
    <x v="0"/>
    <s v="High"/>
    <s v="Medium"/>
    <s v="June"/>
    <x v="5"/>
  </r>
  <r>
    <d v="2015-06-28T00:00:00"/>
    <x v="6"/>
    <x v="3"/>
    <n v="444584.20699999999"/>
    <n v="1487500"/>
    <x v="0"/>
    <x v="0"/>
    <x v="0"/>
    <n v="2"/>
    <n v="980"/>
    <n v="1.3402249999999999E-2"/>
    <x v="2"/>
    <n v="1042915.7929999999"/>
    <n v="1517.8570999999999"/>
    <x v="0"/>
    <s v="High"/>
    <s v="Medium"/>
    <s v="June"/>
    <x v="5"/>
  </r>
  <r>
    <d v="2015-07-01T00:00:00"/>
    <x v="6"/>
    <x v="2"/>
    <n v="239280"/>
    <n v="290000"/>
    <x v="1"/>
    <x v="1"/>
    <x v="1"/>
    <n v="3"/>
    <n v="1360"/>
    <n v="1.3402249999999999E-2"/>
    <x v="3"/>
    <n v="50720"/>
    <n v="213.2353"/>
    <x v="0"/>
    <s v="Medium"/>
    <s v="Large"/>
    <s v="July"/>
    <x v="6"/>
  </r>
  <r>
    <d v="2015-07-02T00:00:00"/>
    <x v="6"/>
    <x v="3"/>
    <n v="508480"/>
    <n v="949000"/>
    <x v="0"/>
    <x v="0"/>
    <x v="0"/>
    <n v="1"/>
    <n v="1088"/>
    <n v="1.3402249999999999E-2"/>
    <x v="1"/>
    <n v="440520"/>
    <n v="872.24260000000004"/>
    <x v="0"/>
    <s v="High"/>
    <s v="Medium"/>
    <s v="July"/>
    <x v="6"/>
  </r>
  <r>
    <d v="2015-07-03T00:00:00"/>
    <x v="6"/>
    <x v="1"/>
    <n v="385070"/>
    <n v="513000"/>
    <x v="0"/>
    <x v="0"/>
    <x v="0"/>
    <n v="1"/>
    <n v="1111.6589814177564"/>
    <n v="1.3402249999999999E-2"/>
    <x v="3"/>
    <n v="127930"/>
    <n v="461.47250000000003"/>
    <x v="0"/>
    <s v="Medium"/>
    <s v="Medium"/>
    <s v="July"/>
    <x v="6"/>
  </r>
  <r>
    <d v="2015-07-08T00:00:00"/>
    <x v="6"/>
    <x v="5"/>
    <n v="182050"/>
    <n v="220000"/>
    <x v="0"/>
    <x v="0"/>
    <x v="0"/>
    <n v="1"/>
    <n v="1062"/>
    <n v="1.3402249999999999E-2"/>
    <x v="2"/>
    <n v="37950"/>
    <n v="207.15629999999999"/>
    <x v="0"/>
    <s v="Medium"/>
    <s v="Medium"/>
    <s v="July"/>
    <x v="6"/>
  </r>
  <r>
    <d v="2015-07-10T00:00:00"/>
    <x v="6"/>
    <x v="3"/>
    <n v="706300"/>
    <n v="658000"/>
    <x v="0"/>
    <x v="0"/>
    <x v="0"/>
    <n v="1"/>
    <n v="1111.6589814177564"/>
    <n v="1.3402249999999999E-2"/>
    <x v="3"/>
    <n v="-48300"/>
    <n v="591.90809999999999"/>
    <x v="1"/>
    <s v="High"/>
    <s v="Medium"/>
    <s v="July"/>
    <x v="6"/>
  </r>
  <r>
    <d v="2015-07-11T00:00:00"/>
    <x v="6"/>
    <x v="6"/>
    <n v="444584.20699999999"/>
    <n v="159000"/>
    <x v="0"/>
    <x v="0"/>
    <x v="0"/>
    <n v="3"/>
    <n v="1100"/>
    <n v="1.3402249999999999E-2"/>
    <x v="2"/>
    <n v="-285584.20699999999"/>
    <n v="144.5455"/>
    <x v="1"/>
    <s v="Low"/>
    <s v="Medium"/>
    <s v="July"/>
    <x v="6"/>
  </r>
  <r>
    <d v="2015-07-12T00:00:00"/>
    <x v="6"/>
    <x v="4"/>
    <n v="444584.20699999999"/>
    <n v="774000"/>
    <x v="0"/>
    <x v="0"/>
    <x v="0"/>
    <n v="2"/>
    <n v="1060"/>
    <n v="1.3402249999999999E-2"/>
    <x v="1"/>
    <n v="329415.79300000001"/>
    <n v="730.18870000000004"/>
    <x v="0"/>
    <s v="High"/>
    <s v="Medium"/>
    <s v="July"/>
    <x v="6"/>
  </r>
  <r>
    <d v="2015-07-17T00:00:00"/>
    <x v="6"/>
    <x v="6"/>
    <n v="173460"/>
    <n v="247500"/>
    <x v="0"/>
    <x v="0"/>
    <x v="0"/>
    <n v="2"/>
    <n v="1062"/>
    <n v="1.3402249999999999E-2"/>
    <x v="2"/>
    <n v="74040"/>
    <n v="233.05080000000001"/>
    <x v="0"/>
    <s v="Medium"/>
    <s v="Medium"/>
    <s v="July"/>
    <x v="6"/>
  </r>
  <r>
    <d v="2015-07-19T00:00:00"/>
    <x v="6"/>
    <x v="3"/>
    <n v="1362410"/>
    <n v="1800000"/>
    <x v="0"/>
    <x v="0"/>
    <x v="0"/>
    <n v="3"/>
    <n v="996"/>
    <n v="1.3402249999999999E-2"/>
    <x v="0"/>
    <n v="437590"/>
    <n v="1807.2289000000001"/>
    <x v="0"/>
    <s v="High"/>
    <s v="Medium"/>
    <s v="July"/>
    <x v="6"/>
  </r>
  <r>
    <d v="2015-07-23T00:00:00"/>
    <x v="6"/>
    <x v="6"/>
    <n v="303660"/>
    <n v="500000"/>
    <x v="0"/>
    <x v="0"/>
    <x v="0"/>
    <n v="2"/>
    <n v="1068"/>
    <n v="1.3402249999999999E-2"/>
    <x v="0"/>
    <n v="196340"/>
    <n v="468.16480000000001"/>
    <x v="0"/>
    <s v="Medium"/>
    <s v="Medium"/>
    <s v="July"/>
    <x v="6"/>
  </r>
  <r>
    <d v="2015-07-24T00:00:00"/>
    <x v="6"/>
    <x v="2"/>
    <n v="444584.20699999999"/>
    <n v="184000"/>
    <x v="1"/>
    <x v="1"/>
    <x v="1"/>
    <n v="4"/>
    <n v="1313"/>
    <n v="1.3402249999999999E-2"/>
    <x v="0"/>
    <n v="-260584.20699999999"/>
    <n v="140.1371"/>
    <x v="1"/>
    <s v="Low"/>
    <s v="Large"/>
    <s v="July"/>
    <x v="6"/>
  </r>
  <r>
    <d v="2015-07-25T00:00:00"/>
    <x v="6"/>
    <x v="5"/>
    <n v="444584.20699999999"/>
    <n v="485000"/>
    <x v="0"/>
    <x v="0"/>
    <x v="0"/>
    <n v="1"/>
    <n v="1094"/>
    <n v="1.3402249999999999E-2"/>
    <x v="1"/>
    <n v="40415.792999999998"/>
    <n v="443.3272"/>
    <x v="0"/>
    <s v="Medium"/>
    <s v="Medium"/>
    <s v="July"/>
    <x v="6"/>
  </r>
  <r>
    <d v="2015-07-29T00:00:00"/>
    <x v="6"/>
    <x v="5"/>
    <n v="345660"/>
    <n v="550000"/>
    <x v="0"/>
    <x v="0"/>
    <x v="0"/>
    <n v="3"/>
    <n v="1111.6589814177564"/>
    <n v="1.3402249999999999E-2"/>
    <x v="2"/>
    <n v="204340"/>
    <n v="494.75599999999997"/>
    <x v="0"/>
    <s v="Medium"/>
    <s v="Medium"/>
    <s v="July"/>
    <x v="6"/>
  </r>
  <r>
    <d v="2015-08-01T00:00:00"/>
    <x v="6"/>
    <x v="4"/>
    <n v="204610"/>
    <n v="340000"/>
    <x v="0"/>
    <x v="0"/>
    <x v="0"/>
    <n v="1"/>
    <n v="955"/>
    <n v="1.3402249999999999E-2"/>
    <x v="1"/>
    <n v="135390"/>
    <n v="356.02089999999998"/>
    <x v="0"/>
    <s v="Medium"/>
    <s v="Medium"/>
    <s v="August"/>
    <x v="7"/>
  </r>
  <r>
    <d v="2015-08-02T00:00:00"/>
    <x v="6"/>
    <x v="3"/>
    <n v="444584.20699999999"/>
    <n v="2850000"/>
    <x v="0"/>
    <x v="0"/>
    <x v="0"/>
    <n v="3"/>
    <n v="1057"/>
    <n v="1.3402249999999999E-2"/>
    <x v="2"/>
    <n v="2405415.7930000001"/>
    <n v="2696.3103000000001"/>
    <x v="0"/>
    <s v="High"/>
    <s v="Medium"/>
    <s v="August"/>
    <x v="7"/>
  </r>
  <r>
    <d v="2015-08-06T00:00:00"/>
    <x v="6"/>
    <x v="3"/>
    <n v="1050280"/>
    <n v="1780000"/>
    <x v="0"/>
    <x v="0"/>
    <x v="0"/>
    <n v="3"/>
    <n v="1075"/>
    <n v="1.3402249999999999E-2"/>
    <x v="3"/>
    <n v="729720"/>
    <n v="1655.8140000000001"/>
    <x v="0"/>
    <s v="High"/>
    <s v="Medium"/>
    <s v="August"/>
    <x v="7"/>
  </r>
  <r>
    <d v="2015-08-07T00:00:00"/>
    <x v="6"/>
    <x v="2"/>
    <n v="186030"/>
    <n v="150000"/>
    <x v="2"/>
    <x v="2"/>
    <x v="2"/>
    <n v="5"/>
    <n v="1111.6589814177564"/>
    <n v="1.3402249999999999E-2"/>
    <x v="2"/>
    <n v="-36030"/>
    <n v="134.93350000000001"/>
    <x v="1"/>
    <s v="Low"/>
    <s v="Medium"/>
    <s v="August"/>
    <x v="7"/>
  </r>
  <r>
    <d v="2015-08-08T00:00:00"/>
    <x v="6"/>
    <x v="2"/>
    <n v="444584.20699999999"/>
    <n v="76500"/>
    <x v="0"/>
    <x v="0"/>
    <x v="0"/>
    <n v="1"/>
    <n v="1022"/>
    <n v="1.3402249999999999E-2"/>
    <x v="0"/>
    <n v="-368084.20699999999"/>
    <n v="74.853200000000001"/>
    <x v="1"/>
    <s v="Low"/>
    <s v="Medium"/>
    <s v="August"/>
    <x v="7"/>
  </r>
  <r>
    <d v="2015-08-09T00:00:00"/>
    <x v="6"/>
    <x v="3"/>
    <n v="444584.20699999999"/>
    <n v="1550000"/>
    <x v="0"/>
    <x v="0"/>
    <x v="0"/>
    <n v="3"/>
    <n v="1090"/>
    <n v="1.3402249999999999E-2"/>
    <x v="1"/>
    <n v="1105415.7930000001"/>
    <n v="1422.0183"/>
    <x v="0"/>
    <s v="High"/>
    <s v="Medium"/>
    <s v="August"/>
    <x v="7"/>
  </r>
  <r>
    <d v="2015-08-12T00:00:00"/>
    <x v="6"/>
    <x v="6"/>
    <n v="280350"/>
    <n v="481000"/>
    <x v="0"/>
    <x v="0"/>
    <x v="0"/>
    <n v="1"/>
    <n v="942"/>
    <n v="1.3402249999999999E-2"/>
    <x v="0"/>
    <n v="200650"/>
    <n v="510.6157"/>
    <x v="0"/>
    <s v="Medium"/>
    <s v="Medium"/>
    <s v="August"/>
    <x v="7"/>
  </r>
  <r>
    <d v="2015-08-13T00:00:00"/>
    <x v="6"/>
    <x v="6"/>
    <n v="187390"/>
    <n v="410000"/>
    <x v="0"/>
    <x v="0"/>
    <x v="0"/>
    <n v="2"/>
    <n v="1111.6589814177564"/>
    <n v="1.3402249999999999E-2"/>
    <x v="3"/>
    <n v="222610"/>
    <n v="368.81810000000002"/>
    <x v="0"/>
    <s v="Medium"/>
    <s v="Medium"/>
    <s v="August"/>
    <x v="7"/>
  </r>
  <r>
    <d v="2015-08-15T00:00:00"/>
    <x v="6"/>
    <x v="3"/>
    <n v="1005480"/>
    <n v="1045000"/>
    <x v="0"/>
    <x v="0"/>
    <x v="0"/>
    <n v="1"/>
    <n v="928"/>
    <n v="1.3402249999999999E-2"/>
    <x v="3"/>
    <n v="39520"/>
    <n v="1126.0776000000001"/>
    <x v="0"/>
    <s v="High"/>
    <s v="Medium"/>
    <s v="August"/>
    <x v="7"/>
  </r>
  <r>
    <d v="2015-08-16T00:00:00"/>
    <x v="6"/>
    <x v="4"/>
    <n v="1409940"/>
    <n v="1800000"/>
    <x v="0"/>
    <x v="0"/>
    <x v="0"/>
    <n v="1"/>
    <n v="1099"/>
    <n v="1.3402249999999999E-2"/>
    <x v="1"/>
    <n v="390060"/>
    <n v="1637.8525999999999"/>
    <x v="0"/>
    <s v="High"/>
    <s v="Medium"/>
    <s v="August"/>
    <x v="7"/>
  </r>
  <r>
    <d v="2015-08-19T00:00:00"/>
    <x v="6"/>
    <x v="6"/>
    <n v="215320"/>
    <n v="340000"/>
    <x v="0"/>
    <x v="0"/>
    <x v="0"/>
    <n v="1"/>
    <n v="1111.6589814177564"/>
    <n v="1.3402249999999999E-2"/>
    <x v="3"/>
    <n v="124680"/>
    <n v="305.8492"/>
    <x v="0"/>
    <s v="Medium"/>
    <s v="Medium"/>
    <s v="August"/>
    <x v="7"/>
  </r>
  <r>
    <d v="2015-08-20T00:00:00"/>
    <x v="6"/>
    <x v="5"/>
    <n v="129780"/>
    <n v="230000"/>
    <x v="0"/>
    <x v="0"/>
    <x v="0"/>
    <n v="2"/>
    <n v="963"/>
    <n v="1.3402249999999999E-2"/>
    <x v="1"/>
    <n v="100220"/>
    <n v="238.83699999999999"/>
    <x v="0"/>
    <s v="Medium"/>
    <s v="Medium"/>
    <s v="August"/>
    <x v="7"/>
  </r>
  <r>
    <d v="2015-08-21T00:00:00"/>
    <x v="6"/>
    <x v="2"/>
    <n v="216530"/>
    <n v="150000"/>
    <x v="3"/>
    <x v="3"/>
    <x v="3"/>
    <n v="8"/>
    <n v="2531"/>
    <n v="1.3402249999999999E-2"/>
    <x v="1"/>
    <n v="-66530"/>
    <n v="59.265099999999997"/>
    <x v="1"/>
    <s v="Low"/>
    <s v="Large"/>
    <s v="August"/>
    <x v="7"/>
  </r>
  <r>
    <d v="2015-08-22T00:00:00"/>
    <x v="6"/>
    <x v="1"/>
    <n v="720440"/>
    <n v="1115000"/>
    <x v="0"/>
    <x v="0"/>
    <x v="0"/>
    <n v="1"/>
    <n v="928"/>
    <n v="1.3402249999999999E-2"/>
    <x v="0"/>
    <n v="394560"/>
    <n v="1201.5085999999999"/>
    <x v="0"/>
    <s v="High"/>
    <s v="Medium"/>
    <s v="August"/>
    <x v="7"/>
  </r>
  <r>
    <d v="2015-08-23T00:00:00"/>
    <x v="6"/>
    <x v="1"/>
    <n v="466550"/>
    <n v="700000"/>
    <x v="0"/>
    <x v="0"/>
    <x v="0"/>
    <n v="1"/>
    <n v="981"/>
    <n v="1.3402249999999999E-2"/>
    <x v="2"/>
    <n v="233450"/>
    <n v="713.55759999999998"/>
    <x v="0"/>
    <s v="High"/>
    <s v="Medium"/>
    <s v="August"/>
    <x v="7"/>
  </r>
  <r>
    <d v="2015-08-26T00:00:00"/>
    <x v="6"/>
    <x v="4"/>
    <n v="341250"/>
    <n v="785000"/>
    <x v="0"/>
    <x v="0"/>
    <x v="0"/>
    <n v="3"/>
    <n v="1002"/>
    <n v="1.3402249999999999E-2"/>
    <x v="1"/>
    <n v="443750"/>
    <n v="783.43309999999997"/>
    <x v="0"/>
    <s v="High"/>
    <s v="Medium"/>
    <s v="August"/>
    <x v="7"/>
  </r>
  <r>
    <d v="2015-08-27T00:00:00"/>
    <x v="6"/>
    <x v="2"/>
    <n v="444584.20699999999"/>
    <n v="280000"/>
    <x v="2"/>
    <x v="2"/>
    <x v="2"/>
    <n v="6"/>
    <n v="1111.6589814177564"/>
    <n v="1.3402249999999999E-2"/>
    <x v="0"/>
    <n v="-164584.20699999999"/>
    <n v="251.8758"/>
    <x v="1"/>
    <s v="Medium"/>
    <s v="Medium"/>
    <s v="August"/>
    <x v="7"/>
  </r>
  <r>
    <d v="2015-08-28T00:00:00"/>
    <x v="6"/>
    <x v="6"/>
    <n v="256480"/>
    <n v="490000"/>
    <x v="0"/>
    <x v="0"/>
    <x v="0"/>
    <n v="2"/>
    <n v="1029"/>
    <n v="1.3402249999999999E-2"/>
    <x v="2"/>
    <n v="233520"/>
    <n v="476.19049999999999"/>
    <x v="0"/>
    <s v="Medium"/>
    <s v="Medium"/>
    <s v="August"/>
    <x v="7"/>
  </r>
  <r>
    <d v="2015-08-29T00:00:00"/>
    <x v="6"/>
    <x v="4"/>
    <n v="444584.20699999999"/>
    <n v="1005500"/>
    <x v="0"/>
    <x v="0"/>
    <x v="0"/>
    <n v="1"/>
    <n v="1033"/>
    <n v="1.3402249999999999E-2"/>
    <x v="1"/>
    <n v="560915.79299999995"/>
    <n v="973.37850000000003"/>
    <x v="0"/>
    <s v="High"/>
    <s v="Medium"/>
    <s v="August"/>
    <x v="7"/>
  </r>
  <r>
    <d v="2015-08-30T00:00:00"/>
    <x v="6"/>
    <x v="1"/>
    <n v="253610"/>
    <n v="382500"/>
    <x v="0"/>
    <x v="0"/>
    <x v="0"/>
    <n v="3"/>
    <n v="976"/>
    <n v="1.3402249999999999E-2"/>
    <x v="2"/>
    <n v="128890"/>
    <n v="391.90570000000002"/>
    <x v="0"/>
    <s v="Medium"/>
    <s v="Medium"/>
    <s v="August"/>
    <x v="7"/>
  </r>
  <r>
    <d v="2015-09-03T00:00:00"/>
    <x v="6"/>
    <x v="2"/>
    <n v="444584.20699999999"/>
    <n v="60469"/>
    <x v="0"/>
    <x v="0"/>
    <x v="0"/>
    <n v="2"/>
    <n v="907"/>
    <n v="1.3402249999999999E-2"/>
    <x v="0"/>
    <n v="-384115.20699999999"/>
    <n v="66.669200000000004"/>
    <x v="1"/>
    <s v="Low"/>
    <s v="Medium"/>
    <s v="September"/>
    <x v="8"/>
  </r>
  <r>
    <d v="2015-09-04T00:00:00"/>
    <x v="6"/>
    <x v="1"/>
    <n v="444584.20699999999"/>
    <n v="630000"/>
    <x v="0"/>
    <x v="0"/>
    <x v="0"/>
    <n v="2"/>
    <n v="1064"/>
    <n v="1.3402249999999999E-2"/>
    <x v="1"/>
    <n v="185415.79300000001"/>
    <n v="592.10530000000006"/>
    <x v="0"/>
    <s v="High"/>
    <s v="Medium"/>
    <s v="September"/>
    <x v="8"/>
  </r>
  <r>
    <d v="2015-09-10T00:00:00"/>
    <x v="6"/>
    <x v="1"/>
    <n v="661920"/>
    <n v="721000"/>
    <x v="0"/>
    <x v="0"/>
    <x v="0"/>
    <n v="1"/>
    <n v="1014"/>
    <n v="1.3402249999999999E-2"/>
    <x v="2"/>
    <n v="59080"/>
    <n v="711.04539999999997"/>
    <x v="0"/>
    <s v="High"/>
    <s v="Medium"/>
    <s v="September"/>
    <x v="8"/>
  </r>
  <r>
    <d v="2015-09-11T00:00:00"/>
    <x v="6"/>
    <x v="6"/>
    <n v="319480"/>
    <n v="445000"/>
    <x v="0"/>
    <x v="0"/>
    <x v="0"/>
    <n v="1"/>
    <n v="914"/>
    <n v="1.3402249999999999E-2"/>
    <x v="2"/>
    <n v="125520"/>
    <n v="486.87090000000001"/>
    <x v="0"/>
    <s v="Medium"/>
    <s v="Medium"/>
    <s v="September"/>
    <x v="8"/>
  </r>
  <r>
    <d v="2015-09-12T00:00:00"/>
    <x v="6"/>
    <x v="2"/>
    <n v="173590"/>
    <n v="140000"/>
    <x v="0"/>
    <x v="0"/>
    <x v="0"/>
    <n v="1"/>
    <n v="923"/>
    <n v="1.3402249999999999E-2"/>
    <x v="0"/>
    <n v="-33590"/>
    <n v="151.67930000000001"/>
    <x v="1"/>
    <s v="Low"/>
    <s v="Medium"/>
    <s v="September"/>
    <x v="8"/>
  </r>
  <r>
    <d v="2015-09-13T00:00:00"/>
    <x v="6"/>
    <x v="4"/>
    <n v="444584.20699999999"/>
    <n v="989625"/>
    <x v="0"/>
    <x v="0"/>
    <x v="0"/>
    <n v="3"/>
    <n v="963"/>
    <n v="1.3402249999999999E-2"/>
    <x v="2"/>
    <n v="545040.79299999995"/>
    <n v="1027.6479999999999"/>
    <x v="0"/>
    <s v="High"/>
    <s v="Medium"/>
    <s v="September"/>
    <x v="8"/>
  </r>
  <r>
    <d v="2015-09-16T00:00:00"/>
    <x v="6"/>
    <x v="6"/>
    <n v="183190"/>
    <n v="290000"/>
    <x v="0"/>
    <x v="0"/>
    <x v="0"/>
    <n v="2"/>
    <n v="912"/>
    <n v="1.3402249999999999E-2"/>
    <x v="2"/>
    <n v="106810"/>
    <n v="317.98250000000002"/>
    <x v="0"/>
    <s v="Medium"/>
    <s v="Medium"/>
    <s v="September"/>
    <x v="8"/>
  </r>
  <r>
    <d v="2015-09-17T00:00:00"/>
    <x v="6"/>
    <x v="4"/>
    <n v="227290"/>
    <n v="427500"/>
    <x v="0"/>
    <x v="0"/>
    <x v="0"/>
    <n v="2"/>
    <n v="950"/>
    <n v="1.3402249999999999E-2"/>
    <x v="0"/>
    <n v="200210"/>
    <n v="450"/>
    <x v="0"/>
    <s v="Medium"/>
    <s v="Medium"/>
    <s v="September"/>
    <x v="8"/>
  </r>
  <r>
    <d v="2015-09-18T00:00:00"/>
    <x v="6"/>
    <x v="1"/>
    <n v="444584.20699999999"/>
    <n v="1800000"/>
    <x v="0"/>
    <x v="0"/>
    <x v="0"/>
    <n v="2"/>
    <n v="1021"/>
    <n v="1.3402249999999999E-2"/>
    <x v="1"/>
    <n v="1355415.7930000001"/>
    <n v="1762.9775"/>
    <x v="0"/>
    <s v="High"/>
    <s v="Medium"/>
    <s v="September"/>
    <x v="8"/>
  </r>
  <r>
    <d v="2015-09-24T00:00:00"/>
    <x v="6"/>
    <x v="2"/>
    <n v="173980"/>
    <n v="200000"/>
    <x v="0"/>
    <x v="0"/>
    <x v="0"/>
    <n v="3"/>
    <n v="1082"/>
    <n v="1.3402249999999999E-2"/>
    <x v="0"/>
    <n v="26020"/>
    <n v="184.84289999999999"/>
    <x v="0"/>
    <s v="Medium"/>
    <s v="Medium"/>
    <s v="September"/>
    <x v="8"/>
  </r>
  <r>
    <d v="2015-09-26T00:00:00"/>
    <x v="6"/>
    <x v="4"/>
    <n v="298340"/>
    <n v="515000"/>
    <x v="0"/>
    <x v="0"/>
    <x v="0"/>
    <n v="1"/>
    <n v="1111.6589814177564"/>
    <n v="1.3402249999999999E-2"/>
    <x v="2"/>
    <n v="216660"/>
    <n v="463.27159999999998"/>
    <x v="0"/>
    <s v="Medium"/>
    <s v="Medium"/>
    <s v="September"/>
    <x v="8"/>
  </r>
  <r>
    <d v="2015-09-27T00:00:00"/>
    <x v="6"/>
    <x v="3"/>
    <n v="444584.20699999999"/>
    <n v="2950000"/>
    <x v="0"/>
    <x v="0"/>
    <x v="0"/>
    <n v="2"/>
    <n v="1087"/>
    <n v="1.3402249999999999E-2"/>
    <x v="1"/>
    <n v="2505415.7930000001"/>
    <n v="2713.8914"/>
    <x v="0"/>
    <s v="High"/>
    <s v="Medium"/>
    <s v="September"/>
    <x v="8"/>
  </r>
  <r>
    <d v="2015-09-30T00:00:00"/>
    <x v="6"/>
    <x v="2"/>
    <n v="222550"/>
    <n v="90000"/>
    <x v="2"/>
    <x v="2"/>
    <x v="2"/>
    <n v="4"/>
    <n v="1837"/>
    <n v="1.3402249999999999E-2"/>
    <x v="0"/>
    <n v="-132550"/>
    <n v="48.992899999999999"/>
    <x v="1"/>
    <s v="Low"/>
    <s v="Large"/>
    <s v="September"/>
    <x v="8"/>
  </r>
  <r>
    <d v="2015-10-01T00:00:00"/>
    <x v="6"/>
    <x v="4"/>
    <n v="336840"/>
    <n v="420000"/>
    <x v="0"/>
    <x v="0"/>
    <x v="0"/>
    <n v="2"/>
    <n v="931"/>
    <n v="1.3402249999999999E-2"/>
    <x v="3"/>
    <n v="83160"/>
    <n v="451.12779999999998"/>
    <x v="0"/>
    <s v="Medium"/>
    <s v="Medium"/>
    <s v="October"/>
    <x v="9"/>
  </r>
  <r>
    <d v="2015-10-02T00:00:00"/>
    <x v="6"/>
    <x v="2"/>
    <n v="132200"/>
    <n v="117299"/>
    <x v="0"/>
    <x v="0"/>
    <x v="0"/>
    <n v="2"/>
    <n v="1111.6589814177564"/>
    <n v="1.3402249999999999E-2"/>
    <x v="0"/>
    <n v="-14901"/>
    <n v="105.5171"/>
    <x v="1"/>
    <s v="Low"/>
    <s v="Medium"/>
    <s v="October"/>
    <x v="9"/>
  </r>
  <r>
    <d v="2015-10-03T00:00:00"/>
    <x v="6"/>
    <x v="3"/>
    <n v="814590"/>
    <n v="800000"/>
    <x v="0"/>
    <x v="0"/>
    <x v="0"/>
    <n v="3"/>
    <n v="940"/>
    <n v="1.3402249999999999E-2"/>
    <x v="0"/>
    <n v="-14590"/>
    <n v="851.06380000000001"/>
    <x v="1"/>
    <s v="High"/>
    <s v="Medium"/>
    <s v="October"/>
    <x v="9"/>
  </r>
  <r>
    <d v="2015-10-04T00:00:00"/>
    <x v="6"/>
    <x v="7"/>
    <n v="203910"/>
    <n v="312000"/>
    <x v="0"/>
    <x v="0"/>
    <x v="0"/>
    <n v="2"/>
    <n v="1111.6589814177564"/>
    <n v="1.3402249999999999E-2"/>
    <x v="3"/>
    <n v="108090"/>
    <n v="280.66160000000002"/>
    <x v="0"/>
    <s v="Medium"/>
    <s v="Medium"/>
    <s v="October"/>
    <x v="9"/>
  </r>
  <r>
    <d v="2015-10-07T00:00:00"/>
    <x v="6"/>
    <x v="2"/>
    <n v="122210"/>
    <n v="100000"/>
    <x v="0"/>
    <x v="0"/>
    <x v="0"/>
    <n v="2"/>
    <n v="1088"/>
    <n v="1.3402249999999999E-2"/>
    <x v="0"/>
    <n v="-22210"/>
    <n v="91.911799999999999"/>
    <x v="1"/>
    <s v="Low"/>
    <s v="Medium"/>
    <s v="October"/>
    <x v="9"/>
  </r>
  <r>
    <d v="2015-10-10T00:00:00"/>
    <x v="6"/>
    <x v="2"/>
    <n v="155090"/>
    <n v="120000"/>
    <x v="0"/>
    <x v="0"/>
    <x v="0"/>
    <n v="1"/>
    <n v="989"/>
    <n v="1.3402249999999999E-2"/>
    <x v="3"/>
    <n v="-35090"/>
    <n v="121.3347"/>
    <x v="1"/>
    <s v="Low"/>
    <s v="Medium"/>
    <s v="October"/>
    <x v="9"/>
  </r>
  <r>
    <d v="2015-10-11T00:00:00"/>
    <x v="6"/>
    <x v="3"/>
    <n v="444584.20699999999"/>
    <n v="1450000"/>
    <x v="0"/>
    <x v="0"/>
    <x v="0"/>
    <n v="2"/>
    <n v="1111.6589814177564"/>
    <n v="1.3402249999999999E-2"/>
    <x v="2"/>
    <n v="1005415.7929999999"/>
    <n v="1304.3568"/>
    <x v="0"/>
    <s v="High"/>
    <s v="Medium"/>
    <s v="October"/>
    <x v="9"/>
  </r>
  <r>
    <d v="2015-10-16T00:00:00"/>
    <x v="6"/>
    <x v="3"/>
    <n v="834890"/>
    <n v="1060000"/>
    <x v="0"/>
    <x v="0"/>
    <x v="0"/>
    <n v="3"/>
    <n v="1111.6589814177564"/>
    <n v="1.3402249999999999E-2"/>
    <x v="0"/>
    <n v="225110"/>
    <n v="953.52980000000002"/>
    <x v="0"/>
    <s v="High"/>
    <s v="Medium"/>
    <s v="October"/>
    <x v="9"/>
  </r>
  <r>
    <d v="2015-10-18T00:00:00"/>
    <x v="6"/>
    <x v="3"/>
    <n v="1871240"/>
    <n v="3375000"/>
    <x v="0"/>
    <x v="0"/>
    <x v="0"/>
    <n v="3"/>
    <n v="1062"/>
    <n v="1.3402249999999999E-2"/>
    <x v="0"/>
    <n v="1503760"/>
    <n v="3177.9661000000001"/>
    <x v="0"/>
    <s v="High"/>
    <s v="Medium"/>
    <s v="October"/>
    <x v="9"/>
  </r>
  <r>
    <d v="2015-10-21T00:00:00"/>
    <x v="6"/>
    <x v="2"/>
    <n v="116380"/>
    <n v="148000"/>
    <x v="0"/>
    <x v="0"/>
    <x v="0"/>
    <n v="2"/>
    <n v="901"/>
    <n v="1.3402249999999999E-2"/>
    <x v="2"/>
    <n v="31620"/>
    <n v="164.2619"/>
    <x v="0"/>
    <s v="Low"/>
    <s v="Medium"/>
    <s v="October"/>
    <x v="9"/>
  </r>
  <r>
    <d v="2015-10-23T00:00:00"/>
    <x v="6"/>
    <x v="2"/>
    <n v="148990"/>
    <n v="159000"/>
    <x v="1"/>
    <x v="1"/>
    <x v="1"/>
    <n v="2"/>
    <n v="1311"/>
    <n v="1.3402249999999999E-2"/>
    <x v="1"/>
    <n v="10010"/>
    <n v="121.28149999999999"/>
    <x v="0"/>
    <s v="Low"/>
    <s v="Large"/>
    <s v="October"/>
    <x v="9"/>
  </r>
  <r>
    <d v="2015-10-24T00:00:00"/>
    <x v="6"/>
    <x v="5"/>
    <n v="130260"/>
    <n v="85000"/>
    <x v="0"/>
    <x v="0"/>
    <x v="0"/>
    <n v="1"/>
    <n v="1064"/>
    <n v="1.3402249999999999E-2"/>
    <x v="0"/>
    <n v="-45260"/>
    <n v="79.887200000000007"/>
    <x v="1"/>
    <s v="Low"/>
    <s v="Medium"/>
    <s v="October"/>
    <x v="9"/>
  </r>
  <r>
    <d v="2015-10-25T00:00:00"/>
    <x v="6"/>
    <x v="7"/>
    <n v="389190"/>
    <n v="668000"/>
    <x v="0"/>
    <x v="0"/>
    <x v="0"/>
    <n v="3"/>
    <n v="1111.6589814177564"/>
    <n v="1.3402249999999999E-2"/>
    <x v="0"/>
    <n v="278810"/>
    <n v="600.90369999999996"/>
    <x v="0"/>
    <s v="High"/>
    <s v="Medium"/>
    <s v="October"/>
    <x v="9"/>
  </r>
  <r>
    <d v="2015-10-28T00:00:00"/>
    <x v="6"/>
    <x v="7"/>
    <n v="759340"/>
    <n v="1125000"/>
    <x v="0"/>
    <x v="0"/>
    <x v="0"/>
    <n v="3"/>
    <n v="989"/>
    <n v="1.3402249999999999E-2"/>
    <x v="3"/>
    <n v="365660"/>
    <n v="1137.5126"/>
    <x v="0"/>
    <s v="High"/>
    <s v="Medium"/>
    <s v="October"/>
    <x v="9"/>
  </r>
  <r>
    <d v="2015-10-29T00:00:00"/>
    <x v="6"/>
    <x v="5"/>
    <n v="444584.20699999999"/>
    <n v="50000"/>
    <x v="0"/>
    <x v="0"/>
    <x v="0"/>
    <n v="1"/>
    <n v="939"/>
    <n v="1.3402249999999999E-2"/>
    <x v="0"/>
    <n v="-394584.20699999999"/>
    <n v="53.248100000000001"/>
    <x v="1"/>
    <s v="Low"/>
    <s v="Medium"/>
    <s v="October"/>
    <x v="9"/>
  </r>
  <r>
    <d v="2015-10-30T00:00:00"/>
    <x v="6"/>
    <x v="6"/>
    <n v="111790"/>
    <n v="155000"/>
    <x v="0"/>
    <x v="0"/>
    <x v="0"/>
    <n v="3"/>
    <n v="947"/>
    <n v="1.3402249999999999E-2"/>
    <x v="2"/>
    <n v="43210"/>
    <n v="163.6748"/>
    <x v="0"/>
    <s v="Low"/>
    <s v="Medium"/>
    <s v="October"/>
    <x v="9"/>
  </r>
  <r>
    <d v="2015-10-31T00:00:00"/>
    <x v="6"/>
    <x v="7"/>
    <n v="283220"/>
    <n v="525000"/>
    <x v="1"/>
    <x v="1"/>
    <x v="1"/>
    <n v="2"/>
    <n v="1315"/>
    <n v="1.3402249999999999E-2"/>
    <x v="0"/>
    <n v="241780"/>
    <n v="399.23950000000002"/>
    <x v="0"/>
    <s v="Medium"/>
    <s v="Large"/>
    <s v="October"/>
    <x v="9"/>
  </r>
  <r>
    <d v="2015-11-01T00:00:00"/>
    <x v="6"/>
    <x v="5"/>
    <n v="107010"/>
    <n v="139000"/>
    <x v="0"/>
    <x v="0"/>
    <x v="0"/>
    <n v="2"/>
    <n v="966"/>
    <n v="1.3402249999999999E-2"/>
    <x v="0"/>
    <n v="31990"/>
    <n v="143.89230000000001"/>
    <x v="0"/>
    <s v="Low"/>
    <s v="Medium"/>
    <s v="November"/>
    <x v="10"/>
  </r>
  <r>
    <d v="2015-11-04T00:00:00"/>
    <x v="6"/>
    <x v="4"/>
    <n v="566090"/>
    <n v="1125000"/>
    <x v="0"/>
    <x v="0"/>
    <x v="0"/>
    <n v="1"/>
    <n v="970"/>
    <n v="1.3402249999999999E-2"/>
    <x v="1"/>
    <n v="558910"/>
    <n v="1159.7937999999999"/>
    <x v="0"/>
    <s v="High"/>
    <s v="Medium"/>
    <s v="November"/>
    <x v="10"/>
  </r>
  <r>
    <d v="2015-11-05T00:00:00"/>
    <x v="6"/>
    <x v="3"/>
    <n v="539630"/>
    <n v="1315000"/>
    <x v="0"/>
    <x v="0"/>
    <x v="0"/>
    <n v="2"/>
    <n v="1063"/>
    <n v="1.3402249999999999E-2"/>
    <x v="2"/>
    <n v="775370"/>
    <n v="1237.0649000000001"/>
    <x v="0"/>
    <s v="High"/>
    <s v="Medium"/>
    <s v="November"/>
    <x v="10"/>
  </r>
  <r>
    <d v="2015-11-12T00:00:00"/>
    <x v="6"/>
    <x v="0"/>
    <n v="444584.20699999999"/>
    <n v="55000"/>
    <x v="2"/>
    <x v="2"/>
    <x v="2"/>
    <n v="6"/>
    <n v="2044"/>
    <n v="1.3402249999999999E-2"/>
    <x v="1"/>
    <n v="-389584.20699999999"/>
    <n v="26.908000000000001"/>
    <x v="1"/>
    <s v="Low"/>
    <s v="Large"/>
    <s v="November"/>
    <x v="10"/>
  </r>
  <r>
    <d v="2015-11-15T00:00:00"/>
    <x v="6"/>
    <x v="3"/>
    <n v="1303400"/>
    <n v="2600000"/>
    <x v="0"/>
    <x v="0"/>
    <x v="0"/>
    <n v="1"/>
    <n v="938"/>
    <n v="1.3402249999999999E-2"/>
    <x v="2"/>
    <n v="1296600"/>
    <n v="2771.855"/>
    <x v="0"/>
    <s v="High"/>
    <s v="Medium"/>
    <s v="November"/>
    <x v="10"/>
  </r>
  <r>
    <d v="2015-11-20T00:00:00"/>
    <x v="6"/>
    <x v="5"/>
    <n v="794990"/>
    <n v="1335000"/>
    <x v="0"/>
    <x v="0"/>
    <x v="0"/>
    <n v="1"/>
    <n v="1027"/>
    <n v="1.3402249999999999E-2"/>
    <x v="0"/>
    <n v="540010"/>
    <n v="1299.9025999999999"/>
    <x v="0"/>
    <s v="High"/>
    <s v="Medium"/>
    <s v="November"/>
    <x v="10"/>
  </r>
  <r>
    <d v="2015-11-22T00:00:00"/>
    <x v="6"/>
    <x v="7"/>
    <n v="283030"/>
    <n v="300000"/>
    <x v="0"/>
    <x v="0"/>
    <x v="0"/>
    <n v="1"/>
    <n v="940"/>
    <n v="1.3402249999999999E-2"/>
    <x v="3"/>
    <n v="16970"/>
    <n v="319.14890000000003"/>
    <x v="0"/>
    <s v="Medium"/>
    <s v="Medium"/>
    <s v="November"/>
    <x v="10"/>
  </r>
  <r>
    <d v="2015-11-25T00:00:00"/>
    <x v="6"/>
    <x v="2"/>
    <n v="191700"/>
    <n v="228000"/>
    <x v="0"/>
    <x v="0"/>
    <x v="0"/>
    <n v="1"/>
    <n v="918"/>
    <n v="1.3402249999999999E-2"/>
    <x v="2"/>
    <n v="36300"/>
    <n v="248.36600000000001"/>
    <x v="0"/>
    <s v="Medium"/>
    <s v="Medium"/>
    <s v="November"/>
    <x v="10"/>
  </r>
  <r>
    <d v="2015-11-27T00:00:00"/>
    <x v="6"/>
    <x v="5"/>
    <n v="1207440"/>
    <n v="646750"/>
    <x v="0"/>
    <x v="0"/>
    <x v="0"/>
    <n v="3"/>
    <n v="910"/>
    <n v="1.3402249999999999E-2"/>
    <x v="1"/>
    <n v="-560690"/>
    <n v="710.71429999999998"/>
    <x v="1"/>
    <s v="High"/>
    <s v="Medium"/>
    <s v="November"/>
    <x v="10"/>
  </r>
  <r>
    <d v="2015-12-02T00:00:00"/>
    <x v="6"/>
    <x v="2"/>
    <n v="210480"/>
    <n v="155000"/>
    <x v="2"/>
    <x v="2"/>
    <x v="2"/>
    <n v="4"/>
    <n v="2080"/>
    <n v="1.3402249999999999E-2"/>
    <x v="1"/>
    <n v="-55480"/>
    <n v="74.519199999999998"/>
    <x v="1"/>
    <s v="Low"/>
    <s v="Large"/>
    <s v="December"/>
    <x v="11"/>
  </r>
  <r>
    <d v="2015-12-03T00:00:00"/>
    <x v="6"/>
    <x v="7"/>
    <n v="348530"/>
    <n v="520000"/>
    <x v="0"/>
    <x v="0"/>
    <x v="0"/>
    <n v="1"/>
    <n v="1111.6589814177564"/>
    <n v="1.3402249999999999E-2"/>
    <x v="2"/>
    <n v="171470"/>
    <n v="467.76940000000002"/>
    <x v="0"/>
    <s v="Medium"/>
    <s v="Medium"/>
    <s v="December"/>
    <x v="11"/>
  </r>
  <r>
    <d v="2015-12-04T00:00:00"/>
    <x v="6"/>
    <x v="2"/>
    <n v="172600"/>
    <n v="66000"/>
    <x v="1"/>
    <x v="1"/>
    <x v="1"/>
    <n v="3"/>
    <n v="1332"/>
    <n v="1.3402249999999999E-2"/>
    <x v="1"/>
    <n v="-106600"/>
    <n v="49.549500000000002"/>
    <x v="1"/>
    <s v="Low"/>
    <s v="Large"/>
    <s v="December"/>
    <x v="11"/>
  </r>
  <r>
    <d v="2015-12-05T00:00:00"/>
    <x v="6"/>
    <x v="0"/>
    <n v="444584.20699999999"/>
    <n v="125000"/>
    <x v="0"/>
    <x v="0"/>
    <x v="0"/>
    <n v="2"/>
    <n v="1090"/>
    <n v="1.3402249999999999E-2"/>
    <x v="3"/>
    <n v="-319584.20699999999"/>
    <n v="114.6789"/>
    <x v="1"/>
    <s v="Low"/>
    <s v="Medium"/>
    <s v="December"/>
    <x v="11"/>
  </r>
  <r>
    <d v="2015-12-06T00:00:00"/>
    <x v="6"/>
    <x v="4"/>
    <n v="499100"/>
    <n v="558000"/>
    <x v="0"/>
    <x v="0"/>
    <x v="0"/>
    <n v="1"/>
    <n v="1023"/>
    <n v="1.3402249999999999E-2"/>
    <x v="2"/>
    <n v="58900"/>
    <n v="545.45450000000005"/>
    <x v="0"/>
    <s v="Medium"/>
    <s v="Medium"/>
    <s v="December"/>
    <x v="11"/>
  </r>
  <r>
    <d v="2015-12-10T00:00:00"/>
    <x v="6"/>
    <x v="2"/>
    <n v="173900"/>
    <n v="110000"/>
    <x v="2"/>
    <x v="2"/>
    <x v="2"/>
    <n v="6"/>
    <n v="1954"/>
    <n v="1.3402249999999999E-2"/>
    <x v="2"/>
    <n v="-63900"/>
    <n v="56.294800000000002"/>
    <x v="1"/>
    <s v="Low"/>
    <s v="Large"/>
    <s v="December"/>
    <x v="11"/>
  </r>
  <r>
    <d v="2015-12-11T00:00:00"/>
    <x v="6"/>
    <x v="6"/>
    <n v="138110"/>
    <n v="190000"/>
    <x v="0"/>
    <x v="0"/>
    <x v="0"/>
    <n v="3"/>
    <n v="1111.6589814177564"/>
    <n v="1.3402249999999999E-2"/>
    <x v="3"/>
    <n v="51890"/>
    <n v="170.91569999999999"/>
    <x v="0"/>
    <s v="Low"/>
    <s v="Medium"/>
    <s v="December"/>
    <x v="11"/>
  </r>
  <r>
    <d v="2015-12-12T00:00:00"/>
    <x v="6"/>
    <x v="5"/>
    <n v="444584.20699999999"/>
    <n v="4825000"/>
    <x v="0"/>
    <x v="0"/>
    <x v="0"/>
    <n v="3"/>
    <n v="918"/>
    <n v="1.3402249999999999E-2"/>
    <x v="2"/>
    <n v="4380415.7929999996"/>
    <n v="5255.9912999999997"/>
    <x v="0"/>
    <s v="High"/>
    <s v="Medium"/>
    <s v="December"/>
    <x v="11"/>
  </r>
  <r>
    <d v="2015-12-13T00:00:00"/>
    <x v="6"/>
    <x v="0"/>
    <n v="75490"/>
    <n v="64500"/>
    <x v="0"/>
    <x v="0"/>
    <x v="0"/>
    <n v="3"/>
    <n v="962"/>
    <n v="1.3402249999999999E-2"/>
    <x v="0"/>
    <n v="-10990"/>
    <n v="67.047799999999995"/>
    <x v="1"/>
    <s v="Low"/>
    <s v="Medium"/>
    <s v="December"/>
    <x v="11"/>
  </r>
  <r>
    <d v="2015-12-16T00:00:00"/>
    <x v="6"/>
    <x v="7"/>
    <n v="380470"/>
    <n v="540000"/>
    <x v="0"/>
    <x v="0"/>
    <x v="0"/>
    <n v="2"/>
    <n v="1024"/>
    <n v="1.3402249999999999E-2"/>
    <x v="3"/>
    <n v="159530"/>
    <n v="527.34379999999999"/>
    <x v="0"/>
    <s v="Medium"/>
    <s v="Medium"/>
    <s v="December"/>
    <x v="11"/>
  </r>
  <r>
    <d v="2015-12-17T00:00:00"/>
    <x v="6"/>
    <x v="0"/>
    <n v="138200"/>
    <n v="78750"/>
    <x v="0"/>
    <x v="0"/>
    <x v="0"/>
    <n v="3"/>
    <n v="918"/>
    <n v="1.3402249999999999E-2"/>
    <x v="0"/>
    <n v="-59450"/>
    <n v="85.784300000000002"/>
    <x v="1"/>
    <s v="Low"/>
    <s v="Medium"/>
    <s v="December"/>
    <x v="11"/>
  </r>
  <r>
    <d v="2015-12-18T00:00:00"/>
    <x v="6"/>
    <x v="0"/>
    <n v="104640"/>
    <n v="145000"/>
    <x v="0"/>
    <x v="0"/>
    <x v="0"/>
    <n v="3"/>
    <n v="1111.6589814177564"/>
    <n v="1.3402249999999999E-2"/>
    <x v="1"/>
    <n v="40360"/>
    <n v="130.4357"/>
    <x v="0"/>
    <s v="Low"/>
    <s v="Medium"/>
    <s v="December"/>
    <x v="11"/>
  </r>
  <r>
    <d v="2015-12-19T00:00:00"/>
    <x v="6"/>
    <x v="4"/>
    <n v="594860"/>
    <n v="750000"/>
    <x v="0"/>
    <x v="0"/>
    <x v="0"/>
    <n v="1"/>
    <n v="906"/>
    <n v="1.3402249999999999E-2"/>
    <x v="2"/>
    <n v="155140"/>
    <n v="827.81460000000004"/>
    <x v="0"/>
    <s v="High"/>
    <s v="Medium"/>
    <s v="December"/>
    <x v="11"/>
  </r>
  <r>
    <d v="2015-12-23T00:00:00"/>
    <x v="6"/>
    <x v="2"/>
    <n v="180020"/>
    <n v="285000"/>
    <x v="1"/>
    <x v="1"/>
    <x v="1"/>
    <n v="4"/>
    <n v="1111.6589814177564"/>
    <n v="1.3402249999999999E-2"/>
    <x v="3"/>
    <n v="104980"/>
    <n v="256.37360000000001"/>
    <x v="0"/>
    <s v="Medium"/>
    <s v="Medium"/>
    <s v="December"/>
    <x v="11"/>
  </r>
  <r>
    <d v="2015-12-24T00:00:00"/>
    <x v="6"/>
    <x v="2"/>
    <n v="107280"/>
    <n v="85000"/>
    <x v="0"/>
    <x v="0"/>
    <x v="0"/>
    <n v="1"/>
    <n v="1027"/>
    <n v="1.3402249999999999E-2"/>
    <x v="2"/>
    <n v="-22280"/>
    <n v="82.765299999999996"/>
    <x v="1"/>
    <s v="Low"/>
    <s v="Medium"/>
    <s v="December"/>
    <x v="11"/>
  </r>
  <r>
    <d v="2015-12-27T00:00:00"/>
    <x v="6"/>
    <x v="7"/>
    <n v="301520"/>
    <n v="255000"/>
    <x v="3"/>
    <x v="3"/>
    <x v="3"/>
    <n v="8"/>
    <n v="2510"/>
    <n v="1.3402249999999999E-2"/>
    <x v="0"/>
    <n v="-46520"/>
    <n v="101.5936"/>
    <x v="1"/>
    <s v="Medium"/>
    <s v="Large"/>
    <s v="December"/>
    <x v="11"/>
  </r>
  <r>
    <d v="2015-12-31T00:00:00"/>
    <x v="6"/>
    <x v="5"/>
    <n v="98610"/>
    <n v="119000"/>
    <x v="0"/>
    <x v="0"/>
    <x v="0"/>
    <n v="3"/>
    <n v="983"/>
    <n v="1.3402249999999999E-2"/>
    <x v="0"/>
    <n v="20390"/>
    <n v="121.05800000000001"/>
    <x v="0"/>
    <s v="Low"/>
    <s v="Medium"/>
    <s v="December"/>
    <x v="11"/>
  </r>
  <r>
    <d v="2016-01-02T00:00:00"/>
    <x v="7"/>
    <x v="4"/>
    <n v="341040"/>
    <n v="675000"/>
    <x v="0"/>
    <x v="0"/>
    <x v="0"/>
    <n v="1"/>
    <n v="1081"/>
    <n v="1.3482589999999999E-2"/>
    <x v="3"/>
    <n v="333960"/>
    <n v="624.42179999999996"/>
    <x v="0"/>
    <s v="High"/>
    <s v="Medium"/>
    <s v="January"/>
    <x v="0"/>
  </r>
  <r>
    <d v="2016-01-06T00:00:00"/>
    <x v="7"/>
    <x v="4"/>
    <n v="304920"/>
    <n v="585000"/>
    <x v="0"/>
    <x v="0"/>
    <x v="0"/>
    <n v="2"/>
    <n v="1046"/>
    <n v="1.3482589999999999E-2"/>
    <x v="0"/>
    <n v="280080"/>
    <n v="559.27340000000004"/>
    <x v="0"/>
    <s v="Medium"/>
    <s v="Medium"/>
    <s v="January"/>
    <x v="0"/>
  </r>
  <r>
    <d v="2016-01-08T00:00:00"/>
    <x v="7"/>
    <x v="7"/>
    <n v="218690"/>
    <n v="320000"/>
    <x v="0"/>
    <x v="0"/>
    <x v="0"/>
    <n v="2"/>
    <n v="1086"/>
    <n v="1.3482589999999999E-2"/>
    <x v="2"/>
    <n v="101310"/>
    <n v="294.65929999999997"/>
    <x v="0"/>
    <s v="Medium"/>
    <s v="Medium"/>
    <s v="January"/>
    <x v="0"/>
  </r>
  <r>
    <d v="2016-01-09T00:00:00"/>
    <x v="7"/>
    <x v="5"/>
    <n v="169020"/>
    <n v="85000"/>
    <x v="0"/>
    <x v="0"/>
    <x v="0"/>
    <n v="1"/>
    <n v="972"/>
    <n v="1.3482589999999999E-2"/>
    <x v="1"/>
    <n v="-84020"/>
    <n v="87.448599999999999"/>
    <x v="1"/>
    <s v="Low"/>
    <s v="Medium"/>
    <s v="January"/>
    <x v="0"/>
  </r>
  <r>
    <d v="2016-01-10T00:00:00"/>
    <x v="7"/>
    <x v="4"/>
    <n v="1307180"/>
    <n v="1100000"/>
    <x v="0"/>
    <x v="0"/>
    <x v="0"/>
    <n v="3"/>
    <n v="911"/>
    <n v="1.3482589999999999E-2"/>
    <x v="3"/>
    <n v="-207180"/>
    <n v="1207.4643000000001"/>
    <x v="1"/>
    <s v="High"/>
    <s v="Medium"/>
    <s v="January"/>
    <x v="0"/>
  </r>
  <r>
    <d v="2016-01-13T00:00:00"/>
    <x v="7"/>
    <x v="6"/>
    <n v="444584.20699999999"/>
    <n v="1246505"/>
    <x v="0"/>
    <x v="0"/>
    <x v="0"/>
    <n v="2"/>
    <n v="1039"/>
    <n v="1.3482589999999999E-2"/>
    <x v="3"/>
    <n v="801920.79299999995"/>
    <n v="1199.7161000000001"/>
    <x v="0"/>
    <s v="High"/>
    <s v="Medium"/>
    <s v="January"/>
    <x v="0"/>
  </r>
  <r>
    <d v="2016-01-14T00:00:00"/>
    <x v="7"/>
    <x v="3"/>
    <n v="1502830"/>
    <n v="2675000"/>
    <x v="0"/>
    <x v="0"/>
    <x v="0"/>
    <n v="2"/>
    <n v="993"/>
    <n v="1.3482589999999999E-2"/>
    <x v="3"/>
    <n v="1172170"/>
    <n v="2693.857"/>
    <x v="0"/>
    <s v="High"/>
    <s v="Medium"/>
    <s v="January"/>
    <x v="0"/>
  </r>
  <r>
    <d v="2016-01-16T00:00:00"/>
    <x v="7"/>
    <x v="2"/>
    <n v="187800"/>
    <n v="70000"/>
    <x v="0"/>
    <x v="0"/>
    <x v="0"/>
    <n v="2"/>
    <n v="1111.6589814177564"/>
    <n v="1.3482589999999999E-2"/>
    <x v="2"/>
    <n v="-117800"/>
    <n v="62.969000000000001"/>
    <x v="1"/>
    <s v="Low"/>
    <s v="Medium"/>
    <s v="January"/>
    <x v="0"/>
  </r>
  <r>
    <d v="2016-01-17T00:00:00"/>
    <x v="7"/>
    <x v="4"/>
    <n v="625940"/>
    <n v="625000"/>
    <x v="0"/>
    <x v="0"/>
    <x v="0"/>
    <n v="3"/>
    <n v="1111.6589814177564"/>
    <n v="1.3482589999999999E-2"/>
    <x v="0"/>
    <n v="-940"/>
    <n v="562.22280000000001"/>
    <x v="1"/>
    <s v="High"/>
    <s v="Medium"/>
    <s v="January"/>
    <x v="0"/>
  </r>
  <r>
    <d v="2016-01-21T00:00:00"/>
    <x v="7"/>
    <x v="5"/>
    <n v="444584.20699999999"/>
    <n v="447500"/>
    <x v="0"/>
    <x v="0"/>
    <x v="0"/>
    <n v="3"/>
    <n v="1010"/>
    <n v="1.3482589999999999E-2"/>
    <x v="0"/>
    <n v="2915.7930000000001"/>
    <n v="443.0693"/>
    <x v="0"/>
    <s v="Medium"/>
    <s v="Medium"/>
    <s v="January"/>
    <x v="0"/>
  </r>
  <r>
    <d v="2016-01-23T00:00:00"/>
    <x v="7"/>
    <x v="4"/>
    <n v="507850"/>
    <n v="800000"/>
    <x v="0"/>
    <x v="0"/>
    <x v="0"/>
    <n v="2"/>
    <n v="929"/>
    <n v="1.3482589999999999E-2"/>
    <x v="2"/>
    <n v="292150"/>
    <n v="861.14099999999996"/>
    <x v="0"/>
    <s v="High"/>
    <s v="Medium"/>
    <s v="January"/>
    <x v="0"/>
  </r>
  <r>
    <d v="2016-01-28T00:00:00"/>
    <x v="7"/>
    <x v="7"/>
    <n v="324640"/>
    <n v="545000"/>
    <x v="0"/>
    <x v="0"/>
    <x v="0"/>
    <n v="1"/>
    <n v="1065"/>
    <n v="1.3482589999999999E-2"/>
    <x v="2"/>
    <n v="220360"/>
    <n v="511.7371"/>
    <x v="0"/>
    <s v="Medium"/>
    <s v="Medium"/>
    <s v="January"/>
    <x v="0"/>
  </r>
  <r>
    <d v="2016-01-30T00:00:00"/>
    <x v="7"/>
    <x v="6"/>
    <n v="211190"/>
    <n v="260000"/>
    <x v="0"/>
    <x v="0"/>
    <x v="0"/>
    <n v="1"/>
    <n v="1111.6589814177564"/>
    <n v="1.3482589999999999E-2"/>
    <x v="3"/>
    <n v="48810"/>
    <n v="233.88470000000001"/>
    <x v="0"/>
    <s v="Medium"/>
    <s v="Medium"/>
    <s v="January"/>
    <x v="0"/>
  </r>
  <r>
    <d v="2016-01-31T00:00:00"/>
    <x v="7"/>
    <x v="5"/>
    <n v="69270"/>
    <n v="38500"/>
    <x v="0"/>
    <x v="0"/>
    <x v="0"/>
    <n v="2"/>
    <n v="906"/>
    <n v="1.3482589999999999E-2"/>
    <x v="2"/>
    <n v="-30770"/>
    <n v="42.494500000000002"/>
    <x v="1"/>
    <s v="Low"/>
    <s v="Medium"/>
    <s v="January"/>
    <x v="0"/>
  </r>
  <r>
    <d v="2016-02-03T00:00:00"/>
    <x v="7"/>
    <x v="6"/>
    <n v="317310"/>
    <n v="390000"/>
    <x v="0"/>
    <x v="0"/>
    <x v="0"/>
    <n v="3"/>
    <n v="911"/>
    <n v="1.3482589999999999E-2"/>
    <x v="2"/>
    <n v="72690"/>
    <n v="428.101"/>
    <x v="0"/>
    <s v="Medium"/>
    <s v="Medium"/>
    <s v="February"/>
    <x v="1"/>
  </r>
  <r>
    <d v="2016-02-04T00:00:00"/>
    <x v="7"/>
    <x v="0"/>
    <n v="45420"/>
    <n v="70000"/>
    <x v="2"/>
    <x v="2"/>
    <x v="2"/>
    <n v="4"/>
    <n v="1811"/>
    <n v="1.3482589999999999E-2"/>
    <x v="0"/>
    <n v="24580"/>
    <n v="38.652700000000003"/>
    <x v="0"/>
    <s v="Low"/>
    <s v="Large"/>
    <s v="February"/>
    <x v="1"/>
  </r>
  <r>
    <d v="2016-02-06T00:00:00"/>
    <x v="7"/>
    <x v="2"/>
    <n v="193870"/>
    <n v="260000"/>
    <x v="0"/>
    <x v="0"/>
    <x v="0"/>
    <n v="1"/>
    <n v="997"/>
    <n v="1.3482589999999999E-2"/>
    <x v="1"/>
    <n v="66130"/>
    <n v="260.78230000000002"/>
    <x v="0"/>
    <s v="Medium"/>
    <s v="Medium"/>
    <s v="February"/>
    <x v="1"/>
  </r>
  <r>
    <d v="2016-02-07T00:00:00"/>
    <x v="7"/>
    <x v="4"/>
    <n v="333970"/>
    <n v="405000"/>
    <x v="0"/>
    <x v="0"/>
    <x v="0"/>
    <n v="3"/>
    <n v="1084"/>
    <n v="1.3482589999999999E-2"/>
    <x v="3"/>
    <n v="71030"/>
    <n v="373.61619999999999"/>
    <x v="0"/>
    <s v="Medium"/>
    <s v="Medium"/>
    <s v="February"/>
    <x v="1"/>
  </r>
  <r>
    <d v="2016-02-11T00:00:00"/>
    <x v="7"/>
    <x v="7"/>
    <n v="259000"/>
    <n v="371000"/>
    <x v="0"/>
    <x v="0"/>
    <x v="0"/>
    <n v="2"/>
    <n v="935"/>
    <n v="1.3482589999999999E-2"/>
    <x v="3"/>
    <n v="112000"/>
    <n v="396.79140000000001"/>
    <x v="0"/>
    <s v="Medium"/>
    <s v="Medium"/>
    <s v="February"/>
    <x v="1"/>
  </r>
  <r>
    <d v="2016-02-14T00:00:00"/>
    <x v="7"/>
    <x v="0"/>
    <n v="89270"/>
    <n v="45100"/>
    <x v="1"/>
    <x v="1"/>
    <x v="1"/>
    <n v="3"/>
    <n v="1360"/>
    <n v="1.3482589999999999E-2"/>
    <x v="1"/>
    <n v="-44170"/>
    <n v="33.161799999999999"/>
    <x v="1"/>
    <s v="Low"/>
    <s v="Large"/>
    <s v="February"/>
    <x v="1"/>
  </r>
  <r>
    <d v="2016-02-19T00:00:00"/>
    <x v="7"/>
    <x v="5"/>
    <n v="91420"/>
    <n v="150000"/>
    <x v="0"/>
    <x v="0"/>
    <x v="0"/>
    <n v="1"/>
    <n v="960"/>
    <n v="1.3482589999999999E-2"/>
    <x v="0"/>
    <n v="58580"/>
    <n v="156.25"/>
    <x v="0"/>
    <s v="Low"/>
    <s v="Medium"/>
    <s v="February"/>
    <x v="1"/>
  </r>
  <r>
    <d v="2016-02-20T00:00:00"/>
    <x v="7"/>
    <x v="2"/>
    <n v="162380"/>
    <n v="105000"/>
    <x v="0"/>
    <x v="0"/>
    <x v="0"/>
    <n v="1"/>
    <n v="1008"/>
    <n v="1.3482589999999999E-2"/>
    <x v="0"/>
    <n v="-57380"/>
    <n v="104.16670000000001"/>
    <x v="1"/>
    <s v="Low"/>
    <s v="Medium"/>
    <s v="February"/>
    <x v="1"/>
  </r>
  <r>
    <d v="2016-02-21T00:00:00"/>
    <x v="7"/>
    <x v="3"/>
    <n v="1194200"/>
    <n v="3895000"/>
    <x v="0"/>
    <x v="0"/>
    <x v="0"/>
    <n v="2"/>
    <n v="1111.6589814177564"/>
    <n v="1.3482589999999999E-2"/>
    <x v="2"/>
    <n v="2700800"/>
    <n v="3503.7723000000001"/>
    <x v="0"/>
    <s v="High"/>
    <s v="Medium"/>
    <s v="February"/>
    <x v="1"/>
  </r>
  <r>
    <d v="2016-02-24T00:00:00"/>
    <x v="7"/>
    <x v="0"/>
    <n v="113490"/>
    <n v="168000"/>
    <x v="0"/>
    <x v="0"/>
    <x v="0"/>
    <n v="2"/>
    <n v="929"/>
    <n v="1.3482589999999999E-2"/>
    <x v="1"/>
    <n v="54510"/>
    <n v="180.83959999999999"/>
    <x v="0"/>
    <s v="Low"/>
    <s v="Medium"/>
    <s v="February"/>
    <x v="1"/>
  </r>
  <r>
    <d v="2016-02-25T00:00:00"/>
    <x v="7"/>
    <x v="0"/>
    <n v="444584.20699999999"/>
    <n v="135000"/>
    <x v="0"/>
    <x v="0"/>
    <x v="0"/>
    <n v="1"/>
    <n v="918"/>
    <n v="1.3482589999999999E-2"/>
    <x v="1"/>
    <n v="-309584.20699999999"/>
    <n v="147.05879999999999"/>
    <x v="1"/>
    <s v="Low"/>
    <s v="Medium"/>
    <s v="February"/>
    <x v="1"/>
  </r>
  <r>
    <d v="2016-02-26T00:00:00"/>
    <x v="7"/>
    <x v="0"/>
    <n v="77730"/>
    <n v="42000"/>
    <x v="0"/>
    <x v="0"/>
    <x v="0"/>
    <n v="2"/>
    <n v="941"/>
    <n v="1.3482589999999999E-2"/>
    <x v="3"/>
    <n v="-35730"/>
    <n v="44.633400000000002"/>
    <x v="1"/>
    <s v="Low"/>
    <s v="Medium"/>
    <s v="February"/>
    <x v="1"/>
  </r>
  <r>
    <d v="2016-03-03T00:00:00"/>
    <x v="7"/>
    <x v="4"/>
    <n v="244720"/>
    <n v="270000"/>
    <x v="0"/>
    <x v="0"/>
    <x v="0"/>
    <n v="3"/>
    <n v="1025"/>
    <n v="1.3482589999999999E-2"/>
    <x v="3"/>
    <n v="25280"/>
    <n v="263.41460000000001"/>
    <x v="0"/>
    <s v="Medium"/>
    <s v="Medium"/>
    <s v="March"/>
    <x v="2"/>
  </r>
  <r>
    <d v="2016-03-05T00:00:00"/>
    <x v="7"/>
    <x v="2"/>
    <n v="444584.20699999999"/>
    <n v="252500"/>
    <x v="0"/>
    <x v="0"/>
    <x v="0"/>
    <n v="1"/>
    <n v="942"/>
    <n v="1.3482589999999999E-2"/>
    <x v="0"/>
    <n v="-192084.20699999999"/>
    <n v="268.04669999999999"/>
    <x v="1"/>
    <s v="Medium"/>
    <s v="Medium"/>
    <s v="March"/>
    <x v="2"/>
  </r>
  <r>
    <d v="2016-03-07T00:00:00"/>
    <x v="7"/>
    <x v="0"/>
    <n v="89350"/>
    <n v="132000"/>
    <x v="0"/>
    <x v="0"/>
    <x v="0"/>
    <n v="3"/>
    <n v="1053"/>
    <n v="1.3482589999999999E-2"/>
    <x v="1"/>
    <n v="42650"/>
    <n v="125.3561"/>
    <x v="0"/>
    <s v="Low"/>
    <s v="Medium"/>
    <s v="March"/>
    <x v="2"/>
  </r>
  <r>
    <d v="2016-03-10T00:00:00"/>
    <x v="7"/>
    <x v="4"/>
    <n v="312340"/>
    <n v="375000"/>
    <x v="2"/>
    <x v="2"/>
    <x v="2"/>
    <n v="6"/>
    <n v="2056"/>
    <n v="1.3482589999999999E-2"/>
    <x v="0"/>
    <n v="62660"/>
    <n v="182.393"/>
    <x v="0"/>
    <s v="Medium"/>
    <s v="Large"/>
    <s v="March"/>
    <x v="2"/>
  </r>
  <r>
    <d v="2016-03-11T00:00:00"/>
    <x v="7"/>
    <x v="2"/>
    <n v="175180"/>
    <n v="45000"/>
    <x v="1"/>
    <x v="1"/>
    <x v="1"/>
    <n v="4"/>
    <n v="1111.6589814177564"/>
    <n v="1.3482589999999999E-2"/>
    <x v="0"/>
    <n v="-130180"/>
    <n v="40.479999999999997"/>
    <x v="1"/>
    <s v="Low"/>
    <s v="Medium"/>
    <s v="March"/>
    <x v="2"/>
  </r>
  <r>
    <d v="2016-03-12T00:00:00"/>
    <x v="7"/>
    <x v="0"/>
    <n v="69660"/>
    <n v="66000"/>
    <x v="1"/>
    <x v="1"/>
    <x v="1"/>
    <n v="3"/>
    <n v="1227"/>
    <n v="1.3482589999999999E-2"/>
    <x v="1"/>
    <n v="-3660"/>
    <n v="53.789700000000003"/>
    <x v="1"/>
    <s v="Low"/>
    <s v="Medium"/>
    <s v="March"/>
    <x v="2"/>
  </r>
  <r>
    <d v="2016-03-18T00:00:00"/>
    <x v="7"/>
    <x v="4"/>
    <n v="399490"/>
    <n v="513000"/>
    <x v="0"/>
    <x v="0"/>
    <x v="0"/>
    <n v="2"/>
    <n v="1111.6589814177564"/>
    <n v="1.3482589999999999E-2"/>
    <x v="1"/>
    <n v="113510"/>
    <n v="461.47250000000003"/>
    <x v="0"/>
    <s v="Medium"/>
    <s v="Medium"/>
    <s v="March"/>
    <x v="2"/>
  </r>
  <r>
    <d v="2016-03-20T00:00:00"/>
    <x v="7"/>
    <x v="2"/>
    <n v="133860"/>
    <n v="35000"/>
    <x v="0"/>
    <x v="0"/>
    <x v="0"/>
    <n v="3"/>
    <n v="969"/>
    <n v="1.3482589999999999E-2"/>
    <x v="3"/>
    <n v="-98860"/>
    <n v="36.119700000000002"/>
    <x v="1"/>
    <s v="Low"/>
    <s v="Medium"/>
    <s v="March"/>
    <x v="2"/>
  </r>
  <r>
    <d v="2016-03-24T00:00:00"/>
    <x v="7"/>
    <x v="5"/>
    <n v="129010"/>
    <n v="120000"/>
    <x v="0"/>
    <x v="0"/>
    <x v="0"/>
    <n v="3"/>
    <n v="1006"/>
    <n v="1.3482589999999999E-2"/>
    <x v="3"/>
    <n v="-9010"/>
    <n v="119.2843"/>
    <x v="1"/>
    <s v="Low"/>
    <s v="Medium"/>
    <s v="March"/>
    <x v="2"/>
  </r>
  <r>
    <d v="2016-03-25T00:00:00"/>
    <x v="7"/>
    <x v="0"/>
    <n v="122880"/>
    <n v="170000"/>
    <x v="0"/>
    <x v="0"/>
    <x v="0"/>
    <n v="2"/>
    <n v="999"/>
    <n v="1.3482589999999999E-2"/>
    <x v="3"/>
    <n v="47120"/>
    <n v="170.17019999999999"/>
    <x v="0"/>
    <s v="Low"/>
    <s v="Medium"/>
    <s v="March"/>
    <x v="2"/>
  </r>
  <r>
    <d v="2016-03-27T00:00:00"/>
    <x v="7"/>
    <x v="4"/>
    <n v="613060"/>
    <n v="1130000"/>
    <x v="0"/>
    <x v="0"/>
    <x v="0"/>
    <n v="3"/>
    <n v="986"/>
    <n v="1.3482589999999999E-2"/>
    <x v="2"/>
    <n v="516940"/>
    <n v="1146.0445999999999"/>
    <x v="0"/>
    <s v="High"/>
    <s v="Medium"/>
    <s v="March"/>
    <x v="2"/>
  </r>
  <r>
    <d v="2016-03-28T00:00:00"/>
    <x v="7"/>
    <x v="4"/>
    <n v="625940"/>
    <n v="700000"/>
    <x v="0"/>
    <x v="0"/>
    <x v="0"/>
    <n v="3"/>
    <n v="1098"/>
    <n v="1.3482589999999999E-2"/>
    <x v="2"/>
    <n v="74060"/>
    <n v="637.52279999999996"/>
    <x v="0"/>
    <s v="High"/>
    <s v="Medium"/>
    <s v="March"/>
    <x v="2"/>
  </r>
  <r>
    <d v="2016-03-31T00:00:00"/>
    <x v="7"/>
    <x v="5"/>
    <n v="178820"/>
    <n v="82500"/>
    <x v="2"/>
    <x v="2"/>
    <x v="2"/>
    <n v="5"/>
    <n v="1111.6589814177564"/>
    <n v="1.3482589999999999E-2"/>
    <x v="1"/>
    <n v="-96320"/>
    <n v="74.213399999999993"/>
    <x v="1"/>
    <s v="Low"/>
    <s v="Medium"/>
    <s v="March"/>
    <x v="2"/>
  </r>
  <r>
    <d v="2016-04-01T00:00:00"/>
    <x v="7"/>
    <x v="4"/>
    <n v="437010"/>
    <n v="440000"/>
    <x v="0"/>
    <x v="0"/>
    <x v="0"/>
    <n v="2"/>
    <n v="911"/>
    <n v="1.3482589999999999E-2"/>
    <x v="0"/>
    <n v="2990"/>
    <n v="482.98570000000001"/>
    <x v="0"/>
    <s v="Medium"/>
    <s v="Medium"/>
    <s v="April"/>
    <x v="3"/>
  </r>
  <r>
    <d v="2016-04-02T00:00:00"/>
    <x v="7"/>
    <x v="7"/>
    <n v="659900"/>
    <n v="730000"/>
    <x v="0"/>
    <x v="0"/>
    <x v="0"/>
    <n v="3"/>
    <n v="988"/>
    <n v="1.3482589999999999E-2"/>
    <x v="3"/>
    <n v="70100"/>
    <n v="738.8664"/>
    <x v="0"/>
    <s v="High"/>
    <s v="Medium"/>
    <s v="April"/>
    <x v="3"/>
  </r>
  <r>
    <d v="2016-04-03T00:00:00"/>
    <x v="7"/>
    <x v="7"/>
    <n v="788160"/>
    <n v="1149500"/>
    <x v="0"/>
    <x v="0"/>
    <x v="0"/>
    <n v="1"/>
    <n v="1022"/>
    <n v="1.3482589999999999E-2"/>
    <x v="1"/>
    <n v="361340"/>
    <n v="1124.7554"/>
    <x v="0"/>
    <s v="High"/>
    <s v="Medium"/>
    <s v="April"/>
    <x v="3"/>
  </r>
  <r>
    <d v="2016-04-07T00:00:00"/>
    <x v="7"/>
    <x v="0"/>
    <n v="118080"/>
    <n v="95000"/>
    <x v="0"/>
    <x v="0"/>
    <x v="0"/>
    <n v="2"/>
    <n v="985"/>
    <n v="1.3482589999999999E-2"/>
    <x v="3"/>
    <n v="-23080"/>
    <n v="96.446700000000007"/>
    <x v="1"/>
    <s v="Low"/>
    <s v="Medium"/>
    <s v="April"/>
    <x v="3"/>
  </r>
  <r>
    <d v="2016-04-08T00:00:00"/>
    <x v="7"/>
    <x v="3"/>
    <n v="481600"/>
    <n v="230000"/>
    <x v="0"/>
    <x v="0"/>
    <x v="0"/>
    <n v="1"/>
    <n v="1000"/>
    <n v="1.3482589999999999E-2"/>
    <x v="1"/>
    <n v="-251600"/>
    <n v="230"/>
    <x v="1"/>
    <s v="Medium"/>
    <s v="Medium"/>
    <s v="April"/>
    <x v="3"/>
  </r>
  <r>
    <d v="2016-04-09T00:00:00"/>
    <x v="7"/>
    <x v="0"/>
    <n v="29820"/>
    <n v="43100"/>
    <x v="0"/>
    <x v="0"/>
    <x v="0"/>
    <n v="3"/>
    <n v="1111.6589814177564"/>
    <n v="1.3482589999999999E-2"/>
    <x v="2"/>
    <n v="13280"/>
    <n v="38.770899999999997"/>
    <x v="0"/>
    <s v="Low"/>
    <s v="Medium"/>
    <s v="April"/>
    <x v="3"/>
  </r>
  <r>
    <d v="2016-04-10T00:00:00"/>
    <x v="7"/>
    <x v="4"/>
    <n v="919380"/>
    <n v="1200000"/>
    <x v="0"/>
    <x v="0"/>
    <x v="0"/>
    <n v="3"/>
    <n v="964"/>
    <n v="1.3482589999999999E-2"/>
    <x v="0"/>
    <n v="280620"/>
    <n v="1244.8133"/>
    <x v="0"/>
    <s v="High"/>
    <s v="Medium"/>
    <s v="April"/>
    <x v="3"/>
  </r>
  <r>
    <d v="2016-04-14T00:00:00"/>
    <x v="7"/>
    <x v="0"/>
    <n v="73340"/>
    <n v="69900"/>
    <x v="0"/>
    <x v="0"/>
    <x v="0"/>
    <n v="2"/>
    <n v="979"/>
    <n v="1.3482589999999999E-2"/>
    <x v="1"/>
    <n v="-3440"/>
    <n v="71.3994"/>
    <x v="1"/>
    <s v="Low"/>
    <s v="Medium"/>
    <s v="April"/>
    <x v="3"/>
  </r>
  <r>
    <d v="2016-04-16T00:00:00"/>
    <x v="7"/>
    <x v="2"/>
    <n v="212290"/>
    <n v="95000"/>
    <x v="2"/>
    <x v="2"/>
    <x v="2"/>
    <n v="6"/>
    <n v="2141"/>
    <n v="1.3482589999999999E-2"/>
    <x v="3"/>
    <n v="-117290"/>
    <n v="44.3718"/>
    <x v="1"/>
    <s v="Low"/>
    <s v="Large"/>
    <s v="April"/>
    <x v="3"/>
  </r>
  <r>
    <d v="2016-04-17T00:00:00"/>
    <x v="7"/>
    <x v="0"/>
    <n v="73960"/>
    <n v="58000"/>
    <x v="0"/>
    <x v="0"/>
    <x v="0"/>
    <n v="2"/>
    <n v="1014"/>
    <n v="1.3482589999999999E-2"/>
    <x v="3"/>
    <n v="-15960"/>
    <n v="57.199199999999998"/>
    <x v="1"/>
    <s v="Low"/>
    <s v="Medium"/>
    <s v="April"/>
    <x v="3"/>
  </r>
  <r>
    <d v="2016-04-21T00:00:00"/>
    <x v="7"/>
    <x v="4"/>
    <n v="219380"/>
    <n v="859000"/>
    <x v="0"/>
    <x v="0"/>
    <x v="0"/>
    <n v="3"/>
    <n v="905"/>
    <n v="1.3482589999999999E-2"/>
    <x v="3"/>
    <n v="639620"/>
    <n v="949.17129999999997"/>
    <x v="0"/>
    <s v="High"/>
    <s v="Medium"/>
    <s v="April"/>
    <x v="3"/>
  </r>
  <r>
    <d v="2016-04-22T00:00:00"/>
    <x v="7"/>
    <x v="6"/>
    <n v="264110"/>
    <n v="360000"/>
    <x v="0"/>
    <x v="0"/>
    <x v="0"/>
    <n v="3"/>
    <n v="1032"/>
    <n v="1.3482589999999999E-2"/>
    <x v="2"/>
    <n v="95890"/>
    <n v="348.8372"/>
    <x v="0"/>
    <s v="Medium"/>
    <s v="Medium"/>
    <s v="April"/>
    <x v="3"/>
  </r>
  <r>
    <d v="2016-04-23T00:00:00"/>
    <x v="7"/>
    <x v="7"/>
    <n v="467940"/>
    <n v="759000"/>
    <x v="0"/>
    <x v="0"/>
    <x v="0"/>
    <n v="1"/>
    <n v="958"/>
    <n v="1.3482589999999999E-2"/>
    <x v="2"/>
    <n v="291060"/>
    <n v="792.27560000000005"/>
    <x v="0"/>
    <s v="High"/>
    <s v="Medium"/>
    <s v="April"/>
    <x v="3"/>
  </r>
  <r>
    <d v="2016-04-24T00:00:00"/>
    <x v="7"/>
    <x v="2"/>
    <n v="172340"/>
    <n v="140000"/>
    <x v="2"/>
    <x v="2"/>
    <x v="2"/>
    <n v="4"/>
    <n v="1936"/>
    <n v="1.3482589999999999E-2"/>
    <x v="3"/>
    <n v="-32340"/>
    <n v="72.313999999999993"/>
    <x v="1"/>
    <s v="Low"/>
    <s v="Large"/>
    <s v="April"/>
    <x v="3"/>
  </r>
  <r>
    <d v="2016-04-28T00:00:00"/>
    <x v="7"/>
    <x v="3"/>
    <n v="2654540"/>
    <n v="3925000"/>
    <x v="0"/>
    <x v="0"/>
    <x v="0"/>
    <n v="2"/>
    <n v="978"/>
    <n v="1.3482589999999999E-2"/>
    <x v="2"/>
    <n v="1270460"/>
    <n v="4013.2923999999998"/>
    <x v="0"/>
    <s v="High"/>
    <s v="Medium"/>
    <s v="April"/>
    <x v="3"/>
  </r>
  <r>
    <d v="2016-04-29T00:00:00"/>
    <x v="7"/>
    <x v="5"/>
    <n v="167960"/>
    <n v="85000"/>
    <x v="1"/>
    <x v="1"/>
    <x v="1"/>
    <n v="4"/>
    <n v="1363"/>
    <n v="1.3482589999999999E-2"/>
    <x v="0"/>
    <n v="-82960"/>
    <n v="62.362400000000001"/>
    <x v="1"/>
    <s v="Low"/>
    <s v="Large"/>
    <s v="April"/>
    <x v="3"/>
  </r>
  <r>
    <d v="2016-05-01T00:00:00"/>
    <x v="7"/>
    <x v="7"/>
    <n v="407190"/>
    <n v="645000"/>
    <x v="0"/>
    <x v="0"/>
    <x v="0"/>
    <n v="2"/>
    <n v="1111.6589814177564"/>
    <n v="1.3482589999999999E-2"/>
    <x v="1"/>
    <n v="237810"/>
    <n v="580.21389999999997"/>
    <x v="0"/>
    <s v="High"/>
    <s v="Medium"/>
    <s v="May"/>
    <x v="4"/>
  </r>
  <r>
    <d v="2016-05-05T00:00:00"/>
    <x v="7"/>
    <x v="7"/>
    <n v="375690"/>
    <n v="585000"/>
    <x v="0"/>
    <x v="0"/>
    <x v="0"/>
    <n v="2"/>
    <n v="925"/>
    <n v="1.3482589999999999E-2"/>
    <x v="3"/>
    <n v="209310"/>
    <n v="632.43240000000003"/>
    <x v="0"/>
    <s v="Medium"/>
    <s v="Medium"/>
    <s v="May"/>
    <x v="4"/>
  </r>
  <r>
    <d v="2016-05-06T00:00:00"/>
    <x v="7"/>
    <x v="2"/>
    <n v="180170"/>
    <n v="278000"/>
    <x v="0"/>
    <x v="0"/>
    <x v="0"/>
    <n v="3"/>
    <n v="1065"/>
    <n v="1.3482589999999999E-2"/>
    <x v="1"/>
    <n v="97830"/>
    <n v="261.03289999999998"/>
    <x v="0"/>
    <s v="Medium"/>
    <s v="Medium"/>
    <s v="May"/>
    <x v="4"/>
  </r>
  <r>
    <d v="2016-05-08T00:00:00"/>
    <x v="7"/>
    <x v="7"/>
    <n v="434160"/>
    <n v="492000"/>
    <x v="0"/>
    <x v="0"/>
    <x v="0"/>
    <n v="1"/>
    <n v="1100"/>
    <n v="1.3482589999999999E-2"/>
    <x v="1"/>
    <n v="57840"/>
    <n v="447.27269999999999"/>
    <x v="0"/>
    <s v="Medium"/>
    <s v="Medium"/>
    <s v="May"/>
    <x v="4"/>
  </r>
  <r>
    <d v="2016-05-12T00:00:00"/>
    <x v="7"/>
    <x v="2"/>
    <n v="182970"/>
    <n v="115000"/>
    <x v="2"/>
    <x v="2"/>
    <x v="2"/>
    <n v="4"/>
    <n v="2059"/>
    <n v="1.3482589999999999E-2"/>
    <x v="2"/>
    <n v="-67970"/>
    <n v="55.852400000000003"/>
    <x v="1"/>
    <s v="Low"/>
    <s v="Large"/>
    <s v="May"/>
    <x v="4"/>
  </r>
  <r>
    <d v="2016-05-13T00:00:00"/>
    <x v="7"/>
    <x v="3"/>
    <n v="830900"/>
    <n v="1335000"/>
    <x v="0"/>
    <x v="0"/>
    <x v="0"/>
    <n v="3"/>
    <n v="921"/>
    <n v="1.3482589999999999E-2"/>
    <x v="1"/>
    <n v="504100"/>
    <n v="1449.5114000000001"/>
    <x v="0"/>
    <s v="High"/>
    <s v="Medium"/>
    <s v="May"/>
    <x v="4"/>
  </r>
  <r>
    <d v="2016-05-14T00:00:00"/>
    <x v="7"/>
    <x v="5"/>
    <n v="444584.20699999999"/>
    <n v="525000"/>
    <x v="0"/>
    <x v="0"/>
    <x v="0"/>
    <n v="1"/>
    <n v="954"/>
    <n v="1.3482589999999999E-2"/>
    <x v="0"/>
    <n v="80415.793000000005"/>
    <n v="550.31449999999995"/>
    <x v="0"/>
    <s v="Medium"/>
    <s v="Medium"/>
    <s v="May"/>
    <x v="4"/>
  </r>
  <r>
    <d v="2016-05-15T00:00:00"/>
    <x v="7"/>
    <x v="0"/>
    <n v="26690"/>
    <n v="13000"/>
    <x v="2"/>
    <x v="2"/>
    <x v="2"/>
    <n v="5"/>
    <n v="2163"/>
    <n v="1.3482589999999999E-2"/>
    <x v="2"/>
    <n v="-13690"/>
    <n v="6.0102000000000002"/>
    <x v="1"/>
    <s v="Low"/>
    <s v="Large"/>
    <s v="May"/>
    <x v="4"/>
  </r>
  <r>
    <d v="2016-05-16T00:00:00"/>
    <x v="7"/>
    <x v="0"/>
    <n v="80710"/>
    <n v="144149"/>
    <x v="0"/>
    <x v="0"/>
    <x v="0"/>
    <n v="1"/>
    <n v="1096"/>
    <n v="1.3482589999999999E-2"/>
    <x v="1"/>
    <n v="63439"/>
    <n v="131.52279999999999"/>
    <x v="0"/>
    <s v="Low"/>
    <s v="Medium"/>
    <s v="May"/>
    <x v="4"/>
  </r>
  <r>
    <d v="2016-05-19T00:00:00"/>
    <x v="7"/>
    <x v="2"/>
    <n v="165120"/>
    <n v="106399"/>
    <x v="1"/>
    <x v="1"/>
    <x v="1"/>
    <n v="4"/>
    <n v="1111.6589814177564"/>
    <n v="1.3482589999999999E-2"/>
    <x v="1"/>
    <n v="-58721"/>
    <n v="95.7119"/>
    <x v="1"/>
    <s v="Low"/>
    <s v="Medium"/>
    <s v="May"/>
    <x v="4"/>
  </r>
  <r>
    <d v="2016-05-20T00:00:00"/>
    <x v="7"/>
    <x v="5"/>
    <n v="234500"/>
    <n v="375000"/>
    <x v="0"/>
    <x v="0"/>
    <x v="0"/>
    <n v="1"/>
    <n v="982"/>
    <n v="1.3482589999999999E-2"/>
    <x v="1"/>
    <n v="140500"/>
    <n v="381.87369999999999"/>
    <x v="0"/>
    <s v="Medium"/>
    <s v="Medium"/>
    <s v="May"/>
    <x v="4"/>
  </r>
  <r>
    <d v="2016-05-21T00:00:00"/>
    <x v="7"/>
    <x v="4"/>
    <n v="250810"/>
    <n v="247000"/>
    <x v="0"/>
    <x v="0"/>
    <x v="0"/>
    <n v="3"/>
    <n v="1012"/>
    <n v="1.3482589999999999E-2"/>
    <x v="1"/>
    <n v="-3810"/>
    <n v="244.0711"/>
    <x v="1"/>
    <s v="Medium"/>
    <s v="Medium"/>
    <s v="May"/>
    <x v="4"/>
  </r>
  <r>
    <d v="2016-05-22T00:00:00"/>
    <x v="7"/>
    <x v="4"/>
    <n v="463260"/>
    <n v="560000"/>
    <x v="0"/>
    <x v="0"/>
    <x v="0"/>
    <n v="3"/>
    <n v="948"/>
    <n v="1.3482589999999999E-2"/>
    <x v="1"/>
    <n v="96740"/>
    <n v="590.71730000000002"/>
    <x v="0"/>
    <s v="Medium"/>
    <s v="Medium"/>
    <s v="May"/>
    <x v="4"/>
  </r>
  <r>
    <d v="2016-05-27T00:00:00"/>
    <x v="7"/>
    <x v="2"/>
    <n v="242050"/>
    <n v="140000"/>
    <x v="1"/>
    <x v="1"/>
    <x v="1"/>
    <n v="3"/>
    <n v="1452"/>
    <n v="1.3482589999999999E-2"/>
    <x v="0"/>
    <n v="-102050"/>
    <n v="96.418700000000001"/>
    <x v="1"/>
    <s v="Low"/>
    <s v="Large"/>
    <s v="May"/>
    <x v="4"/>
  </r>
  <r>
    <d v="2016-05-28T00:00:00"/>
    <x v="7"/>
    <x v="5"/>
    <n v="83020"/>
    <n v="50400"/>
    <x v="0"/>
    <x v="0"/>
    <x v="0"/>
    <n v="2"/>
    <n v="1111.6589814177564"/>
    <n v="1.3482589999999999E-2"/>
    <x v="1"/>
    <n v="-32620"/>
    <n v="45.337600000000002"/>
    <x v="1"/>
    <s v="Low"/>
    <s v="Medium"/>
    <s v="May"/>
    <x v="4"/>
  </r>
  <r>
    <d v="2016-05-29T00:00:00"/>
    <x v="7"/>
    <x v="2"/>
    <n v="162940"/>
    <n v="145000"/>
    <x v="1"/>
    <x v="1"/>
    <x v="1"/>
    <n v="3"/>
    <n v="1111.6589814177564"/>
    <n v="1.3482589999999999E-2"/>
    <x v="2"/>
    <n v="-17940"/>
    <n v="130.4357"/>
    <x v="1"/>
    <s v="Low"/>
    <s v="Medium"/>
    <s v="May"/>
    <x v="4"/>
  </r>
  <r>
    <d v="2016-05-30T00:00:00"/>
    <x v="7"/>
    <x v="3"/>
    <n v="444584.20699999999"/>
    <n v="2299000"/>
    <x v="0"/>
    <x v="0"/>
    <x v="0"/>
    <n v="1"/>
    <n v="1044"/>
    <n v="1.3482589999999999E-2"/>
    <x v="2"/>
    <n v="1854415.7930000001"/>
    <n v="2202.1073000000001"/>
    <x v="0"/>
    <s v="High"/>
    <s v="Medium"/>
    <s v="May"/>
    <x v="4"/>
  </r>
  <r>
    <d v="2016-06-02T00:00:00"/>
    <x v="7"/>
    <x v="2"/>
    <n v="126020"/>
    <n v="69000"/>
    <x v="0"/>
    <x v="0"/>
    <x v="0"/>
    <n v="1"/>
    <n v="1022"/>
    <n v="1.3482589999999999E-2"/>
    <x v="2"/>
    <n v="-57020"/>
    <n v="67.514700000000005"/>
    <x v="1"/>
    <s v="Low"/>
    <s v="Medium"/>
    <s v="June"/>
    <x v="5"/>
  </r>
  <r>
    <d v="2016-06-03T00:00:00"/>
    <x v="7"/>
    <x v="4"/>
    <n v="359730"/>
    <n v="510000"/>
    <x v="0"/>
    <x v="0"/>
    <x v="0"/>
    <n v="3"/>
    <n v="901"/>
    <n v="1.3482589999999999E-2"/>
    <x v="1"/>
    <n v="150270"/>
    <n v="566.03769999999997"/>
    <x v="0"/>
    <s v="Medium"/>
    <s v="Medium"/>
    <s v="June"/>
    <x v="5"/>
  </r>
  <r>
    <d v="2016-06-06T00:00:00"/>
    <x v="7"/>
    <x v="3"/>
    <n v="1247680"/>
    <n v="2608000"/>
    <x v="0"/>
    <x v="0"/>
    <x v="0"/>
    <n v="2"/>
    <n v="1056"/>
    <n v="1.3482589999999999E-2"/>
    <x v="1"/>
    <n v="1360320"/>
    <n v="2469.6970000000001"/>
    <x v="0"/>
    <s v="High"/>
    <s v="Medium"/>
    <s v="June"/>
    <x v="5"/>
  </r>
  <r>
    <d v="2016-06-10T00:00:00"/>
    <x v="7"/>
    <x v="2"/>
    <n v="161670"/>
    <n v="100000"/>
    <x v="1"/>
    <x v="1"/>
    <x v="1"/>
    <n v="4"/>
    <n v="1258"/>
    <n v="1.3482589999999999E-2"/>
    <x v="3"/>
    <n v="-61670"/>
    <n v="79.491299999999995"/>
    <x v="1"/>
    <s v="Low"/>
    <s v="Medium"/>
    <s v="June"/>
    <x v="5"/>
  </r>
  <r>
    <d v="2016-06-12T00:00:00"/>
    <x v="7"/>
    <x v="5"/>
    <n v="444584.20699999999"/>
    <n v="320000"/>
    <x v="2"/>
    <x v="2"/>
    <x v="2"/>
    <n v="5"/>
    <n v="1956"/>
    <n v="1.3482589999999999E-2"/>
    <x v="3"/>
    <n v="-124584.20699999999"/>
    <n v="163.5992"/>
    <x v="1"/>
    <s v="Medium"/>
    <s v="Large"/>
    <s v="June"/>
    <x v="5"/>
  </r>
  <r>
    <d v="2016-06-13T00:00:00"/>
    <x v="7"/>
    <x v="3"/>
    <n v="444584.20699999999"/>
    <n v="750200"/>
    <x v="0"/>
    <x v="0"/>
    <x v="0"/>
    <n v="2"/>
    <n v="920"/>
    <n v="1.3482589999999999E-2"/>
    <x v="1"/>
    <n v="305615.79300000001"/>
    <n v="815.4348"/>
    <x v="0"/>
    <s v="High"/>
    <s v="Medium"/>
    <s v="June"/>
    <x v="5"/>
  </r>
  <r>
    <d v="2016-06-16T00:00:00"/>
    <x v="7"/>
    <x v="4"/>
    <n v="198800"/>
    <n v="353000"/>
    <x v="0"/>
    <x v="0"/>
    <x v="0"/>
    <n v="2"/>
    <n v="1074"/>
    <n v="1.3482589999999999E-2"/>
    <x v="2"/>
    <n v="154200"/>
    <n v="328.67779999999999"/>
    <x v="0"/>
    <s v="Medium"/>
    <s v="Medium"/>
    <s v="June"/>
    <x v="5"/>
  </r>
  <r>
    <d v="2016-06-17T00:00:00"/>
    <x v="7"/>
    <x v="7"/>
    <n v="413090"/>
    <n v="644000"/>
    <x v="0"/>
    <x v="0"/>
    <x v="0"/>
    <n v="2"/>
    <n v="988"/>
    <n v="1.3482589999999999E-2"/>
    <x v="2"/>
    <n v="230910"/>
    <n v="651.82190000000003"/>
    <x v="0"/>
    <s v="High"/>
    <s v="Medium"/>
    <s v="June"/>
    <x v="5"/>
  </r>
  <r>
    <d v="2016-06-20T00:00:00"/>
    <x v="7"/>
    <x v="4"/>
    <n v="835380"/>
    <n v="1595000"/>
    <x v="0"/>
    <x v="0"/>
    <x v="0"/>
    <n v="2"/>
    <n v="983"/>
    <n v="1.3482589999999999E-2"/>
    <x v="1"/>
    <n v="759620"/>
    <n v="1622.5839000000001"/>
    <x v="0"/>
    <s v="High"/>
    <s v="Medium"/>
    <s v="June"/>
    <x v="5"/>
  </r>
  <r>
    <d v="2016-06-23T00:00:00"/>
    <x v="7"/>
    <x v="3"/>
    <n v="720370"/>
    <n v="850000"/>
    <x v="0"/>
    <x v="0"/>
    <x v="0"/>
    <n v="1"/>
    <n v="1075"/>
    <n v="1.3482589999999999E-2"/>
    <x v="1"/>
    <n v="129630"/>
    <n v="790.69770000000005"/>
    <x v="0"/>
    <s v="High"/>
    <s v="Medium"/>
    <s v="June"/>
    <x v="5"/>
  </r>
  <r>
    <d v="2016-06-24T00:00:00"/>
    <x v="7"/>
    <x v="0"/>
    <n v="56097"/>
    <n v="25000"/>
    <x v="3"/>
    <x v="3"/>
    <x v="3"/>
    <n v="8"/>
    <n v="2619"/>
    <n v="1.3482589999999999E-2"/>
    <x v="1"/>
    <n v="-31097"/>
    <n v="9.5456000000000003"/>
    <x v="1"/>
    <s v="Low"/>
    <s v="Large"/>
    <s v="June"/>
    <x v="5"/>
  </r>
  <r>
    <d v="2016-06-25T00:00:00"/>
    <x v="7"/>
    <x v="0"/>
    <n v="111120"/>
    <n v="148400"/>
    <x v="0"/>
    <x v="0"/>
    <x v="0"/>
    <n v="2"/>
    <n v="1111.6589814177564"/>
    <n v="1.3482589999999999E-2"/>
    <x v="2"/>
    <n v="37280"/>
    <n v="133.49420000000001"/>
    <x v="0"/>
    <s v="Low"/>
    <s v="Medium"/>
    <s v="June"/>
    <x v="5"/>
  </r>
  <r>
    <d v="2016-06-26T00:00:00"/>
    <x v="7"/>
    <x v="5"/>
    <n v="444584.20699999999"/>
    <n v="262000"/>
    <x v="0"/>
    <x v="0"/>
    <x v="0"/>
    <n v="2"/>
    <n v="1010"/>
    <n v="1.3482589999999999E-2"/>
    <x v="2"/>
    <n v="-182584.20699999999"/>
    <n v="259.40589999999997"/>
    <x v="1"/>
    <s v="Medium"/>
    <s v="Medium"/>
    <s v="June"/>
    <x v="5"/>
  </r>
  <r>
    <d v="2016-06-30T00:00:00"/>
    <x v="7"/>
    <x v="7"/>
    <n v="381490"/>
    <n v="748000"/>
    <x v="0"/>
    <x v="0"/>
    <x v="0"/>
    <n v="3"/>
    <n v="1056"/>
    <n v="1.3482589999999999E-2"/>
    <x v="3"/>
    <n v="366510"/>
    <n v="708.33330000000001"/>
    <x v="0"/>
    <s v="High"/>
    <s v="Medium"/>
    <s v="June"/>
    <x v="5"/>
  </r>
  <r>
    <d v="2016-07-01T00:00:00"/>
    <x v="7"/>
    <x v="4"/>
    <n v="312900"/>
    <n v="547000"/>
    <x v="0"/>
    <x v="0"/>
    <x v="0"/>
    <n v="2"/>
    <n v="1060"/>
    <n v="1.3482589999999999E-2"/>
    <x v="2"/>
    <n v="234100"/>
    <n v="516.03769999999997"/>
    <x v="0"/>
    <s v="Medium"/>
    <s v="Medium"/>
    <s v="July"/>
    <x v="6"/>
  </r>
  <r>
    <d v="2016-07-03T00:00:00"/>
    <x v="7"/>
    <x v="3"/>
    <n v="1021510"/>
    <n v="2035000"/>
    <x v="0"/>
    <x v="0"/>
    <x v="0"/>
    <n v="2"/>
    <n v="946"/>
    <n v="1.3482589999999999E-2"/>
    <x v="0"/>
    <n v="1013490"/>
    <n v="2151.1628000000001"/>
    <x v="0"/>
    <s v="High"/>
    <s v="Medium"/>
    <s v="July"/>
    <x v="6"/>
  </r>
  <r>
    <d v="2016-07-07T00:00:00"/>
    <x v="7"/>
    <x v="3"/>
    <n v="444584.20699999999"/>
    <n v="729000"/>
    <x v="0"/>
    <x v="0"/>
    <x v="0"/>
    <n v="1"/>
    <n v="938"/>
    <n v="1.3482589999999999E-2"/>
    <x v="0"/>
    <n v="284415.79300000001"/>
    <n v="777.18550000000005"/>
    <x v="0"/>
    <s v="High"/>
    <s v="Medium"/>
    <s v="July"/>
    <x v="6"/>
  </r>
  <r>
    <d v="2016-07-08T00:00:00"/>
    <x v="7"/>
    <x v="2"/>
    <n v="228680"/>
    <n v="115000"/>
    <x v="1"/>
    <x v="1"/>
    <x v="1"/>
    <n v="3"/>
    <n v="1111.6589814177564"/>
    <n v="1.3482589999999999E-2"/>
    <x v="0"/>
    <n v="-113680"/>
    <n v="103.449"/>
    <x v="1"/>
    <s v="Low"/>
    <s v="Medium"/>
    <s v="July"/>
    <x v="6"/>
  </r>
  <r>
    <d v="2016-07-09T00:00:00"/>
    <x v="7"/>
    <x v="2"/>
    <n v="116230"/>
    <n v="99000"/>
    <x v="0"/>
    <x v="0"/>
    <x v="0"/>
    <n v="1"/>
    <n v="1111.6589814177564"/>
    <n v="1.3482589999999999E-2"/>
    <x v="1"/>
    <n v="-17230"/>
    <n v="89.056100000000001"/>
    <x v="1"/>
    <s v="Low"/>
    <s v="Medium"/>
    <s v="July"/>
    <x v="6"/>
  </r>
  <r>
    <d v="2016-07-10T00:00:00"/>
    <x v="7"/>
    <x v="7"/>
    <n v="289040"/>
    <n v="484000"/>
    <x v="0"/>
    <x v="0"/>
    <x v="0"/>
    <n v="3"/>
    <n v="1003"/>
    <n v="1.3482589999999999E-2"/>
    <x v="3"/>
    <n v="194960"/>
    <n v="482.5523"/>
    <x v="0"/>
    <s v="Medium"/>
    <s v="Medium"/>
    <s v="July"/>
    <x v="6"/>
  </r>
  <r>
    <d v="2016-07-11T00:00:00"/>
    <x v="7"/>
    <x v="3"/>
    <n v="763070"/>
    <n v="1300000"/>
    <x v="0"/>
    <x v="0"/>
    <x v="0"/>
    <n v="1"/>
    <n v="1111.6589814177564"/>
    <n v="1.3482589999999999E-2"/>
    <x v="2"/>
    <n v="536930"/>
    <n v="1169.4233999999999"/>
    <x v="0"/>
    <s v="High"/>
    <s v="Medium"/>
    <s v="July"/>
    <x v="6"/>
  </r>
  <r>
    <d v="2016-07-14T00:00:00"/>
    <x v="7"/>
    <x v="6"/>
    <n v="261310"/>
    <n v="470000"/>
    <x v="0"/>
    <x v="0"/>
    <x v="0"/>
    <n v="2"/>
    <n v="1064"/>
    <n v="1.3482589999999999E-2"/>
    <x v="3"/>
    <n v="208690"/>
    <n v="441.72930000000002"/>
    <x v="0"/>
    <s v="Medium"/>
    <s v="Medium"/>
    <s v="July"/>
    <x v="6"/>
  </r>
  <r>
    <d v="2016-07-15T00:00:00"/>
    <x v="7"/>
    <x v="0"/>
    <n v="107760"/>
    <n v="163000"/>
    <x v="0"/>
    <x v="0"/>
    <x v="0"/>
    <n v="1"/>
    <n v="1082"/>
    <n v="1.3482589999999999E-2"/>
    <x v="3"/>
    <n v="55240"/>
    <n v="150.64699999999999"/>
    <x v="0"/>
    <s v="Low"/>
    <s v="Medium"/>
    <s v="July"/>
    <x v="6"/>
  </r>
  <r>
    <d v="2016-07-17T00:00:00"/>
    <x v="7"/>
    <x v="4"/>
    <n v="391650"/>
    <n v="705000"/>
    <x v="0"/>
    <x v="0"/>
    <x v="0"/>
    <n v="2"/>
    <n v="1111.6589814177564"/>
    <n v="1.3482589999999999E-2"/>
    <x v="0"/>
    <n v="313350"/>
    <n v="634.18730000000005"/>
    <x v="0"/>
    <s v="High"/>
    <s v="Medium"/>
    <s v="July"/>
    <x v="6"/>
  </r>
  <r>
    <d v="2016-07-21T00:00:00"/>
    <x v="7"/>
    <x v="4"/>
    <n v="191030"/>
    <n v="329000"/>
    <x v="0"/>
    <x v="0"/>
    <x v="0"/>
    <n v="1"/>
    <n v="902"/>
    <n v="1.3482589999999999E-2"/>
    <x v="0"/>
    <n v="137970"/>
    <n v="364.745"/>
    <x v="0"/>
    <s v="Medium"/>
    <s v="Medium"/>
    <s v="July"/>
    <x v="6"/>
  </r>
  <r>
    <d v="2016-07-22T00:00:00"/>
    <x v="7"/>
    <x v="2"/>
    <n v="444584.20699999999"/>
    <n v="55000"/>
    <x v="0"/>
    <x v="0"/>
    <x v="0"/>
    <n v="1"/>
    <n v="1063"/>
    <n v="1.3482589999999999E-2"/>
    <x v="3"/>
    <n v="-389584.20699999999"/>
    <n v="51.740400000000001"/>
    <x v="1"/>
    <s v="Low"/>
    <s v="Medium"/>
    <s v="July"/>
    <x v="6"/>
  </r>
  <r>
    <d v="2016-07-23T00:00:00"/>
    <x v="7"/>
    <x v="6"/>
    <n v="179410"/>
    <n v="187000"/>
    <x v="0"/>
    <x v="0"/>
    <x v="0"/>
    <n v="3"/>
    <n v="1066"/>
    <n v="1.3482589999999999E-2"/>
    <x v="1"/>
    <n v="7590"/>
    <n v="175.4221"/>
    <x v="0"/>
    <s v="Low"/>
    <s v="Medium"/>
    <s v="July"/>
    <x v="6"/>
  </r>
  <r>
    <d v="2016-07-24T00:00:00"/>
    <x v="7"/>
    <x v="6"/>
    <n v="262920"/>
    <n v="447000"/>
    <x v="0"/>
    <x v="0"/>
    <x v="0"/>
    <n v="1"/>
    <n v="1008"/>
    <n v="1.3482589999999999E-2"/>
    <x v="2"/>
    <n v="184080"/>
    <n v="443.45240000000001"/>
    <x v="0"/>
    <s v="Medium"/>
    <s v="Medium"/>
    <s v="July"/>
    <x v="6"/>
  </r>
  <r>
    <d v="2016-07-25T00:00:00"/>
    <x v="7"/>
    <x v="0"/>
    <n v="76800"/>
    <n v="101000"/>
    <x v="0"/>
    <x v="0"/>
    <x v="0"/>
    <n v="3"/>
    <n v="969"/>
    <n v="1.3482589999999999E-2"/>
    <x v="0"/>
    <n v="24200"/>
    <n v="104.2312"/>
    <x v="0"/>
    <s v="Low"/>
    <s v="Medium"/>
    <s v="July"/>
    <x v="6"/>
  </r>
  <r>
    <d v="2016-07-28T00:00:00"/>
    <x v="7"/>
    <x v="3"/>
    <n v="636230"/>
    <n v="1320000"/>
    <x v="0"/>
    <x v="0"/>
    <x v="0"/>
    <n v="2"/>
    <n v="960"/>
    <n v="1.3482589999999999E-2"/>
    <x v="2"/>
    <n v="683770"/>
    <n v="1375"/>
    <x v="0"/>
    <s v="High"/>
    <s v="Medium"/>
    <s v="July"/>
    <x v="6"/>
  </r>
  <r>
    <d v="2016-07-30T00:00:00"/>
    <x v="7"/>
    <x v="3"/>
    <n v="824110"/>
    <n v="1076000"/>
    <x v="0"/>
    <x v="0"/>
    <x v="0"/>
    <n v="3"/>
    <n v="991"/>
    <n v="1.3482589999999999E-2"/>
    <x v="1"/>
    <n v="251890"/>
    <n v="1085.7719"/>
    <x v="0"/>
    <s v="High"/>
    <s v="Medium"/>
    <s v="July"/>
    <x v="6"/>
  </r>
  <r>
    <d v="2016-07-31T00:00:00"/>
    <x v="7"/>
    <x v="6"/>
    <n v="277830"/>
    <n v="525000"/>
    <x v="0"/>
    <x v="0"/>
    <x v="0"/>
    <n v="2"/>
    <n v="1035"/>
    <n v="1.3482589999999999E-2"/>
    <x v="2"/>
    <n v="247170"/>
    <n v="507.24639999999999"/>
    <x v="0"/>
    <s v="Medium"/>
    <s v="Medium"/>
    <s v="July"/>
    <x v="6"/>
  </r>
  <r>
    <d v="2016-08-01T00:00:00"/>
    <x v="7"/>
    <x v="7"/>
    <n v="214140"/>
    <n v="436000"/>
    <x v="0"/>
    <x v="0"/>
    <x v="0"/>
    <n v="3"/>
    <n v="993"/>
    <n v="1.3482589999999999E-2"/>
    <x v="1"/>
    <n v="221860"/>
    <n v="439.07350000000002"/>
    <x v="0"/>
    <s v="Medium"/>
    <s v="Medium"/>
    <s v="August"/>
    <x v="7"/>
  </r>
  <r>
    <d v="2016-08-05T00:00:00"/>
    <x v="7"/>
    <x v="4"/>
    <n v="595910"/>
    <n v="840000"/>
    <x v="0"/>
    <x v="0"/>
    <x v="0"/>
    <n v="1"/>
    <n v="970"/>
    <n v="1.3482589999999999E-2"/>
    <x v="0"/>
    <n v="244090"/>
    <n v="865.97940000000006"/>
    <x v="0"/>
    <s v="High"/>
    <s v="Medium"/>
    <s v="August"/>
    <x v="7"/>
  </r>
  <r>
    <d v="2016-08-06T00:00:00"/>
    <x v="7"/>
    <x v="5"/>
    <n v="205920"/>
    <n v="105000"/>
    <x v="1"/>
    <x v="1"/>
    <x v="1"/>
    <n v="2"/>
    <n v="1484"/>
    <n v="1.3482589999999999E-2"/>
    <x v="3"/>
    <n v="-100920"/>
    <n v="70.7547"/>
    <x v="1"/>
    <s v="Low"/>
    <s v="Large"/>
    <s v="August"/>
    <x v="7"/>
  </r>
  <r>
    <d v="2016-08-07T00:00:00"/>
    <x v="7"/>
    <x v="0"/>
    <n v="444584.20699999999"/>
    <n v="115000"/>
    <x v="0"/>
    <x v="0"/>
    <x v="0"/>
    <n v="3"/>
    <n v="1111.6589814177564"/>
    <n v="1.3482589999999999E-2"/>
    <x v="2"/>
    <n v="-329584.20699999999"/>
    <n v="103.449"/>
    <x v="1"/>
    <s v="Low"/>
    <s v="Medium"/>
    <s v="August"/>
    <x v="7"/>
  </r>
  <r>
    <d v="2016-08-08T00:00:00"/>
    <x v="7"/>
    <x v="0"/>
    <n v="66870"/>
    <n v="109000"/>
    <x v="0"/>
    <x v="0"/>
    <x v="0"/>
    <n v="3"/>
    <n v="1086"/>
    <n v="1.3482589999999999E-2"/>
    <x v="2"/>
    <n v="42130"/>
    <n v="100.3683"/>
    <x v="0"/>
    <s v="Low"/>
    <s v="Medium"/>
    <s v="August"/>
    <x v="7"/>
  </r>
  <r>
    <d v="2016-08-12T00:00:00"/>
    <x v="7"/>
    <x v="3"/>
    <n v="930230"/>
    <n v="1298000"/>
    <x v="0"/>
    <x v="0"/>
    <x v="0"/>
    <n v="2"/>
    <n v="962"/>
    <n v="1.3482589999999999E-2"/>
    <x v="3"/>
    <n v="367770"/>
    <n v="1349.2723000000001"/>
    <x v="0"/>
    <s v="High"/>
    <s v="Medium"/>
    <s v="August"/>
    <x v="7"/>
  </r>
  <r>
    <d v="2016-08-13T00:00:00"/>
    <x v="7"/>
    <x v="0"/>
    <n v="444584.20699999999"/>
    <n v="122772"/>
    <x v="0"/>
    <x v="0"/>
    <x v="0"/>
    <n v="1"/>
    <n v="915"/>
    <n v="1.3482589999999999E-2"/>
    <x v="0"/>
    <n v="-321812.20699999999"/>
    <n v="134.17699999999999"/>
    <x v="1"/>
    <s v="Low"/>
    <s v="Medium"/>
    <s v="August"/>
    <x v="7"/>
  </r>
  <r>
    <d v="2016-08-14T00:00:00"/>
    <x v="7"/>
    <x v="3"/>
    <n v="626220"/>
    <n v="955000"/>
    <x v="0"/>
    <x v="0"/>
    <x v="0"/>
    <n v="3"/>
    <n v="935"/>
    <n v="1.3482589999999999E-2"/>
    <x v="1"/>
    <n v="328780"/>
    <n v="1021.3904"/>
    <x v="0"/>
    <s v="High"/>
    <s v="Medium"/>
    <s v="August"/>
    <x v="7"/>
  </r>
  <r>
    <d v="2016-08-15T00:00:00"/>
    <x v="7"/>
    <x v="4"/>
    <n v="394800"/>
    <n v="625000"/>
    <x v="0"/>
    <x v="0"/>
    <x v="0"/>
    <n v="2"/>
    <n v="1086"/>
    <n v="1.3482589999999999E-2"/>
    <x v="1"/>
    <n v="230200"/>
    <n v="575.50639999999999"/>
    <x v="0"/>
    <s v="High"/>
    <s v="Medium"/>
    <s v="August"/>
    <x v="7"/>
  </r>
  <r>
    <d v="2016-08-18T00:00:00"/>
    <x v="7"/>
    <x v="4"/>
    <n v="399000"/>
    <n v="472000"/>
    <x v="0"/>
    <x v="0"/>
    <x v="0"/>
    <n v="1"/>
    <n v="932"/>
    <n v="1.3482589999999999E-2"/>
    <x v="2"/>
    <n v="73000"/>
    <n v="506.43779999999998"/>
    <x v="0"/>
    <s v="Medium"/>
    <s v="Medium"/>
    <s v="August"/>
    <x v="7"/>
  </r>
  <r>
    <d v="2016-08-19T00:00:00"/>
    <x v="7"/>
    <x v="4"/>
    <n v="630000"/>
    <n v="967500"/>
    <x v="0"/>
    <x v="0"/>
    <x v="0"/>
    <n v="1"/>
    <n v="1054"/>
    <n v="1.3482589999999999E-2"/>
    <x v="2"/>
    <n v="337500"/>
    <n v="917.93169999999998"/>
    <x v="0"/>
    <s v="High"/>
    <s v="Medium"/>
    <s v="August"/>
    <x v="7"/>
  </r>
  <r>
    <d v="2016-08-20T00:00:00"/>
    <x v="7"/>
    <x v="0"/>
    <n v="49990"/>
    <n v="95031"/>
    <x v="0"/>
    <x v="0"/>
    <x v="0"/>
    <n v="3"/>
    <n v="1025"/>
    <n v="1.3482589999999999E-2"/>
    <x v="2"/>
    <n v="45041"/>
    <n v="92.713200000000001"/>
    <x v="0"/>
    <s v="Low"/>
    <s v="Medium"/>
    <s v="August"/>
    <x v="7"/>
  </r>
  <r>
    <d v="2016-08-21T00:00:00"/>
    <x v="7"/>
    <x v="2"/>
    <n v="178410"/>
    <n v="45000"/>
    <x v="2"/>
    <x v="2"/>
    <x v="2"/>
    <n v="5"/>
    <n v="2181"/>
    <n v="1.3482589999999999E-2"/>
    <x v="0"/>
    <n v="-133410"/>
    <n v="20.6327"/>
    <x v="1"/>
    <s v="Low"/>
    <s v="Large"/>
    <s v="August"/>
    <x v="7"/>
  </r>
  <r>
    <d v="2016-08-22T00:00:00"/>
    <x v="7"/>
    <x v="0"/>
    <n v="444584.20699999999"/>
    <n v="65831"/>
    <x v="1"/>
    <x v="1"/>
    <x v="1"/>
    <n v="2"/>
    <n v="1443"/>
    <n v="1.3482589999999999E-2"/>
    <x v="2"/>
    <n v="-378753.20699999999"/>
    <n v="45.620899999999999"/>
    <x v="1"/>
    <s v="Low"/>
    <s v="Large"/>
    <s v="August"/>
    <x v="7"/>
  </r>
  <r>
    <d v="2016-08-27T00:00:00"/>
    <x v="7"/>
    <x v="4"/>
    <n v="313810"/>
    <n v="999000"/>
    <x v="0"/>
    <x v="0"/>
    <x v="0"/>
    <n v="3"/>
    <n v="913"/>
    <n v="1.3482589999999999E-2"/>
    <x v="2"/>
    <n v="685190"/>
    <n v="1094.1949999999999"/>
    <x v="0"/>
    <s v="High"/>
    <s v="Medium"/>
    <s v="August"/>
    <x v="7"/>
  </r>
  <r>
    <d v="2016-08-28T00:00:00"/>
    <x v="7"/>
    <x v="7"/>
    <n v="444584.20699999999"/>
    <n v="435000"/>
    <x v="0"/>
    <x v="0"/>
    <x v="0"/>
    <n v="2"/>
    <n v="981"/>
    <n v="1.3482589999999999E-2"/>
    <x v="2"/>
    <n v="-9584.2070000000003"/>
    <n v="443.42509999999999"/>
    <x v="1"/>
    <s v="Medium"/>
    <s v="Medium"/>
    <s v="August"/>
    <x v="7"/>
  </r>
  <r>
    <d v="2016-08-29T00:00:00"/>
    <x v="7"/>
    <x v="7"/>
    <n v="262630"/>
    <n v="451000"/>
    <x v="0"/>
    <x v="0"/>
    <x v="0"/>
    <n v="2"/>
    <n v="981"/>
    <n v="1.3482589999999999E-2"/>
    <x v="2"/>
    <n v="188370"/>
    <n v="459.73500000000001"/>
    <x v="0"/>
    <s v="Medium"/>
    <s v="Medium"/>
    <s v="August"/>
    <x v="7"/>
  </r>
  <r>
    <d v="2016-09-03T00:00:00"/>
    <x v="7"/>
    <x v="5"/>
    <n v="281330"/>
    <n v="493000"/>
    <x v="0"/>
    <x v="0"/>
    <x v="0"/>
    <n v="3"/>
    <n v="1111.6589814177564"/>
    <n v="1.3482589999999999E-2"/>
    <x v="2"/>
    <n v="211670"/>
    <n v="443.48129999999998"/>
    <x v="0"/>
    <s v="Medium"/>
    <s v="Medium"/>
    <s v="September"/>
    <x v="8"/>
  </r>
  <r>
    <d v="2016-09-04T00:00:00"/>
    <x v="7"/>
    <x v="7"/>
    <n v="444584.20699999999"/>
    <n v="489900"/>
    <x v="0"/>
    <x v="0"/>
    <x v="0"/>
    <n v="2"/>
    <n v="1039"/>
    <n v="1.3482589999999999E-2"/>
    <x v="0"/>
    <n v="45315.792999999998"/>
    <n v="471.5111"/>
    <x v="0"/>
    <s v="Medium"/>
    <s v="Medium"/>
    <s v="September"/>
    <x v="8"/>
  </r>
  <r>
    <d v="2016-09-05T00:00:00"/>
    <x v="7"/>
    <x v="4"/>
    <n v="522760"/>
    <n v="650000"/>
    <x v="0"/>
    <x v="0"/>
    <x v="0"/>
    <n v="1"/>
    <n v="939"/>
    <n v="1.3482589999999999E-2"/>
    <x v="3"/>
    <n v="127240"/>
    <n v="692.22580000000005"/>
    <x v="0"/>
    <s v="High"/>
    <s v="Medium"/>
    <s v="September"/>
    <x v="8"/>
  </r>
  <r>
    <d v="2016-09-08T00:00:00"/>
    <x v="7"/>
    <x v="6"/>
    <n v="193690"/>
    <n v="417500"/>
    <x v="0"/>
    <x v="0"/>
    <x v="0"/>
    <n v="1"/>
    <n v="953"/>
    <n v="1.3482589999999999E-2"/>
    <x v="3"/>
    <n v="223810"/>
    <n v="438.09019999999998"/>
    <x v="0"/>
    <s v="Medium"/>
    <s v="Medium"/>
    <s v="September"/>
    <x v="8"/>
  </r>
  <r>
    <d v="2016-09-09T00:00:00"/>
    <x v="7"/>
    <x v="5"/>
    <n v="176680"/>
    <n v="307000"/>
    <x v="0"/>
    <x v="0"/>
    <x v="0"/>
    <n v="2"/>
    <n v="1083"/>
    <n v="1.3482589999999999E-2"/>
    <x v="0"/>
    <n v="130320"/>
    <n v="283.47179999999997"/>
    <x v="0"/>
    <s v="Medium"/>
    <s v="Medium"/>
    <s v="September"/>
    <x v="8"/>
  </r>
  <r>
    <d v="2016-09-10T00:00:00"/>
    <x v="7"/>
    <x v="0"/>
    <n v="69990"/>
    <n v="31500"/>
    <x v="0"/>
    <x v="0"/>
    <x v="0"/>
    <n v="3"/>
    <n v="987"/>
    <n v="1.3482589999999999E-2"/>
    <x v="1"/>
    <n v="-38490"/>
    <n v="31.914899999999999"/>
    <x v="1"/>
    <s v="Low"/>
    <s v="Medium"/>
    <s v="September"/>
    <x v="8"/>
  </r>
  <r>
    <d v="2016-09-11T00:00:00"/>
    <x v="7"/>
    <x v="7"/>
    <n v="960120"/>
    <n v="1600000"/>
    <x v="0"/>
    <x v="0"/>
    <x v="0"/>
    <n v="2"/>
    <n v="928"/>
    <n v="1.3482589999999999E-2"/>
    <x v="0"/>
    <n v="639880"/>
    <n v="1724.1378999999999"/>
    <x v="0"/>
    <s v="High"/>
    <s v="Medium"/>
    <s v="September"/>
    <x v="8"/>
  </r>
  <r>
    <d v="2016-09-12T00:00:00"/>
    <x v="7"/>
    <x v="7"/>
    <n v="698200"/>
    <n v="1000000"/>
    <x v="0"/>
    <x v="0"/>
    <x v="0"/>
    <n v="3"/>
    <n v="1014"/>
    <n v="1.3482589999999999E-2"/>
    <x v="0"/>
    <n v="301800"/>
    <n v="986.19330000000002"/>
    <x v="0"/>
    <s v="High"/>
    <s v="Medium"/>
    <s v="September"/>
    <x v="8"/>
  </r>
  <r>
    <d v="2016-09-15T00:00:00"/>
    <x v="7"/>
    <x v="0"/>
    <n v="98880"/>
    <n v="50000"/>
    <x v="0"/>
    <x v="0"/>
    <x v="0"/>
    <n v="2"/>
    <n v="905"/>
    <n v="1.3482589999999999E-2"/>
    <x v="3"/>
    <n v="-48880"/>
    <n v="55.248600000000003"/>
    <x v="1"/>
    <s v="Low"/>
    <s v="Medium"/>
    <s v="September"/>
    <x v="8"/>
  </r>
  <r>
    <d v="2016-09-17T00:00:00"/>
    <x v="7"/>
    <x v="5"/>
    <n v="121700"/>
    <n v="115200"/>
    <x v="0"/>
    <x v="0"/>
    <x v="0"/>
    <n v="2"/>
    <n v="1036"/>
    <n v="1.3482589999999999E-2"/>
    <x v="1"/>
    <n v="-6500"/>
    <n v="111.1969"/>
    <x v="1"/>
    <s v="Low"/>
    <s v="Medium"/>
    <s v="September"/>
    <x v="8"/>
  </r>
  <r>
    <d v="2016-09-18T00:00:00"/>
    <x v="7"/>
    <x v="5"/>
    <n v="451150"/>
    <n v="710000"/>
    <x v="0"/>
    <x v="0"/>
    <x v="0"/>
    <n v="2"/>
    <n v="993"/>
    <n v="1.3482589999999999E-2"/>
    <x v="0"/>
    <n v="258850"/>
    <n v="715.005"/>
    <x v="0"/>
    <s v="High"/>
    <s v="Medium"/>
    <s v="September"/>
    <x v="8"/>
  </r>
  <r>
    <d v="2016-09-19T00:00:00"/>
    <x v="7"/>
    <x v="0"/>
    <n v="60640"/>
    <n v="36000"/>
    <x v="0"/>
    <x v="0"/>
    <x v="0"/>
    <n v="1"/>
    <n v="1111.6589814177564"/>
    <n v="1.3482589999999999E-2"/>
    <x v="1"/>
    <n v="-24640"/>
    <n v="32.384"/>
    <x v="1"/>
    <s v="Low"/>
    <s v="Medium"/>
    <s v="September"/>
    <x v="8"/>
  </r>
  <r>
    <d v="2016-09-23T00:00:00"/>
    <x v="7"/>
    <x v="4"/>
    <n v="237930"/>
    <n v="287500"/>
    <x v="0"/>
    <x v="0"/>
    <x v="0"/>
    <n v="1"/>
    <n v="1088"/>
    <n v="1.3482589999999999E-2"/>
    <x v="3"/>
    <n v="49570"/>
    <n v="264.24630000000002"/>
    <x v="0"/>
    <s v="Medium"/>
    <s v="Medium"/>
    <s v="September"/>
    <x v="8"/>
  </r>
  <r>
    <d v="2016-09-25T00:00:00"/>
    <x v="7"/>
    <x v="0"/>
    <n v="108410"/>
    <n v="70000"/>
    <x v="0"/>
    <x v="0"/>
    <x v="0"/>
    <n v="2"/>
    <n v="1025"/>
    <n v="1.3482589999999999E-2"/>
    <x v="3"/>
    <n v="-38410"/>
    <n v="68.292699999999996"/>
    <x v="1"/>
    <s v="Low"/>
    <s v="Medium"/>
    <s v="September"/>
    <x v="8"/>
  </r>
  <r>
    <d v="2016-09-29T00:00:00"/>
    <x v="7"/>
    <x v="4"/>
    <n v="305830"/>
    <n v="415000"/>
    <x v="0"/>
    <x v="0"/>
    <x v="0"/>
    <n v="3"/>
    <n v="1111.6589814177564"/>
    <n v="1.3482589999999999E-2"/>
    <x v="0"/>
    <n v="109170"/>
    <n v="373.3159"/>
    <x v="0"/>
    <s v="Medium"/>
    <s v="Medium"/>
    <s v="September"/>
    <x v="8"/>
  </r>
  <r>
    <d v="2016-09-30T00:00:00"/>
    <x v="7"/>
    <x v="0"/>
    <n v="87520"/>
    <n v="42000"/>
    <x v="1"/>
    <x v="1"/>
    <x v="1"/>
    <n v="4"/>
    <n v="1495"/>
    <n v="1.3482589999999999E-2"/>
    <x v="1"/>
    <n v="-45520"/>
    <n v="28.093599999999999"/>
    <x v="1"/>
    <s v="Low"/>
    <s v="Large"/>
    <s v="September"/>
    <x v="8"/>
  </r>
  <r>
    <d v="2016-10-01T00:00:00"/>
    <x v="7"/>
    <x v="4"/>
    <n v="549290"/>
    <n v="450000"/>
    <x v="0"/>
    <x v="0"/>
    <x v="0"/>
    <n v="3"/>
    <n v="1029"/>
    <n v="1.3482589999999999E-2"/>
    <x v="1"/>
    <n v="-99290"/>
    <n v="437.31779999999998"/>
    <x v="1"/>
    <s v="Medium"/>
    <s v="Medium"/>
    <s v="October"/>
    <x v="9"/>
  </r>
  <r>
    <d v="2016-10-03T00:00:00"/>
    <x v="7"/>
    <x v="1"/>
    <n v="317380"/>
    <n v="472500"/>
    <x v="0"/>
    <x v="0"/>
    <x v="0"/>
    <n v="3"/>
    <n v="1011"/>
    <n v="1.3482589999999999E-2"/>
    <x v="1"/>
    <n v="155120"/>
    <n v="467.35910000000001"/>
    <x v="0"/>
    <s v="Medium"/>
    <s v="Medium"/>
    <s v="October"/>
    <x v="9"/>
  </r>
  <r>
    <d v="2016-10-06T00:00:00"/>
    <x v="7"/>
    <x v="5"/>
    <n v="117350"/>
    <n v="87500"/>
    <x v="0"/>
    <x v="0"/>
    <x v="0"/>
    <n v="2"/>
    <n v="1076"/>
    <n v="1.3482589999999999E-2"/>
    <x v="0"/>
    <n v="-29850"/>
    <n v="81.319699999999997"/>
    <x v="1"/>
    <s v="Low"/>
    <s v="Medium"/>
    <s v="October"/>
    <x v="9"/>
  </r>
  <r>
    <d v="2016-10-07T00:00:00"/>
    <x v="7"/>
    <x v="1"/>
    <n v="980280"/>
    <n v="2150000"/>
    <x v="0"/>
    <x v="0"/>
    <x v="0"/>
    <n v="2"/>
    <n v="1045"/>
    <n v="1.3482589999999999E-2"/>
    <x v="2"/>
    <n v="1169720"/>
    <n v="2057.4162999999999"/>
    <x v="0"/>
    <s v="High"/>
    <s v="Medium"/>
    <s v="October"/>
    <x v="9"/>
  </r>
  <r>
    <d v="2016-10-08T00:00:00"/>
    <x v="7"/>
    <x v="2"/>
    <n v="124370"/>
    <n v="135000"/>
    <x v="2"/>
    <x v="2"/>
    <x v="2"/>
    <n v="4"/>
    <n v="1950"/>
    <n v="1.3482589999999999E-2"/>
    <x v="3"/>
    <n v="10630"/>
    <n v="69.230800000000002"/>
    <x v="0"/>
    <s v="Low"/>
    <s v="Large"/>
    <s v="October"/>
    <x v="9"/>
  </r>
  <r>
    <d v="2016-10-09T00:00:00"/>
    <x v="7"/>
    <x v="5"/>
    <n v="128190"/>
    <n v="105000"/>
    <x v="0"/>
    <x v="0"/>
    <x v="0"/>
    <n v="3"/>
    <n v="1111.6589814177564"/>
    <n v="1.3482589999999999E-2"/>
    <x v="2"/>
    <n v="-23190"/>
    <n v="94.453400000000002"/>
    <x v="1"/>
    <s v="Low"/>
    <s v="Medium"/>
    <s v="October"/>
    <x v="9"/>
  </r>
  <r>
    <d v="2016-10-10T00:00:00"/>
    <x v="7"/>
    <x v="0"/>
    <n v="46450"/>
    <n v="40500"/>
    <x v="2"/>
    <x v="2"/>
    <x v="2"/>
    <n v="4"/>
    <n v="2057"/>
    <n v="1.3482589999999999E-2"/>
    <x v="1"/>
    <n v="-5950"/>
    <n v="19.6889"/>
    <x v="1"/>
    <s v="Low"/>
    <s v="Large"/>
    <s v="October"/>
    <x v="9"/>
  </r>
  <r>
    <d v="2016-10-14T00:00:00"/>
    <x v="7"/>
    <x v="5"/>
    <n v="278510"/>
    <n v="435000"/>
    <x v="0"/>
    <x v="0"/>
    <x v="0"/>
    <n v="1"/>
    <n v="951"/>
    <n v="1.3482589999999999E-2"/>
    <x v="3"/>
    <n v="156490"/>
    <n v="457.41320000000002"/>
    <x v="0"/>
    <s v="Medium"/>
    <s v="Medium"/>
    <s v="October"/>
    <x v="9"/>
  </r>
  <r>
    <d v="2016-10-15T00:00:00"/>
    <x v="7"/>
    <x v="2"/>
    <n v="444584.20699999999"/>
    <n v="174900"/>
    <x v="0"/>
    <x v="0"/>
    <x v="0"/>
    <n v="1"/>
    <n v="948"/>
    <n v="1.3482589999999999E-2"/>
    <x v="0"/>
    <n v="-269684.20699999999"/>
    <n v="184.49369999999999"/>
    <x v="1"/>
    <s v="Low"/>
    <s v="Medium"/>
    <s v="October"/>
    <x v="9"/>
  </r>
  <r>
    <d v="2016-10-16T00:00:00"/>
    <x v="7"/>
    <x v="2"/>
    <n v="204150"/>
    <n v="150000"/>
    <x v="1"/>
    <x v="1"/>
    <x v="1"/>
    <n v="3"/>
    <n v="1493"/>
    <n v="1.3482589999999999E-2"/>
    <x v="1"/>
    <n v="-54150"/>
    <n v="100.4689"/>
    <x v="1"/>
    <s v="Low"/>
    <s v="Large"/>
    <s v="October"/>
    <x v="9"/>
  </r>
  <r>
    <d v="2016-10-17T00:00:00"/>
    <x v="7"/>
    <x v="4"/>
    <n v="310940"/>
    <n v="391500"/>
    <x v="0"/>
    <x v="0"/>
    <x v="0"/>
    <n v="2"/>
    <n v="1059"/>
    <n v="1.3482589999999999E-2"/>
    <x v="0"/>
    <n v="80560"/>
    <n v="369.6884"/>
    <x v="0"/>
    <s v="Medium"/>
    <s v="Medium"/>
    <s v="October"/>
    <x v="9"/>
  </r>
  <r>
    <d v="2016-10-20T00:00:00"/>
    <x v="7"/>
    <x v="6"/>
    <n v="167440"/>
    <n v="191250"/>
    <x v="0"/>
    <x v="0"/>
    <x v="0"/>
    <n v="2"/>
    <n v="968"/>
    <n v="1.3482589999999999E-2"/>
    <x v="2"/>
    <n v="23810"/>
    <n v="197.57230000000001"/>
    <x v="0"/>
    <s v="Low"/>
    <s v="Medium"/>
    <s v="October"/>
    <x v="9"/>
  </r>
  <r>
    <d v="2016-10-21T00:00:00"/>
    <x v="7"/>
    <x v="4"/>
    <n v="230930"/>
    <n v="248000"/>
    <x v="0"/>
    <x v="0"/>
    <x v="0"/>
    <n v="2"/>
    <n v="995"/>
    <n v="1.3482589999999999E-2"/>
    <x v="2"/>
    <n v="17070"/>
    <n v="249.24619999999999"/>
    <x v="0"/>
    <s v="Medium"/>
    <s v="Medium"/>
    <s v="October"/>
    <x v="9"/>
  </r>
  <r>
    <d v="2016-10-27T00:00:00"/>
    <x v="7"/>
    <x v="1"/>
    <n v="444584.20699999999"/>
    <n v="730000"/>
    <x v="0"/>
    <x v="0"/>
    <x v="0"/>
    <n v="3"/>
    <n v="999"/>
    <n v="1.3482589999999999E-2"/>
    <x v="0"/>
    <n v="285415.79300000001"/>
    <n v="730.73069999999996"/>
    <x v="0"/>
    <s v="High"/>
    <s v="Medium"/>
    <s v="October"/>
    <x v="9"/>
  </r>
  <r>
    <d v="2016-10-28T00:00:00"/>
    <x v="7"/>
    <x v="4"/>
    <n v="240240"/>
    <n v="275000"/>
    <x v="0"/>
    <x v="0"/>
    <x v="0"/>
    <n v="1"/>
    <n v="1087"/>
    <n v="1.3482589999999999E-2"/>
    <x v="0"/>
    <n v="34760"/>
    <n v="252.98990000000001"/>
    <x v="0"/>
    <s v="Medium"/>
    <s v="Medium"/>
    <s v="October"/>
    <x v="9"/>
  </r>
  <r>
    <d v="2016-10-29T00:00:00"/>
    <x v="7"/>
    <x v="2"/>
    <n v="124820"/>
    <n v="139050"/>
    <x v="0"/>
    <x v="0"/>
    <x v="0"/>
    <n v="3"/>
    <n v="1072"/>
    <n v="1.3482589999999999E-2"/>
    <x v="3"/>
    <n v="14230"/>
    <n v="129.71080000000001"/>
    <x v="0"/>
    <s v="Low"/>
    <s v="Medium"/>
    <s v="October"/>
    <x v="9"/>
  </r>
  <r>
    <d v="2016-10-30T00:00:00"/>
    <x v="7"/>
    <x v="4"/>
    <n v="352870"/>
    <n v="455000"/>
    <x v="0"/>
    <x v="0"/>
    <x v="0"/>
    <n v="1"/>
    <n v="1049"/>
    <n v="1.3482589999999999E-2"/>
    <x v="1"/>
    <n v="102130"/>
    <n v="433.74639999999999"/>
    <x v="0"/>
    <s v="Medium"/>
    <s v="Medium"/>
    <s v="October"/>
    <x v="9"/>
  </r>
  <r>
    <d v="2016-10-31T00:00:00"/>
    <x v="7"/>
    <x v="7"/>
    <n v="418310"/>
    <n v="630000"/>
    <x v="0"/>
    <x v="0"/>
    <x v="0"/>
    <n v="2"/>
    <n v="991"/>
    <n v="1.3482589999999999E-2"/>
    <x v="3"/>
    <n v="211690"/>
    <n v="635.72149999999999"/>
    <x v="0"/>
    <s v="High"/>
    <s v="Medium"/>
    <s v="October"/>
    <x v="9"/>
  </r>
  <r>
    <d v="2016-11-03T00:00:00"/>
    <x v="7"/>
    <x v="0"/>
    <n v="30950"/>
    <n v="10400"/>
    <x v="1"/>
    <x v="1"/>
    <x v="1"/>
    <n v="3"/>
    <n v="1492"/>
    <n v="1.3482589999999999E-2"/>
    <x v="3"/>
    <n v="-20550"/>
    <n v="6.9705000000000004"/>
    <x v="1"/>
    <s v="Low"/>
    <s v="Large"/>
    <s v="November"/>
    <x v="10"/>
  </r>
  <r>
    <d v="2016-11-04T00:00:00"/>
    <x v="7"/>
    <x v="3"/>
    <n v="493080"/>
    <n v="799000"/>
    <x v="0"/>
    <x v="0"/>
    <x v="0"/>
    <n v="2"/>
    <n v="1111.6589814177564"/>
    <n v="1.3482589999999999E-2"/>
    <x v="0"/>
    <n v="305920"/>
    <n v="718.74559999999997"/>
    <x v="0"/>
    <s v="High"/>
    <s v="Medium"/>
    <s v="November"/>
    <x v="10"/>
  </r>
  <r>
    <d v="2016-11-05T00:00:00"/>
    <x v="7"/>
    <x v="3"/>
    <n v="337680"/>
    <n v="360000"/>
    <x v="0"/>
    <x v="0"/>
    <x v="0"/>
    <n v="2"/>
    <n v="1038"/>
    <n v="1.3482589999999999E-2"/>
    <x v="0"/>
    <n v="22320"/>
    <n v="346.82080000000002"/>
    <x v="0"/>
    <s v="Medium"/>
    <s v="Medium"/>
    <s v="November"/>
    <x v="10"/>
  </r>
  <r>
    <d v="2016-11-06T00:00:00"/>
    <x v="7"/>
    <x v="7"/>
    <n v="258840"/>
    <n v="271000"/>
    <x v="1"/>
    <x v="1"/>
    <x v="1"/>
    <n v="4"/>
    <n v="1111.6589814177564"/>
    <n v="1.3482589999999999E-2"/>
    <x v="0"/>
    <n v="12160"/>
    <n v="243.77979999999999"/>
    <x v="0"/>
    <s v="Medium"/>
    <s v="Medium"/>
    <s v="November"/>
    <x v="10"/>
  </r>
  <r>
    <d v="2016-11-07T00:00:00"/>
    <x v="7"/>
    <x v="5"/>
    <n v="697890"/>
    <n v="960000"/>
    <x v="0"/>
    <x v="0"/>
    <x v="0"/>
    <n v="1"/>
    <n v="1111.6589814177564"/>
    <n v="1.3482589999999999E-2"/>
    <x v="1"/>
    <n v="262110"/>
    <n v="863.57420000000002"/>
    <x v="0"/>
    <s v="High"/>
    <s v="Medium"/>
    <s v="November"/>
    <x v="10"/>
  </r>
  <r>
    <d v="2016-11-12T00:00:00"/>
    <x v="7"/>
    <x v="2"/>
    <n v="169070"/>
    <n v="400000"/>
    <x v="0"/>
    <x v="0"/>
    <x v="0"/>
    <n v="1"/>
    <n v="1111.6589814177564"/>
    <n v="1.3482589999999999E-2"/>
    <x v="2"/>
    <n v="230930"/>
    <n v="359.82260000000002"/>
    <x v="0"/>
    <s v="Medium"/>
    <s v="Medium"/>
    <s v="November"/>
    <x v="10"/>
  </r>
  <r>
    <d v="2016-11-13T00:00:00"/>
    <x v="7"/>
    <x v="2"/>
    <n v="444584.20699999999"/>
    <n v="135000"/>
    <x v="2"/>
    <x v="2"/>
    <x v="2"/>
    <n v="6"/>
    <n v="1111.6589814177564"/>
    <n v="1.3482589999999999E-2"/>
    <x v="1"/>
    <n v="-309584.20699999999"/>
    <n v="121.4401"/>
    <x v="1"/>
    <s v="Low"/>
    <s v="Medium"/>
    <s v="November"/>
    <x v="10"/>
  </r>
  <r>
    <d v="2016-11-17T00:00:00"/>
    <x v="7"/>
    <x v="4"/>
    <n v="489160"/>
    <n v="700000"/>
    <x v="0"/>
    <x v="0"/>
    <x v="0"/>
    <n v="2"/>
    <n v="949"/>
    <n v="1.3482589999999999E-2"/>
    <x v="0"/>
    <n v="210840"/>
    <n v="737.61850000000004"/>
    <x v="0"/>
    <s v="High"/>
    <s v="Medium"/>
    <s v="November"/>
    <x v="10"/>
  </r>
  <r>
    <d v="2016-11-18T00:00:00"/>
    <x v="7"/>
    <x v="5"/>
    <n v="307660"/>
    <n v="430000"/>
    <x v="0"/>
    <x v="0"/>
    <x v="0"/>
    <n v="3"/>
    <n v="958"/>
    <n v="1.3482589999999999E-2"/>
    <x v="3"/>
    <n v="122340"/>
    <n v="448.85180000000003"/>
    <x v="0"/>
    <s v="Medium"/>
    <s v="Medium"/>
    <s v="November"/>
    <x v="10"/>
  </r>
  <r>
    <d v="2016-11-19T00:00:00"/>
    <x v="7"/>
    <x v="1"/>
    <n v="275330"/>
    <n v="374000"/>
    <x v="0"/>
    <x v="0"/>
    <x v="0"/>
    <n v="2"/>
    <n v="955"/>
    <n v="1.3482589999999999E-2"/>
    <x v="2"/>
    <n v="98670"/>
    <n v="391.62299999999999"/>
    <x v="0"/>
    <s v="Medium"/>
    <s v="Medium"/>
    <s v="November"/>
    <x v="10"/>
  </r>
  <r>
    <d v="2016-11-20T00:00:00"/>
    <x v="7"/>
    <x v="4"/>
    <n v="353010"/>
    <n v="415000"/>
    <x v="0"/>
    <x v="0"/>
    <x v="0"/>
    <n v="1"/>
    <n v="1111.6589814177564"/>
    <n v="1.3482589999999999E-2"/>
    <x v="0"/>
    <n v="61990"/>
    <n v="373.3159"/>
    <x v="0"/>
    <s v="Medium"/>
    <s v="Medium"/>
    <s v="November"/>
    <x v="10"/>
  </r>
  <r>
    <d v="2016-11-25T00:00:00"/>
    <x v="7"/>
    <x v="4"/>
    <n v="444584.20699999999"/>
    <n v="455000"/>
    <x v="0"/>
    <x v="0"/>
    <x v="0"/>
    <n v="1"/>
    <n v="1011"/>
    <n v="1.3482589999999999E-2"/>
    <x v="0"/>
    <n v="10415.793"/>
    <n v="450.04950000000002"/>
    <x v="0"/>
    <s v="Medium"/>
    <s v="Medium"/>
    <s v="November"/>
    <x v="10"/>
  </r>
  <r>
    <d v="2016-12-01T00:00:00"/>
    <x v="7"/>
    <x v="3"/>
    <n v="296940"/>
    <n v="485000"/>
    <x v="0"/>
    <x v="0"/>
    <x v="0"/>
    <n v="1"/>
    <n v="1002"/>
    <n v="1.3482589999999999E-2"/>
    <x v="2"/>
    <n v="188060"/>
    <n v="484.03190000000001"/>
    <x v="0"/>
    <s v="Medium"/>
    <s v="Medium"/>
    <s v="December"/>
    <x v="11"/>
  </r>
  <r>
    <d v="2016-12-02T00:00:00"/>
    <x v="7"/>
    <x v="5"/>
    <n v="925170"/>
    <n v="962500"/>
    <x v="0"/>
    <x v="0"/>
    <x v="0"/>
    <n v="1"/>
    <n v="900"/>
    <n v="1.3482589999999999E-2"/>
    <x v="0"/>
    <n v="37330"/>
    <n v="1069.4444000000001"/>
    <x v="0"/>
    <s v="High"/>
    <s v="Medium"/>
    <s v="December"/>
    <x v="11"/>
  </r>
  <r>
    <d v="2016-12-03T00:00:00"/>
    <x v="7"/>
    <x v="5"/>
    <n v="234670"/>
    <n v="120000"/>
    <x v="0"/>
    <x v="0"/>
    <x v="0"/>
    <n v="2"/>
    <n v="1073"/>
    <n v="1.3482589999999999E-2"/>
    <x v="0"/>
    <n v="-114670"/>
    <n v="111.836"/>
    <x v="1"/>
    <s v="Low"/>
    <s v="Medium"/>
    <s v="December"/>
    <x v="11"/>
  </r>
  <r>
    <d v="2016-12-04T00:00:00"/>
    <x v="7"/>
    <x v="2"/>
    <n v="132370"/>
    <n v="67500"/>
    <x v="0"/>
    <x v="0"/>
    <x v="0"/>
    <n v="3"/>
    <n v="927"/>
    <n v="1.3482589999999999E-2"/>
    <x v="1"/>
    <n v="-64870"/>
    <n v="72.8155"/>
    <x v="1"/>
    <s v="Low"/>
    <s v="Medium"/>
    <s v="December"/>
    <x v="11"/>
  </r>
  <r>
    <d v="2016-12-05T00:00:00"/>
    <x v="7"/>
    <x v="4"/>
    <n v="492730"/>
    <n v="435000"/>
    <x v="0"/>
    <x v="0"/>
    <x v="0"/>
    <n v="1"/>
    <n v="1099"/>
    <n v="1.3482589999999999E-2"/>
    <x v="0"/>
    <n v="-57730"/>
    <n v="395.81439999999998"/>
    <x v="1"/>
    <s v="Medium"/>
    <s v="Medium"/>
    <s v="December"/>
    <x v="11"/>
  </r>
  <r>
    <d v="2016-12-09T00:00:00"/>
    <x v="7"/>
    <x v="4"/>
    <n v="444584.20699999999"/>
    <n v="426000"/>
    <x v="0"/>
    <x v="0"/>
    <x v="0"/>
    <n v="3"/>
    <n v="1111.6589814177564"/>
    <n v="1.3482589999999999E-2"/>
    <x v="0"/>
    <n v="-18584.206999999999"/>
    <n v="383.21100000000001"/>
    <x v="1"/>
    <s v="Medium"/>
    <s v="Medium"/>
    <s v="December"/>
    <x v="11"/>
  </r>
  <r>
    <d v="2016-12-10T00:00:00"/>
    <x v="7"/>
    <x v="2"/>
    <n v="444584.20699999999"/>
    <n v="158000"/>
    <x v="1"/>
    <x v="1"/>
    <x v="1"/>
    <n v="4"/>
    <n v="1229"/>
    <n v="1.3482589999999999E-2"/>
    <x v="1"/>
    <n v="-286584.20699999999"/>
    <n v="128.5598"/>
    <x v="1"/>
    <s v="Low"/>
    <s v="Medium"/>
    <s v="December"/>
    <x v="11"/>
  </r>
  <r>
    <d v="2016-12-11T00:00:00"/>
    <x v="7"/>
    <x v="0"/>
    <n v="94790"/>
    <n v="143000"/>
    <x v="0"/>
    <x v="0"/>
    <x v="0"/>
    <n v="3"/>
    <n v="1006"/>
    <n v="1.3482589999999999E-2"/>
    <x v="3"/>
    <n v="48210"/>
    <n v="142.14709999999999"/>
    <x v="0"/>
    <s v="Low"/>
    <s v="Medium"/>
    <s v="December"/>
    <x v="11"/>
  </r>
  <r>
    <d v="2016-12-12T00:00:00"/>
    <x v="7"/>
    <x v="4"/>
    <n v="934780"/>
    <n v="1167500"/>
    <x v="0"/>
    <x v="0"/>
    <x v="0"/>
    <n v="1"/>
    <n v="1111.6589814177564"/>
    <n v="1.3482589999999999E-2"/>
    <x v="2"/>
    <n v="232720"/>
    <n v="1050.2320999999999"/>
    <x v="0"/>
    <s v="High"/>
    <s v="Medium"/>
    <s v="December"/>
    <x v="11"/>
  </r>
  <r>
    <d v="2016-12-15T00:00:00"/>
    <x v="7"/>
    <x v="7"/>
    <n v="436810"/>
    <n v="635000"/>
    <x v="0"/>
    <x v="0"/>
    <x v="0"/>
    <n v="3"/>
    <n v="900"/>
    <n v="1.3482589999999999E-2"/>
    <x v="0"/>
    <n v="198190"/>
    <n v="705.55560000000003"/>
    <x v="0"/>
    <s v="High"/>
    <s v="Medium"/>
    <s v="December"/>
    <x v="11"/>
  </r>
  <r>
    <d v="2016-12-16T00:00:00"/>
    <x v="7"/>
    <x v="2"/>
    <n v="137470"/>
    <n v="90000"/>
    <x v="0"/>
    <x v="0"/>
    <x v="0"/>
    <n v="1"/>
    <n v="1019"/>
    <n v="1.3482589999999999E-2"/>
    <x v="3"/>
    <n v="-47470"/>
    <n v="88.321899999999999"/>
    <x v="1"/>
    <s v="Low"/>
    <s v="Medium"/>
    <s v="December"/>
    <x v="11"/>
  </r>
  <r>
    <d v="2016-12-17T00:00:00"/>
    <x v="7"/>
    <x v="1"/>
    <n v="307830"/>
    <n v="405000"/>
    <x v="0"/>
    <x v="0"/>
    <x v="0"/>
    <n v="3"/>
    <n v="915"/>
    <n v="1.3482589999999999E-2"/>
    <x v="0"/>
    <n v="97170"/>
    <n v="442.62299999999999"/>
    <x v="0"/>
    <s v="Medium"/>
    <s v="Medium"/>
    <s v="December"/>
    <x v="11"/>
  </r>
  <r>
    <d v="2016-12-18T00:00:00"/>
    <x v="7"/>
    <x v="0"/>
    <n v="155150"/>
    <n v="175000"/>
    <x v="0"/>
    <x v="0"/>
    <x v="0"/>
    <n v="1"/>
    <n v="947"/>
    <n v="1.3482589999999999E-2"/>
    <x v="1"/>
    <n v="19850"/>
    <n v="184.79409999999999"/>
    <x v="0"/>
    <s v="Low"/>
    <s v="Medium"/>
    <s v="December"/>
    <x v="11"/>
  </r>
  <r>
    <d v="2016-12-19T00:00:00"/>
    <x v="7"/>
    <x v="3"/>
    <n v="796460"/>
    <n v="857500"/>
    <x v="0"/>
    <x v="0"/>
    <x v="0"/>
    <n v="3"/>
    <n v="996"/>
    <n v="1.3482589999999999E-2"/>
    <x v="1"/>
    <n v="61040"/>
    <n v="860.94380000000001"/>
    <x v="0"/>
    <s v="High"/>
    <s v="Medium"/>
    <s v="December"/>
    <x v="11"/>
  </r>
  <r>
    <d v="2016-12-22T00:00:00"/>
    <x v="7"/>
    <x v="0"/>
    <n v="81600"/>
    <n v="53000"/>
    <x v="0"/>
    <x v="0"/>
    <x v="0"/>
    <n v="3"/>
    <n v="1078"/>
    <n v="1.3482589999999999E-2"/>
    <x v="0"/>
    <n v="-28600"/>
    <n v="49.165100000000002"/>
    <x v="1"/>
    <s v="Low"/>
    <s v="Medium"/>
    <s v="December"/>
    <x v="11"/>
  </r>
  <r>
    <d v="2016-12-23T00:00:00"/>
    <x v="7"/>
    <x v="5"/>
    <n v="107530"/>
    <n v="80000"/>
    <x v="0"/>
    <x v="0"/>
    <x v="0"/>
    <n v="1"/>
    <n v="985"/>
    <n v="1.3482589999999999E-2"/>
    <x v="3"/>
    <n v="-27530"/>
    <n v="81.218299999999999"/>
    <x v="1"/>
    <s v="Low"/>
    <s v="Medium"/>
    <s v="December"/>
    <x v="11"/>
  </r>
  <r>
    <d v="2016-12-24T00:00:00"/>
    <x v="7"/>
    <x v="0"/>
    <n v="63270"/>
    <n v="26500"/>
    <x v="0"/>
    <x v="0"/>
    <x v="0"/>
    <n v="2"/>
    <n v="926"/>
    <n v="1.3482589999999999E-2"/>
    <x v="1"/>
    <n v="-36770"/>
    <n v="28.617699999999999"/>
    <x v="1"/>
    <s v="Low"/>
    <s v="Medium"/>
    <s v="December"/>
    <x v="11"/>
  </r>
  <r>
    <d v="2016-12-26T00:00:00"/>
    <x v="7"/>
    <x v="0"/>
    <n v="103210"/>
    <n v="170000"/>
    <x v="0"/>
    <x v="0"/>
    <x v="0"/>
    <n v="3"/>
    <n v="986"/>
    <n v="1.3482589999999999E-2"/>
    <x v="1"/>
    <n v="66790"/>
    <n v="172.41380000000001"/>
    <x v="0"/>
    <s v="Low"/>
    <s v="Medium"/>
    <s v="December"/>
    <x v="11"/>
  </r>
  <r>
    <d v="2016-12-29T00:00:00"/>
    <x v="7"/>
    <x v="0"/>
    <n v="58670"/>
    <n v="28000"/>
    <x v="0"/>
    <x v="0"/>
    <x v="0"/>
    <n v="3"/>
    <n v="1009"/>
    <n v="1.3482589999999999E-2"/>
    <x v="3"/>
    <n v="-30670"/>
    <n v="27.7502"/>
    <x v="1"/>
    <s v="Low"/>
    <s v="Medium"/>
    <s v="December"/>
    <x v="11"/>
  </r>
  <r>
    <d v="2016-12-30T00:00:00"/>
    <x v="7"/>
    <x v="7"/>
    <n v="496170"/>
    <n v="945000"/>
    <x v="0"/>
    <x v="0"/>
    <x v="0"/>
    <n v="3"/>
    <n v="1052"/>
    <n v="1.3482589999999999E-2"/>
    <x v="0"/>
    <n v="448830"/>
    <n v="898.28899999999999"/>
    <x v="0"/>
    <s v="High"/>
    <s v="Medium"/>
    <s v="December"/>
    <x v="11"/>
  </r>
  <r>
    <d v="2017-01-02T00:00:00"/>
    <x v="8"/>
    <x v="0"/>
    <n v="84350"/>
    <n v="30000"/>
    <x v="0"/>
    <x v="0"/>
    <x v="0"/>
    <n v="3"/>
    <n v="914"/>
    <n v="1.3882830000000001E-2"/>
    <x v="2"/>
    <n v="-54350"/>
    <n v="32.822800000000001"/>
    <x v="1"/>
    <s v="Low"/>
    <s v="Medium"/>
    <s v="January"/>
    <x v="0"/>
  </r>
  <r>
    <d v="2017-01-05T00:00:00"/>
    <x v="8"/>
    <x v="0"/>
    <n v="107450"/>
    <n v="110000"/>
    <x v="0"/>
    <x v="0"/>
    <x v="0"/>
    <n v="3"/>
    <n v="1057"/>
    <n v="1.3882830000000001E-2"/>
    <x v="0"/>
    <n v="2550"/>
    <n v="104.0681"/>
    <x v="0"/>
    <s v="Low"/>
    <s v="Medium"/>
    <s v="January"/>
    <x v="0"/>
  </r>
  <r>
    <d v="2017-01-06T00:00:00"/>
    <x v="8"/>
    <x v="4"/>
    <n v="245210"/>
    <n v="350000"/>
    <x v="0"/>
    <x v="0"/>
    <x v="0"/>
    <n v="3"/>
    <n v="1111.6589814177564"/>
    <n v="1.3882830000000001E-2"/>
    <x v="1"/>
    <n v="104790"/>
    <n v="314.84480000000002"/>
    <x v="0"/>
    <s v="Medium"/>
    <s v="Medium"/>
    <s v="January"/>
    <x v="0"/>
  </r>
  <r>
    <d v="2017-01-07T00:00:00"/>
    <x v="8"/>
    <x v="3"/>
    <n v="1194550"/>
    <n v="710000"/>
    <x v="0"/>
    <x v="0"/>
    <x v="0"/>
    <n v="2"/>
    <n v="1111.6589814177564"/>
    <n v="1.3882830000000001E-2"/>
    <x v="2"/>
    <n v="-484550"/>
    <n v="638.68510000000003"/>
    <x v="1"/>
    <s v="High"/>
    <s v="Medium"/>
    <s v="January"/>
    <x v="0"/>
  </r>
  <r>
    <d v="2017-01-09T00:00:00"/>
    <x v="8"/>
    <x v="7"/>
    <n v="219580"/>
    <n v="530000"/>
    <x v="2"/>
    <x v="2"/>
    <x v="2"/>
    <n v="5"/>
    <n v="1111.6589814177564"/>
    <n v="1.3882830000000001E-2"/>
    <x v="1"/>
    <n v="310420"/>
    <n v="476.76490000000001"/>
    <x v="0"/>
    <s v="Medium"/>
    <s v="Medium"/>
    <s v="January"/>
    <x v="0"/>
  </r>
  <r>
    <d v="2017-01-12T00:00:00"/>
    <x v="8"/>
    <x v="1"/>
    <n v="255270"/>
    <n v="360000"/>
    <x v="0"/>
    <x v="0"/>
    <x v="0"/>
    <n v="2"/>
    <n v="1040"/>
    <n v="1.3882830000000001E-2"/>
    <x v="3"/>
    <n v="104730"/>
    <n v="346.15379999999999"/>
    <x v="0"/>
    <s v="Medium"/>
    <s v="Medium"/>
    <s v="January"/>
    <x v="0"/>
  </r>
  <r>
    <d v="2017-01-13T00:00:00"/>
    <x v="8"/>
    <x v="4"/>
    <n v="273560"/>
    <n v="859000"/>
    <x v="0"/>
    <x v="0"/>
    <x v="0"/>
    <n v="2"/>
    <n v="907"/>
    <n v="1.3882830000000001E-2"/>
    <x v="1"/>
    <n v="585440"/>
    <n v="947.07830000000001"/>
    <x v="0"/>
    <s v="High"/>
    <s v="Medium"/>
    <s v="January"/>
    <x v="0"/>
  </r>
  <r>
    <d v="2017-01-16T00:00:00"/>
    <x v="8"/>
    <x v="3"/>
    <n v="1082970"/>
    <n v="1385000"/>
    <x v="0"/>
    <x v="0"/>
    <x v="0"/>
    <n v="3"/>
    <n v="1025"/>
    <n v="1.3882830000000001E-2"/>
    <x v="0"/>
    <n v="302030"/>
    <n v="1351.2194999999999"/>
    <x v="0"/>
    <s v="High"/>
    <s v="Medium"/>
    <s v="January"/>
    <x v="0"/>
  </r>
  <r>
    <d v="2017-01-20T00:00:00"/>
    <x v="8"/>
    <x v="4"/>
    <n v="444584.20699999999"/>
    <n v="557500"/>
    <x v="0"/>
    <x v="0"/>
    <x v="0"/>
    <n v="3"/>
    <n v="934"/>
    <n v="1.3882830000000001E-2"/>
    <x v="2"/>
    <n v="112915.79300000001"/>
    <n v="596.89509999999996"/>
    <x v="0"/>
    <s v="Medium"/>
    <s v="Medium"/>
    <s v="January"/>
    <x v="0"/>
  </r>
  <r>
    <d v="2017-01-21T00:00:00"/>
    <x v="8"/>
    <x v="2"/>
    <n v="142890"/>
    <n v="145000"/>
    <x v="0"/>
    <x v="0"/>
    <x v="0"/>
    <n v="3"/>
    <n v="1111.6589814177564"/>
    <n v="1.3882830000000001E-2"/>
    <x v="2"/>
    <n v="2110"/>
    <n v="130.4357"/>
    <x v="0"/>
    <s v="Low"/>
    <s v="Medium"/>
    <s v="January"/>
    <x v="0"/>
  </r>
  <r>
    <d v="2017-01-22T00:00:00"/>
    <x v="8"/>
    <x v="0"/>
    <n v="113850"/>
    <n v="264000"/>
    <x v="0"/>
    <x v="0"/>
    <x v="0"/>
    <n v="1"/>
    <n v="1111.6589814177564"/>
    <n v="1.3882830000000001E-2"/>
    <x v="0"/>
    <n v="150150"/>
    <n v="237.4829"/>
    <x v="0"/>
    <s v="Medium"/>
    <s v="Medium"/>
    <s v="January"/>
    <x v="0"/>
  </r>
  <r>
    <d v="2017-01-23T00:00:00"/>
    <x v="8"/>
    <x v="7"/>
    <n v="323980"/>
    <n v="486500"/>
    <x v="0"/>
    <x v="0"/>
    <x v="0"/>
    <n v="3"/>
    <n v="956"/>
    <n v="1.3882830000000001E-2"/>
    <x v="3"/>
    <n v="162520"/>
    <n v="508.89120000000003"/>
    <x v="0"/>
    <s v="Medium"/>
    <s v="Medium"/>
    <s v="January"/>
    <x v="0"/>
  </r>
  <r>
    <d v="2017-01-26T00:00:00"/>
    <x v="8"/>
    <x v="6"/>
    <n v="212940"/>
    <n v="267500"/>
    <x v="0"/>
    <x v="0"/>
    <x v="0"/>
    <n v="3"/>
    <n v="939"/>
    <n v="1.3882830000000001E-2"/>
    <x v="0"/>
    <n v="54560"/>
    <n v="284.8775"/>
    <x v="0"/>
    <s v="Medium"/>
    <s v="Medium"/>
    <s v="January"/>
    <x v="0"/>
  </r>
  <r>
    <d v="2017-01-28T00:00:00"/>
    <x v="8"/>
    <x v="2"/>
    <n v="168250"/>
    <n v="126750"/>
    <x v="1"/>
    <x v="1"/>
    <x v="1"/>
    <n v="3"/>
    <n v="1416"/>
    <n v="1.3882830000000001E-2"/>
    <x v="1"/>
    <n v="-41500"/>
    <n v="89.512699999999995"/>
    <x v="1"/>
    <s v="Low"/>
    <s v="Large"/>
    <s v="January"/>
    <x v="0"/>
  </r>
  <r>
    <d v="2017-01-29T00:00:00"/>
    <x v="8"/>
    <x v="5"/>
    <n v="129290"/>
    <n v="65100"/>
    <x v="0"/>
    <x v="0"/>
    <x v="0"/>
    <n v="1"/>
    <n v="1061"/>
    <n v="1.3882830000000001E-2"/>
    <x v="2"/>
    <n v="-64190"/>
    <n v="61.357199999999999"/>
    <x v="1"/>
    <s v="Low"/>
    <s v="Medium"/>
    <s v="January"/>
    <x v="0"/>
  </r>
  <r>
    <d v="2017-02-03T00:00:00"/>
    <x v="8"/>
    <x v="2"/>
    <n v="160490"/>
    <n v="89900"/>
    <x v="0"/>
    <x v="0"/>
    <x v="0"/>
    <n v="2"/>
    <n v="1055"/>
    <n v="1.3882830000000001E-2"/>
    <x v="1"/>
    <n v="-70590"/>
    <n v="85.213300000000004"/>
    <x v="1"/>
    <s v="Low"/>
    <s v="Medium"/>
    <s v="February"/>
    <x v="1"/>
  </r>
  <r>
    <d v="2017-02-04T00:00:00"/>
    <x v="8"/>
    <x v="6"/>
    <n v="149800"/>
    <n v="259000"/>
    <x v="0"/>
    <x v="0"/>
    <x v="0"/>
    <n v="1"/>
    <n v="1057"/>
    <n v="1.3882830000000001E-2"/>
    <x v="0"/>
    <n v="109200"/>
    <n v="245.03309999999999"/>
    <x v="0"/>
    <s v="Medium"/>
    <s v="Medium"/>
    <s v="February"/>
    <x v="1"/>
  </r>
  <r>
    <d v="2017-02-09T00:00:00"/>
    <x v="8"/>
    <x v="3"/>
    <n v="267960"/>
    <n v="360000"/>
    <x v="0"/>
    <x v="0"/>
    <x v="0"/>
    <n v="2"/>
    <n v="900"/>
    <n v="1.3882830000000001E-2"/>
    <x v="1"/>
    <n v="92040"/>
    <n v="400"/>
    <x v="0"/>
    <s v="Medium"/>
    <s v="Medium"/>
    <s v="February"/>
    <x v="1"/>
  </r>
  <r>
    <d v="2017-02-11T00:00:00"/>
    <x v="8"/>
    <x v="3"/>
    <n v="4952920"/>
    <n v="6750000"/>
    <x v="0"/>
    <x v="0"/>
    <x v="0"/>
    <n v="3"/>
    <n v="1067"/>
    <n v="1.3882830000000001E-2"/>
    <x v="1"/>
    <n v="1797080"/>
    <n v="6326.1481000000003"/>
    <x v="0"/>
    <s v="High"/>
    <s v="Medium"/>
    <s v="February"/>
    <x v="1"/>
  </r>
  <r>
    <d v="2017-02-17T00:00:00"/>
    <x v="8"/>
    <x v="5"/>
    <n v="79500"/>
    <n v="69900"/>
    <x v="0"/>
    <x v="0"/>
    <x v="0"/>
    <n v="2"/>
    <n v="963"/>
    <n v="1.3882830000000001E-2"/>
    <x v="2"/>
    <n v="-9600"/>
    <n v="72.585700000000003"/>
    <x v="1"/>
    <s v="Low"/>
    <s v="Medium"/>
    <s v="February"/>
    <x v="1"/>
  </r>
  <r>
    <d v="2017-02-18T00:00:00"/>
    <x v="8"/>
    <x v="2"/>
    <n v="165460"/>
    <n v="64000"/>
    <x v="1"/>
    <x v="1"/>
    <x v="1"/>
    <n v="4"/>
    <n v="1221"/>
    <n v="1.3882830000000001E-2"/>
    <x v="1"/>
    <n v="-101460"/>
    <n v="52.4161"/>
    <x v="1"/>
    <s v="Low"/>
    <s v="Medium"/>
    <s v="February"/>
    <x v="1"/>
  </r>
  <r>
    <d v="2017-02-19T00:00:00"/>
    <x v="8"/>
    <x v="3"/>
    <n v="1137780"/>
    <n v="1750000"/>
    <x v="0"/>
    <x v="0"/>
    <x v="0"/>
    <n v="3"/>
    <n v="982"/>
    <n v="1.3882830000000001E-2"/>
    <x v="3"/>
    <n v="612220"/>
    <n v="1782.0773999999999"/>
    <x v="0"/>
    <s v="High"/>
    <s v="Medium"/>
    <s v="February"/>
    <x v="1"/>
  </r>
  <r>
    <d v="2017-02-23T00:00:00"/>
    <x v="8"/>
    <x v="7"/>
    <n v="227620"/>
    <n v="350000"/>
    <x v="0"/>
    <x v="0"/>
    <x v="0"/>
    <n v="1"/>
    <n v="947"/>
    <n v="1.3882830000000001E-2"/>
    <x v="2"/>
    <n v="122380"/>
    <n v="369.58819999999997"/>
    <x v="0"/>
    <s v="Medium"/>
    <s v="Medium"/>
    <s v="February"/>
    <x v="1"/>
  </r>
  <r>
    <d v="2017-02-24T00:00:00"/>
    <x v="8"/>
    <x v="4"/>
    <n v="270340"/>
    <n v="735000"/>
    <x v="0"/>
    <x v="0"/>
    <x v="0"/>
    <n v="1"/>
    <n v="1091"/>
    <n v="1.3882830000000001E-2"/>
    <x v="3"/>
    <n v="464660"/>
    <n v="673.69389999999999"/>
    <x v="0"/>
    <s v="High"/>
    <s v="Medium"/>
    <s v="February"/>
    <x v="1"/>
  </r>
  <r>
    <d v="2017-02-25T00:00:00"/>
    <x v="8"/>
    <x v="3"/>
    <n v="1229760"/>
    <n v="1825000"/>
    <x v="0"/>
    <x v="0"/>
    <x v="0"/>
    <n v="2"/>
    <n v="1078"/>
    <n v="1.3882830000000001E-2"/>
    <x v="3"/>
    <n v="595240"/>
    <n v="1692.9499000000001"/>
    <x v="0"/>
    <s v="High"/>
    <s v="Medium"/>
    <s v="February"/>
    <x v="1"/>
  </r>
  <r>
    <d v="2017-02-26T00:00:00"/>
    <x v="8"/>
    <x v="1"/>
    <n v="280460"/>
    <n v="380000"/>
    <x v="0"/>
    <x v="0"/>
    <x v="0"/>
    <n v="3"/>
    <n v="978"/>
    <n v="1.3882830000000001E-2"/>
    <x v="2"/>
    <n v="99540"/>
    <n v="388.54809999999998"/>
    <x v="0"/>
    <s v="Medium"/>
    <s v="Medium"/>
    <s v="February"/>
    <x v="1"/>
  </r>
  <r>
    <d v="2017-02-27T00:00:00"/>
    <x v="8"/>
    <x v="5"/>
    <n v="663180"/>
    <n v="2045000"/>
    <x v="0"/>
    <x v="0"/>
    <x v="0"/>
    <n v="2"/>
    <n v="911"/>
    <n v="1.3882830000000001E-2"/>
    <x v="0"/>
    <n v="1381820"/>
    <n v="2244.7858999999999"/>
    <x v="0"/>
    <s v="High"/>
    <s v="Medium"/>
    <s v="February"/>
    <x v="1"/>
  </r>
  <r>
    <d v="2017-03-02T00:00:00"/>
    <x v="8"/>
    <x v="2"/>
    <n v="58440"/>
    <n v="10000"/>
    <x v="0"/>
    <x v="0"/>
    <x v="0"/>
    <n v="2"/>
    <n v="994"/>
    <n v="1.3882830000000001E-2"/>
    <x v="2"/>
    <n v="-48440"/>
    <n v="10.0604"/>
    <x v="1"/>
    <s v="Low"/>
    <s v="Medium"/>
    <s v="March"/>
    <x v="2"/>
  </r>
  <r>
    <d v="2017-03-03T00:00:00"/>
    <x v="8"/>
    <x v="1"/>
    <n v="312450"/>
    <n v="505000"/>
    <x v="0"/>
    <x v="0"/>
    <x v="0"/>
    <n v="1"/>
    <n v="1042"/>
    <n v="1.3882830000000001E-2"/>
    <x v="0"/>
    <n v="192550"/>
    <n v="484.64490000000001"/>
    <x v="0"/>
    <s v="Medium"/>
    <s v="Medium"/>
    <s v="March"/>
    <x v="2"/>
  </r>
  <r>
    <d v="2017-03-04T00:00:00"/>
    <x v="8"/>
    <x v="5"/>
    <n v="266630"/>
    <n v="340000"/>
    <x v="0"/>
    <x v="0"/>
    <x v="0"/>
    <n v="1"/>
    <n v="900"/>
    <n v="1.3882830000000001E-2"/>
    <x v="2"/>
    <n v="73370"/>
    <n v="377.77780000000001"/>
    <x v="0"/>
    <s v="Medium"/>
    <s v="Medium"/>
    <s v="March"/>
    <x v="2"/>
  </r>
  <r>
    <d v="2017-03-05T00:00:00"/>
    <x v="8"/>
    <x v="2"/>
    <n v="99510"/>
    <n v="55000"/>
    <x v="0"/>
    <x v="0"/>
    <x v="0"/>
    <n v="3"/>
    <n v="1053"/>
    <n v="1.3882830000000001E-2"/>
    <x v="0"/>
    <n v="-44510"/>
    <n v="52.231699999999996"/>
    <x v="1"/>
    <s v="Low"/>
    <s v="Medium"/>
    <s v="March"/>
    <x v="2"/>
  </r>
  <r>
    <d v="2017-03-09T00:00:00"/>
    <x v="8"/>
    <x v="0"/>
    <n v="48050"/>
    <n v="33100"/>
    <x v="0"/>
    <x v="0"/>
    <x v="0"/>
    <n v="2"/>
    <n v="1080"/>
    <n v="1.3882830000000001E-2"/>
    <x v="1"/>
    <n v="-14950"/>
    <n v="30.648099999999999"/>
    <x v="1"/>
    <s v="Low"/>
    <s v="Medium"/>
    <s v="March"/>
    <x v="2"/>
  </r>
  <r>
    <d v="2017-03-11T00:00:00"/>
    <x v="8"/>
    <x v="5"/>
    <n v="104480"/>
    <n v="90000"/>
    <x v="0"/>
    <x v="0"/>
    <x v="0"/>
    <n v="2"/>
    <n v="1089"/>
    <n v="1.3882830000000001E-2"/>
    <x v="3"/>
    <n v="-14480"/>
    <n v="82.644599999999997"/>
    <x v="1"/>
    <s v="Low"/>
    <s v="Medium"/>
    <s v="March"/>
    <x v="2"/>
  </r>
  <r>
    <d v="2017-03-12T00:00:00"/>
    <x v="8"/>
    <x v="7"/>
    <n v="215510"/>
    <n v="7000"/>
    <x v="0"/>
    <x v="0"/>
    <x v="0"/>
    <n v="1"/>
    <n v="1111.6589814177564"/>
    <n v="1.3882830000000001E-2"/>
    <x v="2"/>
    <n v="-208510"/>
    <n v="6.2968999999999999"/>
    <x v="1"/>
    <s v="Low"/>
    <s v="Medium"/>
    <s v="March"/>
    <x v="2"/>
  </r>
  <r>
    <d v="2017-03-13T00:00:00"/>
    <x v="8"/>
    <x v="4"/>
    <n v="370440"/>
    <n v="445000"/>
    <x v="1"/>
    <x v="1"/>
    <x v="1"/>
    <n v="2"/>
    <n v="1469"/>
    <n v="1.3882830000000001E-2"/>
    <x v="1"/>
    <n v="74560"/>
    <n v="302.92720000000003"/>
    <x v="0"/>
    <s v="Medium"/>
    <s v="Large"/>
    <s v="March"/>
    <x v="2"/>
  </r>
  <r>
    <d v="2017-03-16T00:00:00"/>
    <x v="8"/>
    <x v="6"/>
    <n v="170380"/>
    <n v="215000"/>
    <x v="0"/>
    <x v="0"/>
    <x v="0"/>
    <n v="2"/>
    <n v="1087"/>
    <n v="1.3882830000000001E-2"/>
    <x v="1"/>
    <n v="44620"/>
    <n v="197.7921"/>
    <x v="0"/>
    <s v="Medium"/>
    <s v="Medium"/>
    <s v="March"/>
    <x v="2"/>
  </r>
  <r>
    <d v="2017-03-18T00:00:00"/>
    <x v="8"/>
    <x v="4"/>
    <n v="402220"/>
    <n v="475000"/>
    <x v="0"/>
    <x v="0"/>
    <x v="0"/>
    <n v="1"/>
    <n v="1076"/>
    <n v="1.3882830000000001E-2"/>
    <x v="3"/>
    <n v="72780"/>
    <n v="441.44979999999998"/>
    <x v="0"/>
    <s v="Medium"/>
    <s v="Medium"/>
    <s v="March"/>
    <x v="2"/>
  </r>
  <r>
    <d v="2017-03-19T00:00:00"/>
    <x v="8"/>
    <x v="1"/>
    <n v="238260"/>
    <n v="415000"/>
    <x v="0"/>
    <x v="0"/>
    <x v="0"/>
    <n v="2"/>
    <n v="1040"/>
    <n v="1.3882830000000001E-2"/>
    <x v="3"/>
    <n v="176740"/>
    <n v="399.0385"/>
    <x v="0"/>
    <s v="Medium"/>
    <s v="Medium"/>
    <s v="March"/>
    <x v="2"/>
  </r>
  <r>
    <d v="2017-03-20T00:00:00"/>
    <x v="8"/>
    <x v="1"/>
    <n v="444584.20699999999"/>
    <n v="478000"/>
    <x v="0"/>
    <x v="0"/>
    <x v="0"/>
    <n v="2"/>
    <n v="1111.6589814177564"/>
    <n v="1.3882830000000001E-2"/>
    <x v="3"/>
    <n v="33415.792999999998"/>
    <n v="429.988"/>
    <x v="0"/>
    <s v="Medium"/>
    <s v="Medium"/>
    <s v="March"/>
    <x v="2"/>
  </r>
  <r>
    <d v="2017-03-24T00:00:00"/>
    <x v="8"/>
    <x v="2"/>
    <n v="106390"/>
    <n v="360239"/>
    <x v="0"/>
    <x v="0"/>
    <x v="0"/>
    <n v="3"/>
    <n v="1111.6589814177564"/>
    <n v="1.3882830000000001E-2"/>
    <x v="3"/>
    <n v="253849"/>
    <n v="324.05529999999999"/>
    <x v="0"/>
    <s v="Medium"/>
    <s v="Medium"/>
    <s v="March"/>
    <x v="2"/>
  </r>
  <r>
    <d v="2017-03-26T00:00:00"/>
    <x v="8"/>
    <x v="5"/>
    <n v="33470"/>
    <n v="87000"/>
    <x v="2"/>
    <x v="2"/>
    <x v="2"/>
    <n v="5"/>
    <n v="1997"/>
    <n v="1.3882830000000001E-2"/>
    <x v="2"/>
    <n v="53530"/>
    <n v="43.565300000000001"/>
    <x v="0"/>
    <s v="Low"/>
    <s v="Large"/>
    <s v="March"/>
    <x v="2"/>
  </r>
  <r>
    <d v="2017-03-27T00:00:00"/>
    <x v="8"/>
    <x v="0"/>
    <n v="80350"/>
    <n v="54000"/>
    <x v="0"/>
    <x v="0"/>
    <x v="0"/>
    <n v="1"/>
    <n v="1111.6589814177564"/>
    <n v="1.3882830000000001E-2"/>
    <x v="2"/>
    <n v="-26350"/>
    <n v="48.576000000000001"/>
    <x v="1"/>
    <s v="Low"/>
    <s v="Medium"/>
    <s v="March"/>
    <x v="2"/>
  </r>
  <r>
    <d v="2017-03-31T00:00:00"/>
    <x v="8"/>
    <x v="5"/>
    <n v="444584.20699999999"/>
    <n v="412500"/>
    <x v="1"/>
    <x v="1"/>
    <x v="1"/>
    <n v="4"/>
    <n v="1472"/>
    <n v="1.3882830000000001E-2"/>
    <x v="0"/>
    <n v="-32084.206999999999"/>
    <n v="280.23099999999999"/>
    <x v="1"/>
    <s v="Medium"/>
    <s v="Large"/>
    <s v="March"/>
    <x v="2"/>
  </r>
  <r>
    <d v="2017-04-01T00:00:00"/>
    <x v="8"/>
    <x v="4"/>
    <n v="271880"/>
    <n v="510000"/>
    <x v="0"/>
    <x v="0"/>
    <x v="0"/>
    <n v="1"/>
    <n v="981"/>
    <n v="1.3882830000000001E-2"/>
    <x v="0"/>
    <n v="238120"/>
    <n v="519.8777"/>
    <x v="0"/>
    <s v="Medium"/>
    <s v="Medium"/>
    <s v="April"/>
    <x v="3"/>
  </r>
  <r>
    <d v="2017-04-02T00:00:00"/>
    <x v="8"/>
    <x v="2"/>
    <n v="99470"/>
    <n v="115000"/>
    <x v="0"/>
    <x v="0"/>
    <x v="0"/>
    <n v="2"/>
    <n v="1018"/>
    <n v="1.3882830000000001E-2"/>
    <x v="3"/>
    <n v="15530"/>
    <n v="112.9666"/>
    <x v="0"/>
    <s v="Low"/>
    <s v="Medium"/>
    <s v="April"/>
    <x v="3"/>
  </r>
  <r>
    <d v="2017-04-06T00:00:00"/>
    <x v="8"/>
    <x v="5"/>
    <n v="125020"/>
    <n v="165000"/>
    <x v="0"/>
    <x v="0"/>
    <x v="0"/>
    <n v="2"/>
    <n v="902"/>
    <n v="1.3882830000000001E-2"/>
    <x v="1"/>
    <n v="39980"/>
    <n v="182.92679999999999"/>
    <x v="0"/>
    <s v="Low"/>
    <s v="Medium"/>
    <s v="April"/>
    <x v="3"/>
  </r>
  <r>
    <d v="2017-04-08T00:00:00"/>
    <x v="8"/>
    <x v="2"/>
    <n v="169490"/>
    <n v="195000"/>
    <x v="2"/>
    <x v="2"/>
    <x v="2"/>
    <n v="5"/>
    <n v="1111.6589814177564"/>
    <n v="1.3882830000000001E-2"/>
    <x v="0"/>
    <n v="25510"/>
    <n v="175.4135"/>
    <x v="0"/>
    <s v="Low"/>
    <s v="Medium"/>
    <s v="April"/>
    <x v="3"/>
  </r>
  <r>
    <d v="2017-04-09T00:00:00"/>
    <x v="8"/>
    <x v="1"/>
    <n v="346600"/>
    <n v="465000"/>
    <x v="0"/>
    <x v="0"/>
    <x v="0"/>
    <n v="2"/>
    <n v="1111.6589814177564"/>
    <n v="1.3882830000000001E-2"/>
    <x v="2"/>
    <n v="118400"/>
    <n v="418.2937"/>
    <x v="0"/>
    <s v="Medium"/>
    <s v="Medium"/>
    <s v="April"/>
    <x v="3"/>
  </r>
  <r>
    <d v="2017-04-10T00:00:00"/>
    <x v="8"/>
    <x v="0"/>
    <n v="75870"/>
    <n v="37460"/>
    <x v="0"/>
    <x v="0"/>
    <x v="0"/>
    <n v="2"/>
    <n v="1040"/>
    <n v="1.3882830000000001E-2"/>
    <x v="2"/>
    <n v="-38410"/>
    <n v="36.019199999999998"/>
    <x v="1"/>
    <s v="Low"/>
    <s v="Medium"/>
    <s v="April"/>
    <x v="3"/>
  </r>
  <r>
    <d v="2017-04-14T00:00:00"/>
    <x v="8"/>
    <x v="6"/>
    <n v="282450"/>
    <n v="492000"/>
    <x v="0"/>
    <x v="0"/>
    <x v="0"/>
    <n v="3"/>
    <n v="1111.6589814177564"/>
    <n v="1.3882830000000001E-2"/>
    <x v="0"/>
    <n v="209550"/>
    <n v="442.58179999999999"/>
    <x v="0"/>
    <s v="Medium"/>
    <s v="Medium"/>
    <s v="April"/>
    <x v="3"/>
  </r>
  <r>
    <d v="2017-04-15T00:00:00"/>
    <x v="8"/>
    <x v="0"/>
    <n v="51280"/>
    <n v="32000"/>
    <x v="3"/>
    <x v="3"/>
    <x v="3"/>
    <n v="8"/>
    <n v="2841"/>
    <n v="1.3882830000000001E-2"/>
    <x v="3"/>
    <n v="-19280"/>
    <n v="11.2636"/>
    <x v="1"/>
    <s v="Low"/>
    <s v="Large"/>
    <s v="April"/>
    <x v="3"/>
  </r>
  <r>
    <d v="2017-04-16T00:00:00"/>
    <x v="8"/>
    <x v="1"/>
    <n v="171270"/>
    <n v="220000"/>
    <x v="1"/>
    <x v="1"/>
    <x v="1"/>
    <n v="3"/>
    <n v="1111.6589814177564"/>
    <n v="1.3882830000000001E-2"/>
    <x v="3"/>
    <n v="48730"/>
    <n v="197.9024"/>
    <x v="0"/>
    <s v="Medium"/>
    <s v="Medium"/>
    <s v="April"/>
    <x v="3"/>
  </r>
  <r>
    <d v="2017-04-17T00:00:00"/>
    <x v="8"/>
    <x v="5"/>
    <n v="92950"/>
    <n v="124000"/>
    <x v="0"/>
    <x v="0"/>
    <x v="0"/>
    <n v="3"/>
    <n v="900"/>
    <n v="1.3882830000000001E-2"/>
    <x v="0"/>
    <n v="31050"/>
    <n v="137.77780000000001"/>
    <x v="0"/>
    <s v="Low"/>
    <s v="Medium"/>
    <s v="April"/>
    <x v="3"/>
  </r>
  <r>
    <d v="2017-04-20T00:00:00"/>
    <x v="8"/>
    <x v="2"/>
    <n v="158160"/>
    <n v="65000"/>
    <x v="2"/>
    <x v="2"/>
    <x v="2"/>
    <n v="6"/>
    <n v="2063"/>
    <n v="1.3882830000000001E-2"/>
    <x v="3"/>
    <n v="-93160"/>
    <n v="31.5075"/>
    <x v="1"/>
    <s v="Low"/>
    <s v="Large"/>
    <s v="April"/>
    <x v="3"/>
  </r>
  <r>
    <d v="2017-04-21T00:00:00"/>
    <x v="8"/>
    <x v="5"/>
    <n v="84620"/>
    <n v="129780"/>
    <x v="0"/>
    <x v="0"/>
    <x v="0"/>
    <n v="2"/>
    <n v="926"/>
    <n v="1.3882830000000001E-2"/>
    <x v="2"/>
    <n v="45160"/>
    <n v="140.15119999999999"/>
    <x v="0"/>
    <s v="Low"/>
    <s v="Medium"/>
    <s v="April"/>
    <x v="3"/>
  </r>
  <r>
    <d v="2017-04-22T00:00:00"/>
    <x v="8"/>
    <x v="2"/>
    <n v="121920"/>
    <n v="141500"/>
    <x v="0"/>
    <x v="0"/>
    <x v="0"/>
    <n v="2"/>
    <n v="1034"/>
    <n v="1.3882830000000001E-2"/>
    <x v="2"/>
    <n v="19580"/>
    <n v="136.84719999999999"/>
    <x v="0"/>
    <s v="Low"/>
    <s v="Medium"/>
    <s v="April"/>
    <x v="3"/>
  </r>
  <r>
    <d v="2017-04-23T00:00:00"/>
    <x v="8"/>
    <x v="1"/>
    <n v="256610"/>
    <n v="350000"/>
    <x v="0"/>
    <x v="0"/>
    <x v="0"/>
    <n v="3"/>
    <n v="1023"/>
    <n v="1.3882830000000001E-2"/>
    <x v="0"/>
    <n v="93390"/>
    <n v="342.13099999999997"/>
    <x v="0"/>
    <s v="Medium"/>
    <s v="Medium"/>
    <s v="April"/>
    <x v="3"/>
  </r>
  <r>
    <d v="2017-04-24T00:00:00"/>
    <x v="8"/>
    <x v="4"/>
    <n v="620270"/>
    <n v="805000"/>
    <x v="0"/>
    <x v="0"/>
    <x v="0"/>
    <n v="3"/>
    <n v="1028"/>
    <n v="1.3882830000000001E-2"/>
    <x v="0"/>
    <n v="184730"/>
    <n v="783.07389999999998"/>
    <x v="0"/>
    <s v="High"/>
    <s v="Medium"/>
    <s v="April"/>
    <x v="3"/>
  </r>
  <r>
    <d v="2017-04-27T00:00:00"/>
    <x v="8"/>
    <x v="1"/>
    <n v="1000690"/>
    <n v="1076130"/>
    <x v="0"/>
    <x v="0"/>
    <x v="0"/>
    <n v="1"/>
    <n v="1075"/>
    <n v="1.3882830000000001E-2"/>
    <x v="1"/>
    <n v="75440"/>
    <n v="1001.0512"/>
    <x v="0"/>
    <s v="High"/>
    <s v="Medium"/>
    <s v="April"/>
    <x v="3"/>
  </r>
  <r>
    <d v="2017-04-28T00:00:00"/>
    <x v="8"/>
    <x v="2"/>
    <n v="444584.20699999999"/>
    <n v="185000"/>
    <x v="1"/>
    <x v="1"/>
    <x v="1"/>
    <n v="4"/>
    <n v="1306"/>
    <n v="1.3882830000000001E-2"/>
    <x v="3"/>
    <n v="-259584.20699999999"/>
    <n v="141.65389999999999"/>
    <x v="1"/>
    <s v="Low"/>
    <s v="Large"/>
    <s v="April"/>
    <x v="3"/>
  </r>
  <r>
    <d v="2017-04-29T00:00:00"/>
    <x v="8"/>
    <x v="0"/>
    <n v="72170"/>
    <n v="34000"/>
    <x v="1"/>
    <x v="1"/>
    <x v="1"/>
    <n v="2"/>
    <n v="1439"/>
    <n v="1.3882830000000001E-2"/>
    <x v="1"/>
    <n v="-38170"/>
    <n v="23.627500000000001"/>
    <x v="1"/>
    <s v="Low"/>
    <s v="Large"/>
    <s v="April"/>
    <x v="3"/>
  </r>
  <r>
    <d v="2017-04-30T00:00:00"/>
    <x v="8"/>
    <x v="1"/>
    <n v="280550"/>
    <n v="360000"/>
    <x v="0"/>
    <x v="0"/>
    <x v="0"/>
    <n v="1"/>
    <n v="1018"/>
    <n v="1.3882830000000001E-2"/>
    <x v="3"/>
    <n v="79450"/>
    <n v="353.63459999999998"/>
    <x v="0"/>
    <s v="Medium"/>
    <s v="Medium"/>
    <s v="April"/>
    <x v="3"/>
  </r>
  <r>
    <d v="2017-05-01T00:00:00"/>
    <x v="8"/>
    <x v="4"/>
    <n v="506170"/>
    <n v="911000"/>
    <x v="0"/>
    <x v="0"/>
    <x v="0"/>
    <n v="1"/>
    <n v="907"/>
    <n v="1.3882830000000001E-2"/>
    <x v="1"/>
    <n v="404830"/>
    <n v="1004.4101000000001"/>
    <x v="0"/>
    <s v="High"/>
    <s v="Medium"/>
    <s v="May"/>
    <x v="4"/>
  </r>
  <r>
    <d v="2017-05-05T00:00:00"/>
    <x v="8"/>
    <x v="0"/>
    <n v="93420"/>
    <n v="145000"/>
    <x v="0"/>
    <x v="0"/>
    <x v="0"/>
    <n v="3"/>
    <n v="966"/>
    <n v="1.3882830000000001E-2"/>
    <x v="1"/>
    <n v="51580"/>
    <n v="150.1035"/>
    <x v="0"/>
    <s v="Low"/>
    <s v="Medium"/>
    <s v="May"/>
    <x v="4"/>
  </r>
  <r>
    <d v="2017-05-07T00:00:00"/>
    <x v="8"/>
    <x v="5"/>
    <n v="173570"/>
    <n v="245000"/>
    <x v="1"/>
    <x v="1"/>
    <x v="1"/>
    <n v="2"/>
    <n v="1458"/>
    <n v="1.3882830000000001E-2"/>
    <x v="2"/>
    <n v="71430"/>
    <n v="168.0384"/>
    <x v="0"/>
    <s v="Medium"/>
    <s v="Large"/>
    <s v="May"/>
    <x v="4"/>
  </r>
  <r>
    <d v="2017-05-08T00:00:00"/>
    <x v="8"/>
    <x v="3"/>
    <n v="1169840"/>
    <n v="2300000"/>
    <x v="0"/>
    <x v="0"/>
    <x v="0"/>
    <n v="1"/>
    <n v="1111.6589814177564"/>
    <n v="1.3882830000000001E-2"/>
    <x v="1"/>
    <n v="1130160"/>
    <n v="2068.9798000000001"/>
    <x v="0"/>
    <s v="High"/>
    <s v="Medium"/>
    <s v="May"/>
    <x v="4"/>
  </r>
  <r>
    <d v="2017-05-11T00:00:00"/>
    <x v="8"/>
    <x v="0"/>
    <n v="67600"/>
    <n v="44300"/>
    <x v="0"/>
    <x v="0"/>
    <x v="0"/>
    <n v="2"/>
    <n v="1096"/>
    <n v="1.3882830000000001E-2"/>
    <x v="3"/>
    <n v="-23300"/>
    <n v="40.419699999999999"/>
    <x v="1"/>
    <s v="Low"/>
    <s v="Medium"/>
    <s v="May"/>
    <x v="4"/>
  </r>
  <r>
    <d v="2017-05-12T00:00:00"/>
    <x v="8"/>
    <x v="6"/>
    <n v="237020"/>
    <n v="380000"/>
    <x v="0"/>
    <x v="0"/>
    <x v="0"/>
    <n v="3"/>
    <n v="954"/>
    <n v="1.3882830000000001E-2"/>
    <x v="0"/>
    <n v="142980"/>
    <n v="398.3229"/>
    <x v="0"/>
    <s v="Medium"/>
    <s v="Medium"/>
    <s v="May"/>
    <x v="4"/>
  </r>
  <r>
    <d v="2017-05-14T00:00:00"/>
    <x v="8"/>
    <x v="5"/>
    <n v="142910"/>
    <n v="208000"/>
    <x v="0"/>
    <x v="0"/>
    <x v="0"/>
    <n v="2"/>
    <n v="1111.6589814177564"/>
    <n v="1.3882830000000001E-2"/>
    <x v="2"/>
    <n v="65090"/>
    <n v="187.10769999999999"/>
    <x v="0"/>
    <s v="Medium"/>
    <s v="Medium"/>
    <s v="May"/>
    <x v="4"/>
  </r>
  <r>
    <d v="2017-05-15T00:00:00"/>
    <x v="8"/>
    <x v="4"/>
    <n v="444584.20699999999"/>
    <n v="390000"/>
    <x v="0"/>
    <x v="0"/>
    <x v="0"/>
    <n v="1"/>
    <n v="994"/>
    <n v="1.3882830000000001E-2"/>
    <x v="3"/>
    <n v="-54584.207000000002"/>
    <n v="392.35410000000002"/>
    <x v="1"/>
    <s v="Medium"/>
    <s v="Medium"/>
    <s v="May"/>
    <x v="4"/>
  </r>
  <r>
    <d v="2017-05-18T00:00:00"/>
    <x v="8"/>
    <x v="7"/>
    <n v="529760"/>
    <n v="775000"/>
    <x v="0"/>
    <x v="0"/>
    <x v="0"/>
    <n v="2"/>
    <n v="1111.6589814177564"/>
    <n v="1.3882830000000001E-2"/>
    <x v="0"/>
    <n v="245240"/>
    <n v="697.15620000000001"/>
    <x v="0"/>
    <s v="High"/>
    <s v="Medium"/>
    <s v="May"/>
    <x v="4"/>
  </r>
  <r>
    <d v="2017-05-19T00:00:00"/>
    <x v="8"/>
    <x v="3"/>
    <n v="444584.20699999999"/>
    <n v="895000"/>
    <x v="0"/>
    <x v="0"/>
    <x v="0"/>
    <n v="2"/>
    <n v="1111.6589814177564"/>
    <n v="1.3882830000000001E-2"/>
    <x v="1"/>
    <n v="450415.79300000001"/>
    <n v="805.10299999999995"/>
    <x v="0"/>
    <s v="High"/>
    <s v="Medium"/>
    <s v="May"/>
    <x v="4"/>
  </r>
  <r>
    <d v="2017-05-20T00:00:00"/>
    <x v="8"/>
    <x v="0"/>
    <n v="113140"/>
    <n v="170000"/>
    <x v="1"/>
    <x v="1"/>
    <x v="1"/>
    <n v="3"/>
    <n v="1350"/>
    <n v="1.3882830000000001E-2"/>
    <x v="2"/>
    <n v="56860"/>
    <n v="125.9259"/>
    <x v="0"/>
    <s v="Low"/>
    <s v="Large"/>
    <s v="May"/>
    <x v="4"/>
  </r>
  <r>
    <d v="2017-05-21T00:00:00"/>
    <x v="8"/>
    <x v="4"/>
    <n v="339990"/>
    <n v="450000"/>
    <x v="0"/>
    <x v="0"/>
    <x v="0"/>
    <n v="1"/>
    <n v="1023"/>
    <n v="1.3882830000000001E-2"/>
    <x v="2"/>
    <n v="110010"/>
    <n v="439.8827"/>
    <x v="0"/>
    <s v="Medium"/>
    <s v="Medium"/>
    <s v="May"/>
    <x v="4"/>
  </r>
  <r>
    <d v="2017-05-22T00:00:00"/>
    <x v="8"/>
    <x v="7"/>
    <n v="266650"/>
    <n v="470000"/>
    <x v="0"/>
    <x v="0"/>
    <x v="0"/>
    <n v="1"/>
    <n v="915"/>
    <n v="1.3882830000000001E-2"/>
    <x v="3"/>
    <n v="203350"/>
    <n v="513.66120000000001"/>
    <x v="0"/>
    <s v="Medium"/>
    <s v="Medium"/>
    <s v="May"/>
    <x v="4"/>
  </r>
  <r>
    <d v="2017-05-27T00:00:00"/>
    <x v="8"/>
    <x v="2"/>
    <n v="185100"/>
    <n v="205000"/>
    <x v="1"/>
    <x v="1"/>
    <x v="1"/>
    <n v="4"/>
    <n v="1490"/>
    <n v="1.3882830000000001E-2"/>
    <x v="2"/>
    <n v="19900"/>
    <n v="137.5839"/>
    <x v="0"/>
    <s v="Medium"/>
    <s v="Large"/>
    <s v="May"/>
    <x v="4"/>
  </r>
  <r>
    <d v="2017-05-28T00:00:00"/>
    <x v="8"/>
    <x v="3"/>
    <n v="1112020"/>
    <n v="1825000"/>
    <x v="0"/>
    <x v="0"/>
    <x v="0"/>
    <n v="1"/>
    <n v="913"/>
    <n v="1.3882830000000001E-2"/>
    <x v="2"/>
    <n v="712980"/>
    <n v="1998.9047"/>
    <x v="0"/>
    <s v="High"/>
    <s v="Medium"/>
    <s v="May"/>
    <x v="4"/>
  </r>
  <r>
    <d v="2017-05-29T00:00:00"/>
    <x v="8"/>
    <x v="3"/>
    <n v="884240"/>
    <n v="1500000"/>
    <x v="0"/>
    <x v="0"/>
    <x v="0"/>
    <n v="3"/>
    <n v="986"/>
    <n v="1.3882830000000001E-2"/>
    <x v="0"/>
    <n v="615760"/>
    <n v="1521.2982"/>
    <x v="0"/>
    <s v="High"/>
    <s v="Medium"/>
    <s v="May"/>
    <x v="4"/>
  </r>
  <r>
    <d v="2017-06-01T00:00:00"/>
    <x v="8"/>
    <x v="5"/>
    <n v="298860"/>
    <n v="385000"/>
    <x v="0"/>
    <x v="0"/>
    <x v="0"/>
    <n v="3"/>
    <n v="1059"/>
    <n v="1.3882830000000001E-2"/>
    <x v="2"/>
    <n v="86140"/>
    <n v="363.5505"/>
    <x v="0"/>
    <s v="Medium"/>
    <s v="Medium"/>
    <s v="June"/>
    <x v="5"/>
  </r>
  <r>
    <d v="2017-06-02T00:00:00"/>
    <x v="8"/>
    <x v="2"/>
    <n v="149270"/>
    <n v="195000"/>
    <x v="0"/>
    <x v="0"/>
    <x v="0"/>
    <n v="3"/>
    <n v="1071"/>
    <n v="1.3882830000000001E-2"/>
    <x v="0"/>
    <n v="45730"/>
    <n v="182.0728"/>
    <x v="0"/>
    <s v="Low"/>
    <s v="Medium"/>
    <s v="June"/>
    <x v="5"/>
  </r>
  <r>
    <d v="2017-06-04T00:00:00"/>
    <x v="8"/>
    <x v="1"/>
    <n v="343780"/>
    <n v="410000"/>
    <x v="0"/>
    <x v="0"/>
    <x v="0"/>
    <n v="1"/>
    <n v="966"/>
    <n v="1.3882830000000001E-2"/>
    <x v="2"/>
    <n v="66220"/>
    <n v="424.43060000000003"/>
    <x v="0"/>
    <s v="Medium"/>
    <s v="Medium"/>
    <s v="June"/>
    <x v="5"/>
  </r>
  <r>
    <d v="2017-06-05T00:00:00"/>
    <x v="8"/>
    <x v="3"/>
    <n v="370930"/>
    <n v="635000"/>
    <x v="0"/>
    <x v="0"/>
    <x v="0"/>
    <n v="1"/>
    <n v="1082"/>
    <n v="1.3882830000000001E-2"/>
    <x v="3"/>
    <n v="264070"/>
    <n v="586.87620000000004"/>
    <x v="0"/>
    <s v="High"/>
    <s v="Medium"/>
    <s v="June"/>
    <x v="5"/>
  </r>
  <r>
    <d v="2017-06-08T00:00:00"/>
    <x v="8"/>
    <x v="7"/>
    <n v="240700"/>
    <n v="195000"/>
    <x v="0"/>
    <x v="0"/>
    <x v="0"/>
    <n v="2"/>
    <n v="900"/>
    <n v="1.3882830000000001E-2"/>
    <x v="0"/>
    <n v="-45700"/>
    <n v="216.66669999999999"/>
    <x v="1"/>
    <s v="Low"/>
    <s v="Medium"/>
    <s v="June"/>
    <x v="5"/>
  </r>
  <r>
    <d v="2017-06-11T00:00:00"/>
    <x v="8"/>
    <x v="0"/>
    <n v="106780"/>
    <n v="100000"/>
    <x v="0"/>
    <x v="0"/>
    <x v="0"/>
    <n v="3"/>
    <n v="990"/>
    <n v="1.3882830000000001E-2"/>
    <x v="3"/>
    <n v="-6780"/>
    <n v="101.01009999999999"/>
    <x v="1"/>
    <s v="Low"/>
    <s v="Medium"/>
    <s v="June"/>
    <x v="5"/>
  </r>
  <r>
    <d v="2017-06-12T00:00:00"/>
    <x v="8"/>
    <x v="0"/>
    <n v="94220"/>
    <n v="105000"/>
    <x v="0"/>
    <x v="0"/>
    <x v="0"/>
    <n v="1"/>
    <n v="963"/>
    <n v="1.3882830000000001E-2"/>
    <x v="1"/>
    <n v="10780"/>
    <n v="109.0343"/>
    <x v="0"/>
    <s v="Low"/>
    <s v="Medium"/>
    <s v="June"/>
    <x v="5"/>
  </r>
  <r>
    <d v="2017-06-15T00:00:00"/>
    <x v="8"/>
    <x v="2"/>
    <n v="126750"/>
    <n v="137800"/>
    <x v="0"/>
    <x v="0"/>
    <x v="0"/>
    <n v="3"/>
    <n v="1089"/>
    <n v="1.3882830000000001E-2"/>
    <x v="3"/>
    <n v="11050"/>
    <n v="126.5381"/>
    <x v="0"/>
    <s v="Low"/>
    <s v="Medium"/>
    <s v="June"/>
    <x v="5"/>
  </r>
  <r>
    <d v="2017-06-16T00:00:00"/>
    <x v="8"/>
    <x v="1"/>
    <n v="1855050"/>
    <n v="4000000"/>
    <x v="0"/>
    <x v="0"/>
    <x v="0"/>
    <n v="1"/>
    <n v="1111.6589814177564"/>
    <n v="1.3882830000000001E-2"/>
    <x v="2"/>
    <n v="2144950"/>
    <n v="3598.2258000000002"/>
    <x v="0"/>
    <s v="High"/>
    <s v="Medium"/>
    <s v="June"/>
    <x v="5"/>
  </r>
  <r>
    <d v="2017-06-18T00:00:00"/>
    <x v="8"/>
    <x v="3"/>
    <n v="937300"/>
    <n v="3195000"/>
    <x v="0"/>
    <x v="0"/>
    <x v="0"/>
    <n v="1"/>
    <n v="1011"/>
    <n v="1.3882830000000001E-2"/>
    <x v="1"/>
    <n v="2257700"/>
    <n v="3160.2374"/>
    <x v="0"/>
    <s v="High"/>
    <s v="Medium"/>
    <s v="June"/>
    <x v="5"/>
  </r>
  <r>
    <d v="2017-06-19T00:00:00"/>
    <x v="8"/>
    <x v="3"/>
    <n v="860580"/>
    <n v="800000"/>
    <x v="0"/>
    <x v="0"/>
    <x v="0"/>
    <n v="2"/>
    <n v="906"/>
    <n v="1.3882830000000001E-2"/>
    <x v="1"/>
    <n v="-60580"/>
    <n v="883.00220000000002"/>
    <x v="1"/>
    <s v="High"/>
    <s v="Medium"/>
    <s v="June"/>
    <x v="5"/>
  </r>
  <r>
    <d v="2017-06-21T00:00:00"/>
    <x v="8"/>
    <x v="1"/>
    <n v="323100"/>
    <n v="425000"/>
    <x v="0"/>
    <x v="0"/>
    <x v="0"/>
    <n v="1"/>
    <n v="936"/>
    <n v="1.3882830000000001E-2"/>
    <x v="0"/>
    <n v="101900"/>
    <n v="454.0598"/>
    <x v="0"/>
    <s v="Medium"/>
    <s v="Medium"/>
    <s v="June"/>
    <x v="5"/>
  </r>
  <r>
    <d v="2017-06-22T00:00:00"/>
    <x v="8"/>
    <x v="6"/>
    <n v="150710"/>
    <n v="230000"/>
    <x v="0"/>
    <x v="0"/>
    <x v="0"/>
    <n v="3"/>
    <n v="1098"/>
    <n v="1.3882830000000001E-2"/>
    <x v="2"/>
    <n v="79290"/>
    <n v="209.4718"/>
    <x v="0"/>
    <s v="Medium"/>
    <s v="Medium"/>
    <s v="June"/>
    <x v="5"/>
  </r>
  <r>
    <d v="2017-06-23T00:00:00"/>
    <x v="8"/>
    <x v="0"/>
    <n v="75100"/>
    <n v="99900"/>
    <x v="0"/>
    <x v="0"/>
    <x v="0"/>
    <n v="3"/>
    <n v="1029"/>
    <n v="1.3882830000000001E-2"/>
    <x v="1"/>
    <n v="24800"/>
    <n v="97.084500000000006"/>
    <x v="0"/>
    <s v="Low"/>
    <s v="Medium"/>
    <s v="June"/>
    <x v="5"/>
  </r>
  <r>
    <d v="2017-06-26T00:00:00"/>
    <x v="8"/>
    <x v="4"/>
    <n v="444584.20699999999"/>
    <n v="495000"/>
    <x v="0"/>
    <x v="0"/>
    <x v="0"/>
    <n v="3"/>
    <n v="902"/>
    <n v="1.3882830000000001E-2"/>
    <x v="1"/>
    <n v="50415.792999999998"/>
    <n v="548.78049999999996"/>
    <x v="0"/>
    <s v="Medium"/>
    <s v="Medium"/>
    <s v="June"/>
    <x v="5"/>
  </r>
  <r>
    <d v="2017-06-29T00:00:00"/>
    <x v="8"/>
    <x v="1"/>
    <n v="210880"/>
    <n v="320000"/>
    <x v="0"/>
    <x v="0"/>
    <x v="0"/>
    <n v="3"/>
    <n v="1016"/>
    <n v="1.3882830000000001E-2"/>
    <x v="0"/>
    <n v="109120"/>
    <n v="314.9606"/>
    <x v="0"/>
    <s v="Medium"/>
    <s v="Medium"/>
    <s v="June"/>
    <x v="5"/>
  </r>
  <r>
    <d v="2017-07-01T00:00:00"/>
    <x v="8"/>
    <x v="6"/>
    <n v="349790"/>
    <n v="500000"/>
    <x v="0"/>
    <x v="0"/>
    <x v="0"/>
    <n v="1"/>
    <n v="1012"/>
    <n v="1.3882830000000001E-2"/>
    <x v="2"/>
    <n v="150210"/>
    <n v="494.0711"/>
    <x v="0"/>
    <s v="Medium"/>
    <s v="Medium"/>
    <s v="July"/>
    <x v="6"/>
  </r>
  <r>
    <d v="2017-07-06T00:00:00"/>
    <x v="8"/>
    <x v="4"/>
    <n v="212450"/>
    <n v="265000"/>
    <x v="0"/>
    <x v="0"/>
    <x v="0"/>
    <n v="1"/>
    <n v="1009"/>
    <n v="1.3882830000000001E-2"/>
    <x v="1"/>
    <n v="52550"/>
    <n v="262.63630000000001"/>
    <x v="0"/>
    <s v="Medium"/>
    <s v="Medium"/>
    <s v="July"/>
    <x v="6"/>
  </r>
  <r>
    <d v="2017-07-07T00:00:00"/>
    <x v="8"/>
    <x v="2"/>
    <n v="156070"/>
    <n v="175000"/>
    <x v="1"/>
    <x v="1"/>
    <x v="1"/>
    <n v="2"/>
    <n v="1272"/>
    <n v="1.3882830000000001E-2"/>
    <x v="0"/>
    <n v="18930"/>
    <n v="137.57859999999999"/>
    <x v="0"/>
    <s v="Low"/>
    <s v="Medium"/>
    <s v="July"/>
    <x v="6"/>
  </r>
  <r>
    <d v="2017-07-08T00:00:00"/>
    <x v="8"/>
    <x v="2"/>
    <n v="444584.20699999999"/>
    <n v="185000"/>
    <x v="1"/>
    <x v="1"/>
    <x v="1"/>
    <n v="2"/>
    <n v="1285"/>
    <n v="1.3882830000000001E-2"/>
    <x v="2"/>
    <n v="-259584.20699999999"/>
    <n v="143.96889999999999"/>
    <x v="1"/>
    <s v="Low"/>
    <s v="Medium"/>
    <s v="July"/>
    <x v="6"/>
  </r>
  <r>
    <d v="2017-07-09T00:00:00"/>
    <x v="8"/>
    <x v="6"/>
    <n v="216860"/>
    <n v="235000"/>
    <x v="1"/>
    <x v="1"/>
    <x v="1"/>
    <n v="3"/>
    <n v="1463"/>
    <n v="1.3882830000000001E-2"/>
    <x v="1"/>
    <n v="18140"/>
    <n v="160.62880000000001"/>
    <x v="0"/>
    <s v="Medium"/>
    <s v="Large"/>
    <s v="July"/>
    <x v="6"/>
  </r>
  <r>
    <d v="2017-07-10T00:00:00"/>
    <x v="8"/>
    <x v="5"/>
    <n v="514780"/>
    <n v="790000"/>
    <x v="0"/>
    <x v="0"/>
    <x v="0"/>
    <n v="1"/>
    <n v="1034"/>
    <n v="1.3882830000000001E-2"/>
    <x v="0"/>
    <n v="275220"/>
    <n v="764.02319999999997"/>
    <x v="0"/>
    <s v="High"/>
    <s v="Medium"/>
    <s v="July"/>
    <x v="6"/>
  </r>
  <r>
    <d v="2017-07-13T00:00:00"/>
    <x v="8"/>
    <x v="2"/>
    <n v="444584.20699999999"/>
    <n v="71000"/>
    <x v="0"/>
    <x v="0"/>
    <x v="0"/>
    <n v="3"/>
    <n v="959"/>
    <n v="1.3882830000000001E-2"/>
    <x v="2"/>
    <n v="-373584.20699999999"/>
    <n v="74.035499999999999"/>
    <x v="1"/>
    <s v="Low"/>
    <s v="Medium"/>
    <s v="July"/>
    <x v="6"/>
  </r>
  <r>
    <d v="2017-07-14T00:00:00"/>
    <x v="8"/>
    <x v="0"/>
    <n v="86310"/>
    <n v="99500"/>
    <x v="0"/>
    <x v="0"/>
    <x v="0"/>
    <n v="2"/>
    <n v="1111.6589814177564"/>
    <n v="1.3882830000000001E-2"/>
    <x v="2"/>
    <n v="13190"/>
    <n v="89.505899999999997"/>
    <x v="0"/>
    <s v="Low"/>
    <s v="Medium"/>
    <s v="July"/>
    <x v="6"/>
  </r>
  <r>
    <d v="2017-07-15T00:00:00"/>
    <x v="8"/>
    <x v="5"/>
    <n v="260680"/>
    <n v="470000"/>
    <x v="0"/>
    <x v="0"/>
    <x v="0"/>
    <n v="2"/>
    <n v="965"/>
    <n v="1.3882830000000001E-2"/>
    <x v="1"/>
    <n v="209320"/>
    <n v="487.04660000000001"/>
    <x v="0"/>
    <s v="Medium"/>
    <s v="Medium"/>
    <s v="July"/>
    <x v="6"/>
  </r>
  <r>
    <d v="2017-07-16T00:00:00"/>
    <x v="8"/>
    <x v="1"/>
    <n v="405170"/>
    <n v="617000"/>
    <x v="0"/>
    <x v="0"/>
    <x v="0"/>
    <n v="2"/>
    <n v="971"/>
    <n v="1.3882830000000001E-2"/>
    <x v="2"/>
    <n v="211830"/>
    <n v="635.42740000000003"/>
    <x v="0"/>
    <s v="High"/>
    <s v="Medium"/>
    <s v="July"/>
    <x v="6"/>
  </r>
  <r>
    <d v="2017-07-17T00:00:00"/>
    <x v="8"/>
    <x v="0"/>
    <n v="87820"/>
    <n v="115000"/>
    <x v="1"/>
    <x v="1"/>
    <x v="1"/>
    <n v="4"/>
    <n v="1378"/>
    <n v="1.3882830000000001E-2"/>
    <x v="0"/>
    <n v="27180"/>
    <n v="83.454300000000003"/>
    <x v="0"/>
    <s v="Low"/>
    <s v="Large"/>
    <s v="July"/>
    <x v="6"/>
  </r>
  <r>
    <d v="2017-07-20T00:00:00"/>
    <x v="8"/>
    <x v="7"/>
    <n v="247100"/>
    <n v="429000"/>
    <x v="0"/>
    <x v="0"/>
    <x v="0"/>
    <n v="2"/>
    <n v="1059"/>
    <n v="1.3882830000000001E-2"/>
    <x v="0"/>
    <n v="181900"/>
    <n v="405.0992"/>
    <x v="0"/>
    <s v="Medium"/>
    <s v="Medium"/>
    <s v="July"/>
    <x v="6"/>
  </r>
  <r>
    <d v="2017-07-21T00:00:00"/>
    <x v="8"/>
    <x v="7"/>
    <n v="250760"/>
    <n v="500000"/>
    <x v="0"/>
    <x v="0"/>
    <x v="0"/>
    <n v="1"/>
    <n v="939"/>
    <n v="1.3882830000000001E-2"/>
    <x v="1"/>
    <n v="249240"/>
    <n v="532.48140000000001"/>
    <x v="0"/>
    <s v="Medium"/>
    <s v="Medium"/>
    <s v="July"/>
    <x v="6"/>
  </r>
  <r>
    <d v="2017-07-22T00:00:00"/>
    <x v="8"/>
    <x v="1"/>
    <n v="285220"/>
    <n v="480000"/>
    <x v="0"/>
    <x v="0"/>
    <x v="0"/>
    <n v="1"/>
    <n v="1111.6589814177564"/>
    <n v="1.3882830000000001E-2"/>
    <x v="2"/>
    <n v="194780"/>
    <n v="431.78710000000001"/>
    <x v="0"/>
    <s v="Medium"/>
    <s v="Medium"/>
    <s v="July"/>
    <x v="6"/>
  </r>
  <r>
    <d v="2017-07-23T00:00:00"/>
    <x v="8"/>
    <x v="2"/>
    <n v="91140"/>
    <n v="35000"/>
    <x v="0"/>
    <x v="0"/>
    <x v="0"/>
    <n v="1"/>
    <n v="1018"/>
    <n v="1.3882830000000001E-2"/>
    <x v="1"/>
    <n v="-56140"/>
    <n v="34.381100000000004"/>
    <x v="1"/>
    <s v="Low"/>
    <s v="Medium"/>
    <s v="July"/>
    <x v="6"/>
  </r>
  <r>
    <d v="2017-07-24T00:00:00"/>
    <x v="8"/>
    <x v="4"/>
    <n v="331450"/>
    <n v="483500"/>
    <x v="0"/>
    <x v="0"/>
    <x v="0"/>
    <n v="3"/>
    <n v="914"/>
    <n v="1.3882830000000001E-2"/>
    <x v="2"/>
    <n v="152050"/>
    <n v="528.99339999999995"/>
    <x v="0"/>
    <s v="Medium"/>
    <s v="Medium"/>
    <s v="July"/>
    <x v="6"/>
  </r>
  <r>
    <d v="2017-07-27T00:00:00"/>
    <x v="8"/>
    <x v="2"/>
    <n v="128740"/>
    <n v="85000"/>
    <x v="0"/>
    <x v="0"/>
    <x v="0"/>
    <n v="1"/>
    <n v="1086"/>
    <n v="1.3882830000000001E-2"/>
    <x v="3"/>
    <n v="-43740"/>
    <n v="78.268900000000002"/>
    <x v="1"/>
    <s v="Low"/>
    <s v="Medium"/>
    <s v="July"/>
    <x v="6"/>
  </r>
  <r>
    <d v="2017-07-28T00:00:00"/>
    <x v="8"/>
    <x v="0"/>
    <n v="444584.20699999999"/>
    <n v="161000"/>
    <x v="0"/>
    <x v="0"/>
    <x v="0"/>
    <n v="2"/>
    <n v="1054"/>
    <n v="1.3882830000000001E-2"/>
    <x v="3"/>
    <n v="-283584.20699999999"/>
    <n v="152.75139999999999"/>
    <x v="1"/>
    <s v="Low"/>
    <s v="Medium"/>
    <s v="July"/>
    <x v="6"/>
  </r>
  <r>
    <d v="2017-07-29T00:00:00"/>
    <x v="8"/>
    <x v="5"/>
    <n v="278670"/>
    <n v="329900"/>
    <x v="0"/>
    <x v="0"/>
    <x v="0"/>
    <n v="1"/>
    <n v="1093"/>
    <n v="1.3882830000000001E-2"/>
    <x v="2"/>
    <n v="51230"/>
    <n v="301.82979999999998"/>
    <x v="0"/>
    <s v="Medium"/>
    <s v="Medium"/>
    <s v="July"/>
    <x v="6"/>
  </r>
  <r>
    <d v="2017-07-30T00:00:00"/>
    <x v="8"/>
    <x v="2"/>
    <n v="122650"/>
    <n v="82000"/>
    <x v="0"/>
    <x v="0"/>
    <x v="0"/>
    <n v="3"/>
    <n v="902"/>
    <n v="1.3882830000000001E-2"/>
    <x v="1"/>
    <n v="-40650"/>
    <n v="90.909099999999995"/>
    <x v="1"/>
    <s v="Low"/>
    <s v="Medium"/>
    <s v="July"/>
    <x v="6"/>
  </r>
  <r>
    <d v="2017-07-31T00:00:00"/>
    <x v="8"/>
    <x v="7"/>
    <n v="329270"/>
    <n v="430000"/>
    <x v="0"/>
    <x v="0"/>
    <x v="0"/>
    <n v="2"/>
    <n v="964"/>
    <n v="1.3882830000000001E-2"/>
    <x v="3"/>
    <n v="100730"/>
    <n v="446.05810000000002"/>
    <x v="0"/>
    <s v="Medium"/>
    <s v="Medium"/>
    <s v="July"/>
    <x v="6"/>
  </r>
  <r>
    <d v="2017-08-04T00:00:00"/>
    <x v="8"/>
    <x v="1"/>
    <n v="444584.20699999999"/>
    <n v="704000"/>
    <x v="0"/>
    <x v="0"/>
    <x v="0"/>
    <n v="3"/>
    <n v="1089"/>
    <n v="1.3882830000000001E-2"/>
    <x v="2"/>
    <n v="259415.79300000001"/>
    <n v="646.46460000000002"/>
    <x v="0"/>
    <s v="High"/>
    <s v="Medium"/>
    <s v="August"/>
    <x v="7"/>
  </r>
  <r>
    <d v="2017-08-05T00:00:00"/>
    <x v="8"/>
    <x v="4"/>
    <n v="1193640"/>
    <n v="2125000"/>
    <x v="0"/>
    <x v="0"/>
    <x v="0"/>
    <n v="3"/>
    <n v="944"/>
    <n v="1.3882830000000001E-2"/>
    <x v="3"/>
    <n v="931360"/>
    <n v="2251.0592999999999"/>
    <x v="0"/>
    <s v="High"/>
    <s v="Medium"/>
    <s v="August"/>
    <x v="7"/>
  </r>
  <r>
    <d v="2017-08-06T00:00:00"/>
    <x v="8"/>
    <x v="5"/>
    <n v="820440"/>
    <n v="850000"/>
    <x v="0"/>
    <x v="0"/>
    <x v="0"/>
    <n v="1"/>
    <n v="947"/>
    <n v="1.3882830000000001E-2"/>
    <x v="1"/>
    <n v="29560"/>
    <n v="897.57129999999995"/>
    <x v="0"/>
    <s v="High"/>
    <s v="Medium"/>
    <s v="August"/>
    <x v="7"/>
  </r>
  <r>
    <d v="2017-08-07T00:00:00"/>
    <x v="8"/>
    <x v="1"/>
    <n v="282620"/>
    <n v="368000"/>
    <x v="0"/>
    <x v="0"/>
    <x v="0"/>
    <n v="2"/>
    <n v="993"/>
    <n v="1.3882830000000001E-2"/>
    <x v="0"/>
    <n v="85380"/>
    <n v="370.5942"/>
    <x v="0"/>
    <s v="Medium"/>
    <s v="Medium"/>
    <s v="August"/>
    <x v="7"/>
  </r>
  <r>
    <d v="2017-08-10T00:00:00"/>
    <x v="8"/>
    <x v="2"/>
    <n v="185890"/>
    <n v="160000"/>
    <x v="2"/>
    <x v="2"/>
    <x v="2"/>
    <n v="4"/>
    <n v="2007"/>
    <n v="1.3882830000000001E-2"/>
    <x v="1"/>
    <n v="-25890"/>
    <n v="79.721000000000004"/>
    <x v="1"/>
    <s v="Low"/>
    <s v="Large"/>
    <s v="August"/>
    <x v="7"/>
  </r>
  <r>
    <d v="2017-08-12T00:00:00"/>
    <x v="8"/>
    <x v="2"/>
    <n v="444584.20699999999"/>
    <n v="34000"/>
    <x v="1"/>
    <x v="1"/>
    <x v="1"/>
    <n v="2"/>
    <n v="1214"/>
    <n v="1.3882830000000001E-2"/>
    <x v="3"/>
    <n v="-410584.20699999999"/>
    <n v="28.006599999999999"/>
    <x v="1"/>
    <s v="Low"/>
    <s v="Medium"/>
    <s v="August"/>
    <x v="7"/>
  </r>
  <r>
    <d v="2017-08-14T00:00:00"/>
    <x v="8"/>
    <x v="1"/>
    <n v="209230"/>
    <n v="321000"/>
    <x v="1"/>
    <x v="1"/>
    <x v="1"/>
    <n v="2"/>
    <n v="1321"/>
    <n v="1.3882830000000001E-2"/>
    <x v="1"/>
    <n v="111770"/>
    <n v="242.99770000000001"/>
    <x v="0"/>
    <s v="Medium"/>
    <s v="Large"/>
    <s v="August"/>
    <x v="7"/>
  </r>
  <r>
    <d v="2017-08-18T00:00:00"/>
    <x v="8"/>
    <x v="5"/>
    <n v="101290"/>
    <n v="158000"/>
    <x v="0"/>
    <x v="0"/>
    <x v="0"/>
    <n v="1"/>
    <n v="1111.6589814177564"/>
    <n v="1.3882830000000001E-2"/>
    <x v="0"/>
    <n v="56710"/>
    <n v="142.12989999999999"/>
    <x v="0"/>
    <s v="Low"/>
    <s v="Medium"/>
    <s v="August"/>
    <x v="7"/>
  </r>
  <r>
    <d v="2017-08-19T00:00:00"/>
    <x v="8"/>
    <x v="4"/>
    <n v="486290"/>
    <n v="850000"/>
    <x v="0"/>
    <x v="0"/>
    <x v="0"/>
    <n v="2"/>
    <n v="1099"/>
    <n v="1.3882830000000001E-2"/>
    <x v="2"/>
    <n v="363710"/>
    <n v="773.43039999999996"/>
    <x v="0"/>
    <s v="High"/>
    <s v="Medium"/>
    <s v="August"/>
    <x v="7"/>
  </r>
  <r>
    <d v="2017-08-20T00:00:00"/>
    <x v="8"/>
    <x v="7"/>
    <n v="625420"/>
    <n v="1050000"/>
    <x v="0"/>
    <x v="0"/>
    <x v="0"/>
    <n v="2"/>
    <n v="1055"/>
    <n v="1.3882830000000001E-2"/>
    <x v="1"/>
    <n v="424580"/>
    <n v="995.26070000000004"/>
    <x v="0"/>
    <s v="High"/>
    <s v="Medium"/>
    <s v="August"/>
    <x v="7"/>
  </r>
  <r>
    <d v="2017-08-21T00:00:00"/>
    <x v="8"/>
    <x v="7"/>
    <n v="603530"/>
    <n v="1000000"/>
    <x v="0"/>
    <x v="0"/>
    <x v="0"/>
    <n v="2"/>
    <n v="988"/>
    <n v="1.3882830000000001E-2"/>
    <x v="3"/>
    <n v="396470"/>
    <n v="1012.1457"/>
    <x v="0"/>
    <s v="High"/>
    <s v="Medium"/>
    <s v="August"/>
    <x v="7"/>
  </r>
  <r>
    <d v="2017-08-24T00:00:00"/>
    <x v="8"/>
    <x v="0"/>
    <n v="72170"/>
    <n v="120000"/>
    <x v="0"/>
    <x v="0"/>
    <x v="0"/>
    <n v="2"/>
    <n v="1064"/>
    <n v="1.3882830000000001E-2"/>
    <x v="2"/>
    <n v="47830"/>
    <n v="112.782"/>
    <x v="0"/>
    <s v="Low"/>
    <s v="Medium"/>
    <s v="August"/>
    <x v="7"/>
  </r>
  <r>
    <d v="2017-08-25T00:00:00"/>
    <x v="8"/>
    <x v="7"/>
    <n v="223530"/>
    <n v="413000"/>
    <x v="0"/>
    <x v="0"/>
    <x v="0"/>
    <n v="3"/>
    <n v="1100"/>
    <n v="1.3882830000000001E-2"/>
    <x v="1"/>
    <n v="189470"/>
    <n v="375.4545"/>
    <x v="0"/>
    <s v="Medium"/>
    <s v="Medium"/>
    <s v="August"/>
    <x v="7"/>
  </r>
  <r>
    <d v="2017-08-26T00:00:00"/>
    <x v="8"/>
    <x v="6"/>
    <n v="125300"/>
    <n v="150000"/>
    <x v="0"/>
    <x v="0"/>
    <x v="0"/>
    <n v="3"/>
    <n v="1016"/>
    <n v="1.3882830000000001E-2"/>
    <x v="1"/>
    <n v="24700"/>
    <n v="147.6378"/>
    <x v="0"/>
    <s v="Low"/>
    <s v="Medium"/>
    <s v="August"/>
    <x v="7"/>
  </r>
  <r>
    <d v="2017-08-27T00:00:00"/>
    <x v="8"/>
    <x v="0"/>
    <n v="64500"/>
    <n v="30000"/>
    <x v="0"/>
    <x v="0"/>
    <x v="0"/>
    <n v="3"/>
    <n v="1111.6589814177564"/>
    <n v="1.3882830000000001E-2"/>
    <x v="0"/>
    <n v="-34500"/>
    <n v="26.986699999999999"/>
    <x v="1"/>
    <s v="Low"/>
    <s v="Medium"/>
    <s v="August"/>
    <x v="7"/>
  </r>
  <r>
    <d v="2017-08-28T00:00:00"/>
    <x v="8"/>
    <x v="4"/>
    <n v="3712730"/>
    <n v="6100000"/>
    <x v="0"/>
    <x v="0"/>
    <x v="0"/>
    <n v="1"/>
    <n v="907"/>
    <n v="1.3882830000000001E-2"/>
    <x v="2"/>
    <n v="2387270"/>
    <n v="6725.4686000000002"/>
    <x v="0"/>
    <s v="High"/>
    <s v="Medium"/>
    <s v="August"/>
    <x v="7"/>
  </r>
  <r>
    <d v="2017-08-31T00:00:00"/>
    <x v="8"/>
    <x v="7"/>
    <n v="444584.20699999999"/>
    <n v="225000"/>
    <x v="1"/>
    <x v="1"/>
    <x v="1"/>
    <n v="3"/>
    <n v="1402"/>
    <n v="1.3882830000000001E-2"/>
    <x v="2"/>
    <n v="-219584.20699999999"/>
    <n v="160.48500000000001"/>
    <x v="1"/>
    <s v="Medium"/>
    <s v="Large"/>
    <s v="August"/>
    <x v="7"/>
  </r>
  <r>
    <d v="2017-09-01T00:00:00"/>
    <x v="8"/>
    <x v="7"/>
    <n v="318740"/>
    <n v="545900"/>
    <x v="0"/>
    <x v="0"/>
    <x v="0"/>
    <n v="2"/>
    <n v="1053"/>
    <n v="1.3882830000000001E-2"/>
    <x v="1"/>
    <n v="227160"/>
    <n v="518.42359999999996"/>
    <x v="0"/>
    <s v="Medium"/>
    <s v="Medium"/>
    <s v="September"/>
    <x v="8"/>
  </r>
  <r>
    <d v="2017-09-02T00:00:00"/>
    <x v="8"/>
    <x v="3"/>
    <n v="444584.20699999999"/>
    <n v="1950000"/>
    <x v="0"/>
    <x v="0"/>
    <x v="0"/>
    <n v="1"/>
    <n v="1067"/>
    <n v="1.3882830000000001E-2"/>
    <x v="0"/>
    <n v="1505415.7930000001"/>
    <n v="1827.5539000000001"/>
    <x v="0"/>
    <s v="High"/>
    <s v="Medium"/>
    <s v="September"/>
    <x v="8"/>
  </r>
  <r>
    <d v="2017-09-03T00:00:00"/>
    <x v="8"/>
    <x v="0"/>
    <n v="73050"/>
    <n v="35000"/>
    <x v="0"/>
    <x v="0"/>
    <x v="0"/>
    <n v="3"/>
    <n v="1111.6589814177564"/>
    <n v="1.3882830000000001E-2"/>
    <x v="0"/>
    <n v="-38050"/>
    <n v="31.484500000000001"/>
    <x v="1"/>
    <s v="Low"/>
    <s v="Medium"/>
    <s v="September"/>
    <x v="8"/>
  </r>
  <r>
    <d v="2017-09-09T00:00:00"/>
    <x v="8"/>
    <x v="0"/>
    <n v="61510"/>
    <n v="76500"/>
    <x v="0"/>
    <x v="0"/>
    <x v="0"/>
    <n v="2"/>
    <n v="916"/>
    <n v="1.3882830000000001E-2"/>
    <x v="3"/>
    <n v="14990"/>
    <n v="83.515299999999996"/>
    <x v="0"/>
    <s v="Low"/>
    <s v="Medium"/>
    <s v="September"/>
    <x v="8"/>
  </r>
  <r>
    <d v="2017-09-10T00:00:00"/>
    <x v="8"/>
    <x v="4"/>
    <n v="292530"/>
    <n v="625000"/>
    <x v="0"/>
    <x v="0"/>
    <x v="0"/>
    <n v="3"/>
    <n v="961"/>
    <n v="1.3882830000000001E-2"/>
    <x v="3"/>
    <n v="332470"/>
    <n v="650.36419999999998"/>
    <x v="0"/>
    <s v="High"/>
    <s v="Medium"/>
    <s v="September"/>
    <x v="8"/>
  </r>
  <r>
    <d v="2017-09-11T00:00:00"/>
    <x v="8"/>
    <x v="3"/>
    <n v="444584.20699999999"/>
    <n v="1375000"/>
    <x v="0"/>
    <x v="0"/>
    <x v="0"/>
    <n v="3"/>
    <n v="972"/>
    <n v="1.3882830000000001E-2"/>
    <x v="1"/>
    <n v="930415.79299999995"/>
    <n v="1414.6090999999999"/>
    <x v="0"/>
    <s v="High"/>
    <s v="Medium"/>
    <s v="September"/>
    <x v="8"/>
  </r>
  <r>
    <d v="2017-09-15T00:00:00"/>
    <x v="8"/>
    <x v="5"/>
    <n v="495040"/>
    <n v="855000"/>
    <x v="0"/>
    <x v="0"/>
    <x v="0"/>
    <n v="3"/>
    <n v="1030"/>
    <n v="1.3882830000000001E-2"/>
    <x v="0"/>
    <n v="359960"/>
    <n v="830.09709999999995"/>
    <x v="0"/>
    <s v="High"/>
    <s v="Medium"/>
    <s v="September"/>
    <x v="8"/>
  </r>
  <r>
    <d v="2017-09-16T00:00:00"/>
    <x v="8"/>
    <x v="1"/>
    <n v="189350"/>
    <n v="320000"/>
    <x v="1"/>
    <x v="1"/>
    <x v="1"/>
    <n v="4"/>
    <n v="1414"/>
    <n v="1.3882830000000001E-2"/>
    <x v="0"/>
    <n v="130650"/>
    <n v="226.3083"/>
    <x v="0"/>
    <s v="Medium"/>
    <s v="Large"/>
    <s v="September"/>
    <x v="8"/>
  </r>
  <r>
    <d v="2017-09-17T00:00:00"/>
    <x v="8"/>
    <x v="2"/>
    <n v="203340"/>
    <n v="251500"/>
    <x v="0"/>
    <x v="0"/>
    <x v="0"/>
    <n v="1"/>
    <n v="1022"/>
    <n v="1.3882830000000001E-2"/>
    <x v="2"/>
    <n v="48160"/>
    <n v="246.08609999999999"/>
    <x v="0"/>
    <s v="Medium"/>
    <s v="Medium"/>
    <s v="September"/>
    <x v="8"/>
  </r>
  <r>
    <d v="2017-09-18T00:00:00"/>
    <x v="8"/>
    <x v="7"/>
    <n v="369510"/>
    <n v="400000"/>
    <x v="0"/>
    <x v="0"/>
    <x v="0"/>
    <n v="2"/>
    <n v="960"/>
    <n v="1.3882830000000001E-2"/>
    <x v="1"/>
    <n v="30490"/>
    <n v="416.66669999999999"/>
    <x v="0"/>
    <s v="Medium"/>
    <s v="Medium"/>
    <s v="September"/>
    <x v="8"/>
  </r>
  <r>
    <d v="2017-09-22T00:00:00"/>
    <x v="8"/>
    <x v="1"/>
    <n v="444584.20699999999"/>
    <n v="347500"/>
    <x v="0"/>
    <x v="0"/>
    <x v="0"/>
    <n v="1"/>
    <n v="942"/>
    <n v="1.3882830000000001E-2"/>
    <x v="1"/>
    <n v="-97084.206999999995"/>
    <n v="368.89600000000002"/>
    <x v="1"/>
    <s v="Medium"/>
    <s v="Medium"/>
    <s v="September"/>
    <x v="8"/>
  </r>
  <r>
    <d v="2017-09-23T00:00:00"/>
    <x v="8"/>
    <x v="4"/>
    <n v="372470"/>
    <n v="485000"/>
    <x v="0"/>
    <x v="0"/>
    <x v="0"/>
    <n v="2"/>
    <n v="1026"/>
    <n v="1.3882830000000001E-2"/>
    <x v="1"/>
    <n v="112530"/>
    <n v="472.70960000000002"/>
    <x v="0"/>
    <s v="Medium"/>
    <s v="Medium"/>
    <s v="September"/>
    <x v="8"/>
  </r>
  <r>
    <d v="2017-09-24T00:00:00"/>
    <x v="8"/>
    <x v="0"/>
    <n v="107510"/>
    <n v="70000"/>
    <x v="1"/>
    <x v="1"/>
    <x v="1"/>
    <n v="2"/>
    <n v="1437"/>
    <n v="1.3882830000000001E-2"/>
    <x v="3"/>
    <n v="-37510"/>
    <n v="48.712600000000002"/>
    <x v="1"/>
    <s v="Low"/>
    <s v="Large"/>
    <s v="September"/>
    <x v="8"/>
  </r>
  <r>
    <d v="2017-09-28T00:00:00"/>
    <x v="8"/>
    <x v="2"/>
    <n v="444584.20699999999"/>
    <n v="38000"/>
    <x v="0"/>
    <x v="0"/>
    <x v="0"/>
    <n v="3"/>
    <n v="1058"/>
    <n v="1.3882830000000001E-2"/>
    <x v="2"/>
    <n v="-406584.20699999999"/>
    <n v="35.916800000000002"/>
    <x v="1"/>
    <s v="Low"/>
    <s v="Medium"/>
    <s v="September"/>
    <x v="8"/>
  </r>
  <r>
    <d v="2017-09-29T00:00:00"/>
    <x v="8"/>
    <x v="0"/>
    <n v="80190"/>
    <n v="40100"/>
    <x v="0"/>
    <x v="0"/>
    <x v="0"/>
    <n v="2"/>
    <n v="937"/>
    <n v="1.3882830000000001E-2"/>
    <x v="1"/>
    <n v="-40090"/>
    <n v="42.796199999999999"/>
    <x v="1"/>
    <s v="Low"/>
    <s v="Medium"/>
    <s v="September"/>
    <x v="8"/>
  </r>
  <r>
    <d v="2017-09-30T00:00:00"/>
    <x v="8"/>
    <x v="3"/>
    <n v="4248370"/>
    <n v="9750000"/>
    <x v="0"/>
    <x v="0"/>
    <x v="0"/>
    <n v="3"/>
    <n v="942"/>
    <n v="1.3882830000000001E-2"/>
    <x v="1"/>
    <n v="5501630"/>
    <n v="10350.318499999999"/>
    <x v="0"/>
    <s v="High"/>
    <s v="Medium"/>
    <s v="September"/>
    <x v="8"/>
  </r>
  <r>
    <d v="2017-10-01T00:00:00"/>
    <x v="8"/>
    <x v="0"/>
    <n v="444584.20699999999"/>
    <n v="39000"/>
    <x v="0"/>
    <x v="0"/>
    <x v="0"/>
    <n v="3"/>
    <n v="1035"/>
    <n v="1.3882830000000001E-2"/>
    <x v="3"/>
    <n v="-405584.20699999999"/>
    <n v="37.681199999999997"/>
    <x v="1"/>
    <s v="Low"/>
    <s v="Medium"/>
    <s v="October"/>
    <x v="9"/>
  </r>
  <r>
    <d v="2017-10-05T00:00:00"/>
    <x v="8"/>
    <x v="0"/>
    <n v="65100"/>
    <n v="92000"/>
    <x v="0"/>
    <x v="0"/>
    <x v="0"/>
    <n v="1"/>
    <n v="903"/>
    <n v="1.3882830000000001E-2"/>
    <x v="3"/>
    <n v="26900"/>
    <n v="101.8826"/>
    <x v="0"/>
    <s v="Low"/>
    <s v="Medium"/>
    <s v="October"/>
    <x v="9"/>
  </r>
  <r>
    <d v="2017-10-07T00:00:00"/>
    <x v="8"/>
    <x v="6"/>
    <n v="152810"/>
    <n v="235000"/>
    <x v="1"/>
    <x v="1"/>
    <x v="1"/>
    <n v="4"/>
    <n v="1445"/>
    <n v="1.3882830000000001E-2"/>
    <x v="0"/>
    <n v="82190"/>
    <n v="162.62979999999999"/>
    <x v="0"/>
    <s v="Medium"/>
    <s v="Large"/>
    <s v="October"/>
    <x v="9"/>
  </r>
  <r>
    <d v="2017-10-13T00:00:00"/>
    <x v="8"/>
    <x v="6"/>
    <n v="350840"/>
    <n v="360000"/>
    <x v="0"/>
    <x v="0"/>
    <x v="0"/>
    <n v="3"/>
    <n v="1111.6589814177564"/>
    <n v="1.3882830000000001E-2"/>
    <x v="0"/>
    <n v="9160"/>
    <n v="323.84030000000001"/>
    <x v="0"/>
    <s v="Medium"/>
    <s v="Medium"/>
    <s v="October"/>
    <x v="9"/>
  </r>
  <r>
    <d v="2017-10-14T00:00:00"/>
    <x v="8"/>
    <x v="5"/>
    <n v="1758280"/>
    <n v="1904388"/>
    <x v="0"/>
    <x v="0"/>
    <x v="0"/>
    <n v="1"/>
    <n v="955"/>
    <n v="1.3882830000000001E-2"/>
    <x v="2"/>
    <n v="146108"/>
    <n v="1994.1235999999999"/>
    <x v="0"/>
    <s v="High"/>
    <s v="Medium"/>
    <s v="October"/>
    <x v="9"/>
  </r>
  <r>
    <d v="2017-10-16T00:00:00"/>
    <x v="8"/>
    <x v="0"/>
    <n v="83860"/>
    <n v="47250"/>
    <x v="0"/>
    <x v="0"/>
    <x v="0"/>
    <n v="3"/>
    <n v="1082"/>
    <n v="1.3882830000000001E-2"/>
    <x v="2"/>
    <n v="-36610"/>
    <n v="43.6691"/>
    <x v="1"/>
    <s v="Low"/>
    <s v="Medium"/>
    <s v="October"/>
    <x v="9"/>
  </r>
  <r>
    <d v="2017-10-20T00:00:00"/>
    <x v="8"/>
    <x v="7"/>
    <n v="342160"/>
    <n v="542500"/>
    <x v="0"/>
    <x v="0"/>
    <x v="0"/>
    <n v="3"/>
    <n v="1111.6589814177564"/>
    <n v="1.3882830000000001E-2"/>
    <x v="1"/>
    <n v="200340"/>
    <n v="488.00940000000003"/>
    <x v="0"/>
    <s v="Medium"/>
    <s v="Medium"/>
    <s v="October"/>
    <x v="9"/>
  </r>
  <r>
    <d v="2017-10-21T00:00:00"/>
    <x v="8"/>
    <x v="0"/>
    <n v="52600"/>
    <n v="35000"/>
    <x v="2"/>
    <x v="2"/>
    <x v="2"/>
    <n v="6"/>
    <n v="1874"/>
    <n v="1.3882830000000001E-2"/>
    <x v="1"/>
    <n v="-17600"/>
    <n v="18.676600000000001"/>
    <x v="1"/>
    <s v="Low"/>
    <s v="Large"/>
    <s v="October"/>
    <x v="9"/>
  </r>
  <r>
    <d v="2017-10-23T00:00:00"/>
    <x v="8"/>
    <x v="7"/>
    <n v="429510"/>
    <n v="400000"/>
    <x v="0"/>
    <x v="0"/>
    <x v="0"/>
    <n v="2"/>
    <n v="1079"/>
    <n v="1.3882830000000001E-2"/>
    <x v="1"/>
    <n v="-29510"/>
    <n v="370.71359999999999"/>
    <x v="1"/>
    <s v="Medium"/>
    <s v="Medium"/>
    <s v="October"/>
    <x v="9"/>
  </r>
  <r>
    <d v="2017-10-26T00:00:00"/>
    <x v="8"/>
    <x v="0"/>
    <n v="73820"/>
    <n v="48600"/>
    <x v="0"/>
    <x v="0"/>
    <x v="0"/>
    <n v="3"/>
    <n v="1070"/>
    <n v="1.3882830000000001E-2"/>
    <x v="2"/>
    <n v="-25220"/>
    <n v="45.4206"/>
    <x v="1"/>
    <s v="Low"/>
    <s v="Medium"/>
    <s v="October"/>
    <x v="9"/>
  </r>
  <r>
    <d v="2017-10-28T00:00:00"/>
    <x v="8"/>
    <x v="0"/>
    <n v="110930"/>
    <n v="150000"/>
    <x v="0"/>
    <x v="0"/>
    <x v="0"/>
    <n v="1"/>
    <n v="1060"/>
    <n v="1.3882830000000001E-2"/>
    <x v="3"/>
    <n v="39070"/>
    <n v="141.5094"/>
    <x v="0"/>
    <s v="Low"/>
    <s v="Medium"/>
    <s v="October"/>
    <x v="9"/>
  </r>
  <r>
    <d v="2017-10-29T00:00:00"/>
    <x v="8"/>
    <x v="7"/>
    <n v="241150"/>
    <n v="365000"/>
    <x v="0"/>
    <x v="0"/>
    <x v="0"/>
    <n v="2"/>
    <n v="921"/>
    <n v="1.3882830000000001E-2"/>
    <x v="0"/>
    <n v="123850"/>
    <n v="396.30840000000001"/>
    <x v="0"/>
    <s v="Medium"/>
    <s v="Medium"/>
    <s v="October"/>
    <x v="9"/>
  </r>
  <r>
    <d v="2017-10-30T00:00:00"/>
    <x v="8"/>
    <x v="5"/>
    <n v="97070"/>
    <n v="72500"/>
    <x v="0"/>
    <x v="0"/>
    <x v="0"/>
    <n v="3"/>
    <n v="962"/>
    <n v="1.3882830000000001E-2"/>
    <x v="0"/>
    <n v="-24570"/>
    <n v="75.363799999999998"/>
    <x v="1"/>
    <s v="Low"/>
    <s v="Medium"/>
    <s v="October"/>
    <x v="9"/>
  </r>
  <r>
    <d v="2017-11-02T00:00:00"/>
    <x v="8"/>
    <x v="1"/>
    <n v="220070"/>
    <n v="475000"/>
    <x v="3"/>
    <x v="3"/>
    <x v="3"/>
    <n v="8"/>
    <n v="2853"/>
    <n v="1.3882830000000001E-2"/>
    <x v="3"/>
    <n v="254930"/>
    <n v="166.4914"/>
    <x v="0"/>
    <s v="Medium"/>
    <s v="Large"/>
    <s v="November"/>
    <x v="10"/>
  </r>
  <r>
    <d v="2017-11-03T00:00:00"/>
    <x v="8"/>
    <x v="6"/>
    <n v="186550"/>
    <n v="198000"/>
    <x v="0"/>
    <x v="0"/>
    <x v="0"/>
    <n v="1"/>
    <n v="1046"/>
    <n v="1.3882830000000001E-2"/>
    <x v="2"/>
    <n v="11450"/>
    <n v="189.29249999999999"/>
    <x v="0"/>
    <s v="Low"/>
    <s v="Medium"/>
    <s v="November"/>
    <x v="10"/>
  </r>
  <r>
    <d v="2017-11-05T00:00:00"/>
    <x v="8"/>
    <x v="1"/>
    <n v="168960"/>
    <n v="125000"/>
    <x v="0"/>
    <x v="0"/>
    <x v="0"/>
    <n v="1"/>
    <n v="1062"/>
    <n v="1.3882830000000001E-2"/>
    <x v="2"/>
    <n v="-43960"/>
    <n v="117.7024"/>
    <x v="1"/>
    <s v="Low"/>
    <s v="Medium"/>
    <s v="November"/>
    <x v="10"/>
  </r>
  <r>
    <d v="2017-11-06T00:00:00"/>
    <x v="8"/>
    <x v="1"/>
    <n v="226150"/>
    <n v="405000"/>
    <x v="0"/>
    <x v="0"/>
    <x v="0"/>
    <n v="1"/>
    <n v="991"/>
    <n v="1.3882830000000001E-2"/>
    <x v="3"/>
    <n v="178850"/>
    <n v="408.67809999999997"/>
    <x v="0"/>
    <s v="Medium"/>
    <s v="Medium"/>
    <s v="November"/>
    <x v="10"/>
  </r>
  <r>
    <d v="2017-11-09T00:00:00"/>
    <x v="8"/>
    <x v="6"/>
    <n v="444584.20699999999"/>
    <n v="155000"/>
    <x v="0"/>
    <x v="0"/>
    <x v="0"/>
    <n v="1"/>
    <n v="1001"/>
    <n v="1.3882830000000001E-2"/>
    <x v="0"/>
    <n v="-289584.20699999999"/>
    <n v="154.84520000000001"/>
    <x v="1"/>
    <s v="Low"/>
    <s v="Medium"/>
    <s v="November"/>
    <x v="10"/>
  </r>
  <r>
    <d v="2017-11-10T00:00:00"/>
    <x v="8"/>
    <x v="0"/>
    <n v="72020"/>
    <n v="35600"/>
    <x v="0"/>
    <x v="0"/>
    <x v="0"/>
    <n v="1"/>
    <n v="1111.6589814177564"/>
    <n v="1.3882830000000001E-2"/>
    <x v="3"/>
    <n v="-36420"/>
    <n v="32.0242"/>
    <x v="1"/>
    <s v="Low"/>
    <s v="Medium"/>
    <s v="November"/>
    <x v="10"/>
  </r>
  <r>
    <d v="2017-11-12T00:00:00"/>
    <x v="8"/>
    <x v="1"/>
    <n v="170630"/>
    <n v="52200"/>
    <x v="0"/>
    <x v="0"/>
    <x v="0"/>
    <n v="1"/>
    <n v="960"/>
    <n v="1.3882830000000001E-2"/>
    <x v="2"/>
    <n v="-118430"/>
    <n v="54.375"/>
    <x v="1"/>
    <s v="Low"/>
    <s v="Medium"/>
    <s v="November"/>
    <x v="10"/>
  </r>
  <r>
    <d v="2017-11-13T00:00:00"/>
    <x v="8"/>
    <x v="1"/>
    <n v="227530"/>
    <n v="435000"/>
    <x v="0"/>
    <x v="0"/>
    <x v="0"/>
    <n v="1"/>
    <n v="1023"/>
    <n v="1.3882830000000001E-2"/>
    <x v="2"/>
    <n v="207470"/>
    <n v="425.2199"/>
    <x v="0"/>
    <s v="Medium"/>
    <s v="Medium"/>
    <s v="November"/>
    <x v="10"/>
  </r>
  <r>
    <d v="2017-11-16T00:00:00"/>
    <x v="8"/>
    <x v="0"/>
    <n v="87760"/>
    <n v="96000"/>
    <x v="0"/>
    <x v="0"/>
    <x v="0"/>
    <n v="1"/>
    <n v="1040"/>
    <n v="1.3882830000000001E-2"/>
    <x v="3"/>
    <n v="8240"/>
    <n v="92.307699999999997"/>
    <x v="0"/>
    <s v="Low"/>
    <s v="Medium"/>
    <s v="November"/>
    <x v="10"/>
  </r>
  <r>
    <d v="2017-11-17T00:00:00"/>
    <x v="8"/>
    <x v="0"/>
    <n v="444584.20699999999"/>
    <n v="40500"/>
    <x v="0"/>
    <x v="0"/>
    <x v="0"/>
    <n v="1"/>
    <n v="959"/>
    <n v="1.3882830000000001E-2"/>
    <x v="3"/>
    <n v="-404084.20699999999"/>
    <n v="42.231499999999997"/>
    <x v="1"/>
    <s v="Low"/>
    <s v="Medium"/>
    <s v="November"/>
    <x v="10"/>
  </r>
  <r>
    <d v="2017-11-19T00:00:00"/>
    <x v="8"/>
    <x v="7"/>
    <n v="392580"/>
    <n v="633000"/>
    <x v="1"/>
    <x v="1"/>
    <x v="1"/>
    <n v="4"/>
    <n v="1259"/>
    <n v="1.3882830000000001E-2"/>
    <x v="3"/>
    <n v="240420"/>
    <n v="502.78"/>
    <x v="0"/>
    <s v="High"/>
    <s v="Medium"/>
    <s v="November"/>
    <x v="10"/>
  </r>
  <r>
    <d v="2017-11-23T00:00:00"/>
    <x v="8"/>
    <x v="0"/>
    <n v="34850"/>
    <n v="15000"/>
    <x v="1"/>
    <x v="1"/>
    <x v="1"/>
    <n v="4"/>
    <n v="1304"/>
    <n v="1.3882830000000001E-2"/>
    <x v="2"/>
    <n v="-19850"/>
    <n v="11.5031"/>
    <x v="1"/>
    <s v="Low"/>
    <s v="Large"/>
    <s v="November"/>
    <x v="10"/>
  </r>
  <r>
    <d v="2017-11-24T00:00:00"/>
    <x v="8"/>
    <x v="6"/>
    <n v="210350"/>
    <n v="290000"/>
    <x v="0"/>
    <x v="0"/>
    <x v="0"/>
    <n v="2"/>
    <n v="1020"/>
    <n v="1.3882830000000001E-2"/>
    <x v="3"/>
    <n v="79650"/>
    <n v="284.31369999999998"/>
    <x v="0"/>
    <s v="Medium"/>
    <s v="Medium"/>
    <s v="November"/>
    <x v="10"/>
  </r>
  <r>
    <d v="2017-11-25T00:00:00"/>
    <x v="8"/>
    <x v="5"/>
    <n v="201530"/>
    <n v="250000"/>
    <x v="0"/>
    <x v="0"/>
    <x v="0"/>
    <n v="2"/>
    <n v="980"/>
    <n v="1.3882830000000001E-2"/>
    <x v="0"/>
    <n v="48470"/>
    <n v="255.102"/>
    <x v="0"/>
    <s v="Medium"/>
    <s v="Medium"/>
    <s v="November"/>
    <x v="10"/>
  </r>
  <r>
    <d v="2017-11-30T00:00:00"/>
    <x v="8"/>
    <x v="1"/>
    <n v="1032060"/>
    <n v="1475000"/>
    <x v="0"/>
    <x v="0"/>
    <x v="0"/>
    <n v="2"/>
    <n v="1015"/>
    <n v="1.3882830000000001E-2"/>
    <x v="0"/>
    <n v="442940"/>
    <n v="1453.202"/>
    <x v="0"/>
    <s v="High"/>
    <s v="Medium"/>
    <s v="November"/>
    <x v="10"/>
  </r>
  <r>
    <d v="2017-12-01T00:00:00"/>
    <x v="8"/>
    <x v="0"/>
    <n v="104760"/>
    <n v="37000"/>
    <x v="0"/>
    <x v="0"/>
    <x v="0"/>
    <n v="2"/>
    <n v="1053"/>
    <n v="1.3882830000000001E-2"/>
    <x v="2"/>
    <n v="-67760"/>
    <n v="35.137700000000002"/>
    <x v="1"/>
    <s v="Low"/>
    <s v="Medium"/>
    <s v="December"/>
    <x v="11"/>
  </r>
  <r>
    <d v="2017-12-03T00:00:00"/>
    <x v="8"/>
    <x v="0"/>
    <n v="444584.20699999999"/>
    <n v="48369"/>
    <x v="1"/>
    <x v="1"/>
    <x v="1"/>
    <n v="2"/>
    <n v="1219"/>
    <n v="1.3882830000000001E-2"/>
    <x v="3"/>
    <n v="-396215.20699999999"/>
    <n v="39.679200000000002"/>
    <x v="1"/>
    <s v="Low"/>
    <s v="Medium"/>
    <s v="December"/>
    <x v="11"/>
  </r>
  <r>
    <d v="2017-12-04T00:00:00"/>
    <x v="8"/>
    <x v="1"/>
    <n v="231420"/>
    <n v="387500"/>
    <x v="0"/>
    <x v="0"/>
    <x v="0"/>
    <n v="1"/>
    <n v="1054"/>
    <n v="1.3882830000000001E-2"/>
    <x v="3"/>
    <n v="156080"/>
    <n v="367.64710000000002"/>
    <x v="0"/>
    <s v="Medium"/>
    <s v="Medium"/>
    <s v="December"/>
    <x v="11"/>
  </r>
  <r>
    <d v="2017-12-07T00:00:00"/>
    <x v="8"/>
    <x v="7"/>
    <n v="491850"/>
    <n v="715000"/>
    <x v="0"/>
    <x v="0"/>
    <x v="0"/>
    <n v="1"/>
    <n v="902"/>
    <n v="1.3882830000000001E-2"/>
    <x v="0"/>
    <n v="223150"/>
    <n v="792.68290000000002"/>
    <x v="0"/>
    <s v="High"/>
    <s v="Medium"/>
    <s v="December"/>
    <x v="11"/>
  </r>
  <r>
    <d v="2017-12-08T00:00:00"/>
    <x v="8"/>
    <x v="7"/>
    <n v="478920"/>
    <n v="600000"/>
    <x v="0"/>
    <x v="0"/>
    <x v="0"/>
    <n v="2"/>
    <n v="1068"/>
    <n v="1.3882830000000001E-2"/>
    <x v="2"/>
    <n v="121080"/>
    <n v="561.79780000000005"/>
    <x v="0"/>
    <s v="High"/>
    <s v="Medium"/>
    <s v="December"/>
    <x v="11"/>
  </r>
  <r>
    <d v="2017-12-09T00:00:00"/>
    <x v="8"/>
    <x v="0"/>
    <n v="444584.20699999999"/>
    <n v="35000"/>
    <x v="0"/>
    <x v="0"/>
    <x v="0"/>
    <n v="1"/>
    <n v="986"/>
    <n v="1.3882830000000001E-2"/>
    <x v="1"/>
    <n v="-409584.20699999999"/>
    <n v="35.497"/>
    <x v="1"/>
    <s v="Low"/>
    <s v="Medium"/>
    <s v="December"/>
    <x v="11"/>
  </r>
  <r>
    <d v="2017-12-10T00:00:00"/>
    <x v="8"/>
    <x v="6"/>
    <n v="149940"/>
    <n v="182500"/>
    <x v="0"/>
    <x v="0"/>
    <x v="0"/>
    <n v="1"/>
    <n v="940"/>
    <n v="1.3882830000000001E-2"/>
    <x v="2"/>
    <n v="32560"/>
    <n v="194.1489"/>
    <x v="0"/>
    <s v="Low"/>
    <s v="Medium"/>
    <s v="December"/>
    <x v="11"/>
  </r>
  <r>
    <d v="2017-12-14T00:00:00"/>
    <x v="8"/>
    <x v="0"/>
    <n v="94900"/>
    <n v="110500"/>
    <x v="0"/>
    <x v="0"/>
    <x v="0"/>
    <n v="1"/>
    <n v="1066"/>
    <n v="1.3882830000000001E-2"/>
    <x v="1"/>
    <n v="15600"/>
    <n v="103.6585"/>
    <x v="0"/>
    <s v="Low"/>
    <s v="Medium"/>
    <s v="December"/>
    <x v="11"/>
  </r>
  <r>
    <d v="2017-12-15T00:00:00"/>
    <x v="8"/>
    <x v="7"/>
    <n v="889650"/>
    <n v="192500"/>
    <x v="2"/>
    <x v="2"/>
    <x v="2"/>
    <n v="4"/>
    <n v="2192"/>
    <n v="1.3882830000000001E-2"/>
    <x v="3"/>
    <n v="-697150"/>
    <n v="87.819299999999998"/>
    <x v="1"/>
    <s v="Low"/>
    <s v="Large"/>
    <s v="December"/>
    <x v="11"/>
  </r>
  <r>
    <d v="2017-12-16T00:00:00"/>
    <x v="8"/>
    <x v="6"/>
    <n v="217350"/>
    <n v="360000"/>
    <x v="0"/>
    <x v="0"/>
    <x v="0"/>
    <n v="1"/>
    <n v="953"/>
    <n v="1.3882830000000001E-2"/>
    <x v="3"/>
    <n v="142650"/>
    <n v="377.75450000000001"/>
    <x v="0"/>
    <s v="Medium"/>
    <s v="Medium"/>
    <s v="December"/>
    <x v="11"/>
  </r>
  <r>
    <d v="2017-12-18T00:00:00"/>
    <x v="8"/>
    <x v="1"/>
    <n v="582130"/>
    <n v="4080000"/>
    <x v="0"/>
    <x v="0"/>
    <x v="0"/>
    <n v="1"/>
    <n v="1111.6589814177564"/>
    <n v="1.3882830000000001E-2"/>
    <x v="0"/>
    <n v="3497870"/>
    <n v="3670.1903000000002"/>
    <x v="0"/>
    <s v="High"/>
    <s v="Medium"/>
    <s v="December"/>
    <x v="11"/>
  </r>
  <r>
    <d v="2017-12-21T00:00:00"/>
    <x v="8"/>
    <x v="7"/>
    <n v="851100"/>
    <n v="1555000"/>
    <x v="0"/>
    <x v="0"/>
    <x v="0"/>
    <n v="3"/>
    <n v="1091"/>
    <n v="1.3882830000000001E-2"/>
    <x v="0"/>
    <n v="703900"/>
    <n v="1425.2979"/>
    <x v="0"/>
    <s v="High"/>
    <s v="Medium"/>
    <s v="December"/>
    <x v="11"/>
  </r>
  <r>
    <d v="2017-12-23T00:00:00"/>
    <x v="8"/>
    <x v="6"/>
    <n v="173950"/>
    <n v="280000"/>
    <x v="0"/>
    <x v="0"/>
    <x v="0"/>
    <n v="2"/>
    <n v="1055"/>
    <n v="1.3882830000000001E-2"/>
    <x v="2"/>
    <n v="106050"/>
    <n v="265.40280000000001"/>
    <x v="0"/>
    <s v="Medium"/>
    <s v="Medium"/>
    <s v="December"/>
    <x v="11"/>
  </r>
  <r>
    <d v="2017-12-28T00:00:00"/>
    <x v="8"/>
    <x v="5"/>
    <n v="377380"/>
    <n v="514000"/>
    <x v="0"/>
    <x v="0"/>
    <x v="0"/>
    <n v="1"/>
    <n v="919"/>
    <n v="1.3882830000000001E-2"/>
    <x v="1"/>
    <n v="136620"/>
    <n v="559.30359999999996"/>
    <x v="0"/>
    <s v="Medium"/>
    <s v="Medium"/>
    <s v="December"/>
    <x v="11"/>
  </r>
  <r>
    <d v="2017-12-29T00:00:00"/>
    <x v="8"/>
    <x v="7"/>
    <n v="145110"/>
    <n v="57000"/>
    <x v="0"/>
    <x v="0"/>
    <x v="0"/>
    <n v="2"/>
    <n v="955"/>
    <n v="1.3882830000000001E-2"/>
    <x v="0"/>
    <n v="-88110"/>
    <n v="59.685899999999997"/>
    <x v="1"/>
    <s v="Low"/>
    <s v="Medium"/>
    <s v="December"/>
    <x v="11"/>
  </r>
  <r>
    <d v="2018-01-05T00:00:00"/>
    <x v="9"/>
    <x v="0"/>
    <n v="68210"/>
    <n v="49000"/>
    <x v="1"/>
    <x v="1"/>
    <x v="1"/>
    <n v="2"/>
    <n v="1267"/>
    <n v="1.4223080000000001E-2"/>
    <x v="0"/>
    <n v="-19210"/>
    <n v="38.673999999999999"/>
    <x v="1"/>
    <s v="Low"/>
    <s v="Medium"/>
    <s v="January"/>
    <x v="0"/>
  </r>
  <r>
    <d v="2018-01-07T00:00:00"/>
    <x v="9"/>
    <x v="6"/>
    <n v="215740"/>
    <n v="415000"/>
    <x v="0"/>
    <x v="0"/>
    <x v="0"/>
    <n v="3"/>
    <n v="1097"/>
    <n v="1.4223080000000001E-2"/>
    <x v="2"/>
    <n v="199260"/>
    <n v="378.30450000000002"/>
    <x v="0"/>
    <s v="Medium"/>
    <s v="Medium"/>
    <s v="January"/>
    <x v="0"/>
  </r>
  <r>
    <d v="2018-01-08T00:00:00"/>
    <x v="9"/>
    <x v="5"/>
    <n v="63390"/>
    <n v="65000"/>
    <x v="0"/>
    <x v="0"/>
    <x v="0"/>
    <n v="3"/>
    <n v="1051"/>
    <n v="1.4223080000000001E-2"/>
    <x v="0"/>
    <n v="1610"/>
    <n v="61.8459"/>
    <x v="0"/>
    <s v="Low"/>
    <s v="Medium"/>
    <s v="January"/>
    <x v="0"/>
  </r>
  <r>
    <d v="2018-01-13T00:00:00"/>
    <x v="9"/>
    <x v="7"/>
    <n v="515390"/>
    <n v="1025800"/>
    <x v="0"/>
    <x v="0"/>
    <x v="0"/>
    <n v="2"/>
    <n v="984"/>
    <n v="1.4223080000000001E-2"/>
    <x v="3"/>
    <n v="510410"/>
    <n v="1042.4797000000001"/>
    <x v="0"/>
    <s v="High"/>
    <s v="Medium"/>
    <s v="January"/>
    <x v="0"/>
  </r>
  <r>
    <d v="2018-01-14T00:00:00"/>
    <x v="9"/>
    <x v="0"/>
    <n v="76480"/>
    <n v="28000"/>
    <x v="0"/>
    <x v="0"/>
    <x v="0"/>
    <n v="1"/>
    <n v="968"/>
    <n v="1.4223080000000001E-2"/>
    <x v="3"/>
    <n v="-48480"/>
    <n v="28.925599999999999"/>
    <x v="1"/>
    <s v="Low"/>
    <s v="Medium"/>
    <s v="January"/>
    <x v="0"/>
  </r>
  <r>
    <d v="2018-01-15T00:00:00"/>
    <x v="9"/>
    <x v="7"/>
    <n v="151680"/>
    <n v="269000"/>
    <x v="0"/>
    <x v="0"/>
    <x v="0"/>
    <n v="1"/>
    <n v="1111.6589814177564"/>
    <n v="1.4223080000000001E-2"/>
    <x v="1"/>
    <n v="117320"/>
    <n v="241.98070000000001"/>
    <x v="0"/>
    <s v="Medium"/>
    <s v="Medium"/>
    <s v="January"/>
    <x v="0"/>
  </r>
  <r>
    <d v="2018-01-19T00:00:00"/>
    <x v="9"/>
    <x v="0"/>
    <n v="123940"/>
    <n v="160000"/>
    <x v="0"/>
    <x v="0"/>
    <x v="0"/>
    <n v="3"/>
    <n v="939"/>
    <n v="1.4223080000000001E-2"/>
    <x v="0"/>
    <n v="36060"/>
    <n v="170.39400000000001"/>
    <x v="0"/>
    <s v="Low"/>
    <s v="Medium"/>
    <s v="January"/>
    <x v="0"/>
  </r>
  <r>
    <d v="2018-01-20T00:00:00"/>
    <x v="9"/>
    <x v="1"/>
    <n v="524342"/>
    <n v="725000"/>
    <x v="0"/>
    <x v="0"/>
    <x v="0"/>
    <n v="1"/>
    <n v="933"/>
    <n v="1.4223080000000001E-2"/>
    <x v="0"/>
    <n v="200658"/>
    <n v="777.06320000000005"/>
    <x v="0"/>
    <s v="High"/>
    <s v="Medium"/>
    <s v="January"/>
    <x v="0"/>
  </r>
  <r>
    <d v="2018-01-22T00:00:00"/>
    <x v="9"/>
    <x v="7"/>
    <n v="500420"/>
    <n v="650000"/>
    <x v="0"/>
    <x v="0"/>
    <x v="0"/>
    <n v="3"/>
    <n v="1037"/>
    <n v="1.4223080000000001E-2"/>
    <x v="1"/>
    <n v="149580"/>
    <n v="626.80809999999997"/>
    <x v="0"/>
    <s v="High"/>
    <s v="Medium"/>
    <s v="January"/>
    <x v="0"/>
  </r>
  <r>
    <d v="2018-01-25T00:00:00"/>
    <x v="9"/>
    <x v="7"/>
    <n v="554910"/>
    <n v="960000"/>
    <x v="0"/>
    <x v="0"/>
    <x v="0"/>
    <n v="3"/>
    <n v="1035"/>
    <n v="1.4223080000000001E-2"/>
    <x v="0"/>
    <n v="405090"/>
    <n v="927.53620000000001"/>
    <x v="0"/>
    <s v="High"/>
    <s v="Medium"/>
    <s v="January"/>
    <x v="0"/>
  </r>
  <r>
    <d v="2018-01-29T00:00:00"/>
    <x v="9"/>
    <x v="0"/>
    <n v="84160"/>
    <n v="104000"/>
    <x v="0"/>
    <x v="0"/>
    <x v="0"/>
    <n v="1"/>
    <n v="1064"/>
    <n v="1.4223080000000001E-2"/>
    <x v="1"/>
    <n v="19840"/>
    <n v="97.744399999999999"/>
    <x v="0"/>
    <s v="Low"/>
    <s v="Medium"/>
    <s v="January"/>
    <x v="0"/>
  </r>
  <r>
    <d v="2018-02-01T00:00:00"/>
    <x v="9"/>
    <x v="6"/>
    <n v="240940"/>
    <n v="403000"/>
    <x v="0"/>
    <x v="0"/>
    <x v="0"/>
    <n v="1"/>
    <n v="901"/>
    <n v="1.4223080000000001E-2"/>
    <x v="1"/>
    <n v="162060"/>
    <n v="447.2808"/>
    <x v="0"/>
    <s v="Medium"/>
    <s v="Medium"/>
    <s v="February"/>
    <x v="1"/>
  </r>
  <r>
    <d v="2018-02-02T00:00:00"/>
    <x v="9"/>
    <x v="0"/>
    <n v="40280"/>
    <n v="25500"/>
    <x v="2"/>
    <x v="2"/>
    <x v="2"/>
    <n v="4"/>
    <n v="1939"/>
    <n v="1.4223080000000001E-2"/>
    <x v="1"/>
    <n v="-14780"/>
    <n v="13.1511"/>
    <x v="1"/>
    <s v="Low"/>
    <s v="Large"/>
    <s v="February"/>
    <x v="1"/>
  </r>
  <r>
    <d v="2018-02-03T00:00:00"/>
    <x v="9"/>
    <x v="6"/>
    <n v="223720"/>
    <n v="371500"/>
    <x v="0"/>
    <x v="0"/>
    <x v="0"/>
    <n v="1"/>
    <n v="1111.6589814177564"/>
    <n v="1.4223080000000001E-2"/>
    <x v="0"/>
    <n v="147780"/>
    <n v="334.18520000000001"/>
    <x v="0"/>
    <s v="Medium"/>
    <s v="Medium"/>
    <s v="February"/>
    <x v="1"/>
  </r>
  <r>
    <d v="2018-02-05T00:00:00"/>
    <x v="9"/>
    <x v="0"/>
    <n v="444584.20699999999"/>
    <n v="153000"/>
    <x v="3"/>
    <x v="3"/>
    <x v="3"/>
    <n v="7"/>
    <n v="2987"/>
    <n v="1.4223080000000001E-2"/>
    <x v="0"/>
    <n v="-291584.20699999999"/>
    <n v="51.222000000000001"/>
    <x v="1"/>
    <s v="Low"/>
    <s v="Large"/>
    <s v="February"/>
    <x v="1"/>
  </r>
  <r>
    <d v="2018-02-08T00:00:00"/>
    <x v="9"/>
    <x v="6"/>
    <n v="212800"/>
    <n v="303000"/>
    <x v="0"/>
    <x v="0"/>
    <x v="0"/>
    <n v="1"/>
    <n v="1092"/>
    <n v="1.4223080000000001E-2"/>
    <x v="3"/>
    <n v="90200"/>
    <n v="277.47250000000003"/>
    <x v="0"/>
    <s v="Medium"/>
    <s v="Medium"/>
    <s v="February"/>
    <x v="1"/>
  </r>
  <r>
    <d v="2018-02-09T00:00:00"/>
    <x v="9"/>
    <x v="5"/>
    <n v="587090"/>
    <n v="925000"/>
    <x v="0"/>
    <x v="0"/>
    <x v="0"/>
    <n v="3"/>
    <n v="1082"/>
    <n v="1.4223080000000001E-2"/>
    <x v="2"/>
    <n v="337910"/>
    <n v="854.89829999999995"/>
    <x v="0"/>
    <s v="High"/>
    <s v="Medium"/>
    <s v="February"/>
    <x v="1"/>
  </r>
  <r>
    <d v="2018-02-10T00:00:00"/>
    <x v="9"/>
    <x v="6"/>
    <n v="185640"/>
    <n v="212500"/>
    <x v="0"/>
    <x v="0"/>
    <x v="0"/>
    <n v="3"/>
    <n v="1033"/>
    <n v="1.4223080000000001E-2"/>
    <x v="2"/>
    <n v="26860"/>
    <n v="205.7115"/>
    <x v="0"/>
    <s v="Medium"/>
    <s v="Medium"/>
    <s v="February"/>
    <x v="1"/>
  </r>
  <r>
    <d v="2018-02-11T00:00:00"/>
    <x v="9"/>
    <x v="0"/>
    <n v="444584.20699999999"/>
    <n v="150000"/>
    <x v="3"/>
    <x v="3"/>
    <x v="3"/>
    <n v="8"/>
    <n v="2883"/>
    <n v="1.4223080000000001E-2"/>
    <x v="0"/>
    <n v="-294584.20699999999"/>
    <n v="52.0291"/>
    <x v="1"/>
    <s v="Low"/>
    <s v="Large"/>
    <s v="February"/>
    <x v="1"/>
  </r>
  <r>
    <d v="2018-02-17T00:00:00"/>
    <x v="9"/>
    <x v="7"/>
    <n v="358710"/>
    <n v="605000"/>
    <x v="0"/>
    <x v="0"/>
    <x v="0"/>
    <n v="2"/>
    <n v="1034"/>
    <n v="1.4223080000000001E-2"/>
    <x v="0"/>
    <n v="246290"/>
    <n v="585.10640000000001"/>
    <x v="0"/>
    <s v="High"/>
    <s v="Medium"/>
    <s v="February"/>
    <x v="1"/>
  </r>
  <r>
    <d v="2018-02-19T00:00:00"/>
    <x v="9"/>
    <x v="0"/>
    <n v="105360"/>
    <n v="159900"/>
    <x v="0"/>
    <x v="0"/>
    <x v="0"/>
    <n v="3"/>
    <n v="1044"/>
    <n v="1.4223080000000001E-2"/>
    <x v="1"/>
    <n v="54540"/>
    <n v="153.1609"/>
    <x v="0"/>
    <s v="Low"/>
    <s v="Medium"/>
    <s v="February"/>
    <x v="1"/>
  </r>
  <r>
    <d v="2018-02-22T00:00:00"/>
    <x v="9"/>
    <x v="1"/>
    <n v="174080"/>
    <n v="300000"/>
    <x v="0"/>
    <x v="0"/>
    <x v="0"/>
    <n v="3"/>
    <n v="1111.6589814177564"/>
    <n v="1.4223080000000001E-2"/>
    <x v="1"/>
    <n v="125920"/>
    <n v="269.86689999999999"/>
    <x v="0"/>
    <s v="Medium"/>
    <s v="Medium"/>
    <s v="February"/>
    <x v="1"/>
  </r>
  <r>
    <d v="2018-02-23T00:00:00"/>
    <x v="9"/>
    <x v="1"/>
    <n v="240060"/>
    <n v="430000"/>
    <x v="0"/>
    <x v="0"/>
    <x v="0"/>
    <n v="2"/>
    <n v="1088"/>
    <n v="1.4223080000000001E-2"/>
    <x v="1"/>
    <n v="189940"/>
    <n v="395.22059999999999"/>
    <x v="0"/>
    <s v="Medium"/>
    <s v="Medium"/>
    <s v="February"/>
    <x v="1"/>
  </r>
  <r>
    <d v="2018-02-24T00:00:00"/>
    <x v="9"/>
    <x v="1"/>
    <n v="170970"/>
    <n v="305000"/>
    <x v="1"/>
    <x v="1"/>
    <x v="1"/>
    <n v="4"/>
    <n v="1431"/>
    <n v="1.4223080000000001E-2"/>
    <x v="3"/>
    <n v="134030"/>
    <n v="213.1377"/>
    <x v="0"/>
    <s v="Medium"/>
    <s v="Large"/>
    <s v="February"/>
    <x v="1"/>
  </r>
  <r>
    <d v="2018-03-01T00:00:00"/>
    <x v="9"/>
    <x v="0"/>
    <n v="60750"/>
    <n v="43500"/>
    <x v="0"/>
    <x v="0"/>
    <x v="0"/>
    <n v="3"/>
    <n v="1002"/>
    <n v="1.4223080000000001E-2"/>
    <x v="3"/>
    <n v="-17250"/>
    <n v="43.413200000000003"/>
    <x v="1"/>
    <s v="Low"/>
    <s v="Medium"/>
    <s v="March"/>
    <x v="2"/>
  </r>
  <r>
    <d v="2018-03-04T00:00:00"/>
    <x v="9"/>
    <x v="7"/>
    <n v="214030"/>
    <n v="352500"/>
    <x v="0"/>
    <x v="0"/>
    <x v="0"/>
    <n v="1"/>
    <n v="986"/>
    <n v="1.4223080000000001E-2"/>
    <x v="3"/>
    <n v="138470"/>
    <n v="357.50510000000003"/>
    <x v="0"/>
    <s v="Medium"/>
    <s v="Medium"/>
    <s v="March"/>
    <x v="2"/>
  </r>
  <r>
    <d v="2018-03-08T00:00:00"/>
    <x v="9"/>
    <x v="7"/>
    <n v="309510"/>
    <n v="545000"/>
    <x v="0"/>
    <x v="0"/>
    <x v="0"/>
    <n v="1"/>
    <n v="1065"/>
    <n v="1.4223080000000001E-2"/>
    <x v="1"/>
    <n v="235490"/>
    <n v="511.7371"/>
    <x v="0"/>
    <s v="Medium"/>
    <s v="Medium"/>
    <s v="March"/>
    <x v="2"/>
  </r>
  <r>
    <d v="2018-03-09T00:00:00"/>
    <x v="9"/>
    <x v="7"/>
    <n v="348180"/>
    <n v="545000"/>
    <x v="0"/>
    <x v="0"/>
    <x v="0"/>
    <n v="1"/>
    <n v="1111.6589814177564"/>
    <n v="1.4223080000000001E-2"/>
    <x v="1"/>
    <n v="196820"/>
    <n v="490.25830000000002"/>
    <x v="0"/>
    <s v="Medium"/>
    <s v="Medium"/>
    <s v="March"/>
    <x v="2"/>
  </r>
  <r>
    <d v="2018-03-11T00:00:00"/>
    <x v="9"/>
    <x v="0"/>
    <n v="444584.20699999999"/>
    <n v="25000"/>
    <x v="1"/>
    <x v="1"/>
    <x v="1"/>
    <n v="2"/>
    <n v="1289"/>
    <n v="1.4223080000000001E-2"/>
    <x v="0"/>
    <n v="-419584.20699999999"/>
    <n v="19.3949"/>
    <x v="1"/>
    <s v="Low"/>
    <s v="Medium"/>
    <s v="March"/>
    <x v="2"/>
  </r>
  <r>
    <d v="2018-03-14T00:00:00"/>
    <x v="9"/>
    <x v="1"/>
    <n v="411610"/>
    <n v="458792"/>
    <x v="0"/>
    <x v="0"/>
    <x v="0"/>
    <n v="2"/>
    <n v="1014"/>
    <n v="1.4223080000000001E-2"/>
    <x v="1"/>
    <n v="47182"/>
    <n v="452.45760000000001"/>
    <x v="0"/>
    <s v="Medium"/>
    <s v="Medium"/>
    <s v="March"/>
    <x v="2"/>
  </r>
  <r>
    <d v="2018-03-16T00:00:00"/>
    <x v="9"/>
    <x v="6"/>
    <n v="117250"/>
    <n v="160000"/>
    <x v="0"/>
    <x v="0"/>
    <x v="0"/>
    <n v="3"/>
    <n v="1068"/>
    <n v="1.4223080000000001E-2"/>
    <x v="1"/>
    <n v="42750"/>
    <n v="149.81270000000001"/>
    <x v="0"/>
    <s v="Low"/>
    <s v="Medium"/>
    <s v="March"/>
    <x v="2"/>
  </r>
  <r>
    <d v="2018-03-17T00:00:00"/>
    <x v="9"/>
    <x v="1"/>
    <n v="249890"/>
    <n v="200000"/>
    <x v="0"/>
    <x v="0"/>
    <x v="0"/>
    <n v="2"/>
    <n v="1111.6589814177564"/>
    <n v="1.4223080000000001E-2"/>
    <x v="2"/>
    <n v="-49890"/>
    <n v="179.91130000000001"/>
    <x v="1"/>
    <s v="Medium"/>
    <s v="Medium"/>
    <s v="March"/>
    <x v="2"/>
  </r>
  <r>
    <d v="2018-03-18T00:00:00"/>
    <x v="9"/>
    <x v="5"/>
    <n v="270200"/>
    <n v="360000"/>
    <x v="0"/>
    <x v="0"/>
    <x v="0"/>
    <n v="3"/>
    <n v="987"/>
    <n v="1.4223080000000001E-2"/>
    <x v="3"/>
    <n v="89800"/>
    <n v="364.74160000000001"/>
    <x v="0"/>
    <s v="Medium"/>
    <s v="Medium"/>
    <s v="March"/>
    <x v="2"/>
  </r>
  <r>
    <d v="2018-03-21T00:00:00"/>
    <x v="9"/>
    <x v="5"/>
    <n v="190890"/>
    <n v="290000"/>
    <x v="0"/>
    <x v="0"/>
    <x v="0"/>
    <n v="2"/>
    <n v="1111.6589814177564"/>
    <n v="1.4223080000000001E-2"/>
    <x v="0"/>
    <n v="99110"/>
    <n v="260.87139999999999"/>
    <x v="0"/>
    <s v="Medium"/>
    <s v="Medium"/>
    <s v="March"/>
    <x v="2"/>
  </r>
  <r>
    <d v="2018-03-24T00:00:00"/>
    <x v="9"/>
    <x v="0"/>
    <n v="82350"/>
    <n v="45500"/>
    <x v="0"/>
    <x v="0"/>
    <x v="0"/>
    <n v="3"/>
    <n v="1085"/>
    <n v="1.4223080000000001E-2"/>
    <x v="0"/>
    <n v="-36850"/>
    <n v="41.935499999999998"/>
    <x v="1"/>
    <s v="Low"/>
    <s v="Medium"/>
    <s v="March"/>
    <x v="2"/>
  </r>
  <r>
    <d v="2018-03-28T00:00:00"/>
    <x v="9"/>
    <x v="0"/>
    <n v="77640"/>
    <n v="45000"/>
    <x v="0"/>
    <x v="0"/>
    <x v="0"/>
    <n v="1"/>
    <n v="904"/>
    <n v="1.4223080000000001E-2"/>
    <x v="2"/>
    <n v="-32640"/>
    <n v="49.778799999999997"/>
    <x v="1"/>
    <s v="Low"/>
    <s v="Medium"/>
    <s v="March"/>
    <x v="2"/>
  </r>
  <r>
    <d v="2018-03-29T00:00:00"/>
    <x v="9"/>
    <x v="6"/>
    <n v="210420"/>
    <n v="275000"/>
    <x v="0"/>
    <x v="0"/>
    <x v="0"/>
    <n v="1"/>
    <n v="909"/>
    <n v="1.4223080000000001E-2"/>
    <x v="2"/>
    <n v="64580"/>
    <n v="302.53030000000001"/>
    <x v="0"/>
    <s v="Medium"/>
    <s v="Medium"/>
    <s v="March"/>
    <x v="2"/>
  </r>
  <r>
    <d v="2018-03-30T00:00:00"/>
    <x v="9"/>
    <x v="7"/>
    <n v="173960"/>
    <n v="600000"/>
    <x v="2"/>
    <x v="2"/>
    <x v="2"/>
    <n v="6"/>
    <n v="2124"/>
    <n v="1.4223080000000001E-2"/>
    <x v="2"/>
    <n v="426040"/>
    <n v="282.48590000000002"/>
    <x v="0"/>
    <s v="High"/>
    <s v="Large"/>
    <s v="March"/>
    <x v="2"/>
  </r>
  <r>
    <d v="2018-04-01T00:00:00"/>
    <x v="9"/>
    <x v="7"/>
    <n v="225380"/>
    <n v="90000"/>
    <x v="0"/>
    <x v="0"/>
    <x v="0"/>
    <n v="1"/>
    <n v="1111.6589814177564"/>
    <n v="1.4223080000000001E-2"/>
    <x v="3"/>
    <n v="-135380"/>
    <n v="80.960099999999997"/>
    <x v="1"/>
    <s v="Low"/>
    <s v="Medium"/>
    <s v="April"/>
    <x v="3"/>
  </r>
  <r>
    <d v="2018-04-04T00:00:00"/>
    <x v="9"/>
    <x v="6"/>
    <n v="444584.20699999999"/>
    <n v="410000"/>
    <x v="0"/>
    <x v="0"/>
    <x v="0"/>
    <n v="2"/>
    <n v="1037"/>
    <n v="1.4223080000000001E-2"/>
    <x v="0"/>
    <n v="-34584.207000000002"/>
    <n v="395.37130000000002"/>
    <x v="1"/>
    <s v="Medium"/>
    <s v="Medium"/>
    <s v="April"/>
    <x v="3"/>
  </r>
  <r>
    <d v="2018-04-06T00:00:00"/>
    <x v="9"/>
    <x v="5"/>
    <n v="57610"/>
    <n v="76300"/>
    <x v="0"/>
    <x v="0"/>
    <x v="0"/>
    <n v="2"/>
    <n v="979"/>
    <n v="1.4223080000000001E-2"/>
    <x v="3"/>
    <n v="18690"/>
    <n v="77.936700000000002"/>
    <x v="0"/>
    <s v="Low"/>
    <s v="Medium"/>
    <s v="April"/>
    <x v="3"/>
  </r>
  <r>
    <d v="2018-04-08T00:00:00"/>
    <x v="9"/>
    <x v="6"/>
    <n v="250880"/>
    <n v="367000"/>
    <x v="0"/>
    <x v="0"/>
    <x v="0"/>
    <n v="3"/>
    <n v="934"/>
    <n v="1.4223080000000001E-2"/>
    <x v="1"/>
    <n v="116120"/>
    <n v="392.93360000000001"/>
    <x v="0"/>
    <s v="Medium"/>
    <s v="Medium"/>
    <s v="April"/>
    <x v="3"/>
  </r>
  <r>
    <d v="2018-04-11T00:00:00"/>
    <x v="9"/>
    <x v="0"/>
    <n v="31410"/>
    <n v="12000"/>
    <x v="2"/>
    <x v="2"/>
    <x v="2"/>
    <n v="6"/>
    <n v="2086"/>
    <n v="1.4223080000000001E-2"/>
    <x v="3"/>
    <n v="-19410"/>
    <n v="5.7526000000000002"/>
    <x v="1"/>
    <s v="Low"/>
    <s v="Large"/>
    <s v="April"/>
    <x v="3"/>
  </r>
  <r>
    <d v="2018-04-12T00:00:00"/>
    <x v="9"/>
    <x v="6"/>
    <n v="174020"/>
    <n v="232000"/>
    <x v="0"/>
    <x v="0"/>
    <x v="0"/>
    <n v="1"/>
    <n v="958"/>
    <n v="1.4223080000000001E-2"/>
    <x v="3"/>
    <n v="57980"/>
    <n v="242.1712"/>
    <x v="0"/>
    <s v="Medium"/>
    <s v="Medium"/>
    <s v="April"/>
    <x v="3"/>
  </r>
  <r>
    <d v="2018-04-13T00:00:00"/>
    <x v="9"/>
    <x v="6"/>
    <n v="260750"/>
    <n v="405000"/>
    <x v="2"/>
    <x v="2"/>
    <x v="2"/>
    <n v="5"/>
    <n v="2116"/>
    <n v="1.4223080000000001E-2"/>
    <x v="0"/>
    <n v="144250"/>
    <n v="191.3989"/>
    <x v="0"/>
    <s v="Medium"/>
    <s v="Large"/>
    <s v="April"/>
    <x v="3"/>
  </r>
  <r>
    <d v="2018-04-14T00:00:00"/>
    <x v="9"/>
    <x v="1"/>
    <n v="389620"/>
    <n v="510000"/>
    <x v="0"/>
    <x v="0"/>
    <x v="0"/>
    <n v="3"/>
    <n v="928"/>
    <n v="1.4223080000000001E-2"/>
    <x v="2"/>
    <n v="120380"/>
    <n v="549.56899999999996"/>
    <x v="0"/>
    <s v="Medium"/>
    <s v="Medium"/>
    <s v="April"/>
    <x v="3"/>
  </r>
  <r>
    <d v="2018-04-18T00:00:00"/>
    <x v="9"/>
    <x v="7"/>
    <n v="222690"/>
    <n v="325000"/>
    <x v="0"/>
    <x v="0"/>
    <x v="0"/>
    <n v="3"/>
    <n v="900"/>
    <n v="1.4223080000000001E-2"/>
    <x v="1"/>
    <n v="102310"/>
    <n v="361.11110000000002"/>
    <x v="0"/>
    <s v="Medium"/>
    <s v="Medium"/>
    <s v="April"/>
    <x v="3"/>
  </r>
  <r>
    <d v="2018-04-19T00:00:00"/>
    <x v="9"/>
    <x v="7"/>
    <n v="389210"/>
    <n v="575000"/>
    <x v="0"/>
    <x v="0"/>
    <x v="0"/>
    <n v="1"/>
    <n v="903"/>
    <n v="1.4223080000000001E-2"/>
    <x v="1"/>
    <n v="185790"/>
    <n v="636.7663"/>
    <x v="0"/>
    <s v="Medium"/>
    <s v="Medium"/>
    <s v="April"/>
    <x v="3"/>
  </r>
  <r>
    <d v="2018-04-20T00:00:00"/>
    <x v="9"/>
    <x v="5"/>
    <n v="80060"/>
    <n v="95000"/>
    <x v="0"/>
    <x v="0"/>
    <x v="0"/>
    <n v="2"/>
    <n v="919"/>
    <n v="1.4223080000000001E-2"/>
    <x v="1"/>
    <n v="14940"/>
    <n v="103.3732"/>
    <x v="0"/>
    <s v="Low"/>
    <s v="Medium"/>
    <s v="April"/>
    <x v="3"/>
  </r>
  <r>
    <d v="2018-04-21T00:00:00"/>
    <x v="9"/>
    <x v="6"/>
    <n v="444584.20699999999"/>
    <n v="171000"/>
    <x v="0"/>
    <x v="0"/>
    <x v="0"/>
    <n v="3"/>
    <n v="909"/>
    <n v="1.4223080000000001E-2"/>
    <x v="0"/>
    <n v="-273584.20699999999"/>
    <n v="188.11879999999999"/>
    <x v="1"/>
    <s v="Low"/>
    <s v="Medium"/>
    <s v="April"/>
    <x v="3"/>
  </r>
  <r>
    <d v="2018-04-22T00:00:00"/>
    <x v="9"/>
    <x v="0"/>
    <n v="444584.20699999999"/>
    <n v="68300"/>
    <x v="0"/>
    <x v="0"/>
    <x v="0"/>
    <n v="3"/>
    <n v="1021"/>
    <n v="1.4223080000000001E-2"/>
    <x v="3"/>
    <n v="-376284.20699999999"/>
    <n v="66.895200000000003"/>
    <x v="1"/>
    <s v="Low"/>
    <s v="Medium"/>
    <s v="April"/>
    <x v="3"/>
  </r>
  <r>
    <d v="2018-04-25T00:00:00"/>
    <x v="9"/>
    <x v="6"/>
    <n v="182840"/>
    <n v="220000"/>
    <x v="2"/>
    <x v="2"/>
    <x v="2"/>
    <n v="6"/>
    <n v="1111.6589814177564"/>
    <n v="1.4223080000000001E-2"/>
    <x v="0"/>
    <n v="37160"/>
    <n v="197.9024"/>
    <x v="0"/>
    <s v="Medium"/>
    <s v="Medium"/>
    <s v="April"/>
    <x v="3"/>
  </r>
  <r>
    <d v="2018-04-28T00:00:00"/>
    <x v="9"/>
    <x v="7"/>
    <n v="231550"/>
    <n v="300000"/>
    <x v="0"/>
    <x v="0"/>
    <x v="0"/>
    <n v="2"/>
    <n v="1111.6589814177564"/>
    <n v="1.4223080000000001E-2"/>
    <x v="0"/>
    <n v="68450"/>
    <n v="269.86689999999999"/>
    <x v="0"/>
    <s v="Medium"/>
    <s v="Medium"/>
    <s v="April"/>
    <x v="3"/>
  </r>
  <r>
    <d v="2018-04-29T00:00:00"/>
    <x v="9"/>
    <x v="0"/>
    <n v="77040"/>
    <n v="85000"/>
    <x v="0"/>
    <x v="0"/>
    <x v="0"/>
    <n v="1"/>
    <n v="927"/>
    <n v="1.4223080000000001E-2"/>
    <x v="2"/>
    <n v="7960"/>
    <n v="91.693600000000004"/>
    <x v="0"/>
    <s v="Low"/>
    <s v="Medium"/>
    <s v="April"/>
    <x v="3"/>
  </r>
  <r>
    <d v="2018-05-02T00:00:00"/>
    <x v="9"/>
    <x v="0"/>
    <n v="114060"/>
    <n v="145000"/>
    <x v="0"/>
    <x v="0"/>
    <x v="0"/>
    <n v="3"/>
    <n v="995"/>
    <n v="1.4223080000000001E-2"/>
    <x v="0"/>
    <n v="30940"/>
    <n v="145.7286"/>
    <x v="0"/>
    <s v="Low"/>
    <s v="Medium"/>
    <s v="May"/>
    <x v="4"/>
  </r>
  <r>
    <d v="2018-05-03T00:00:00"/>
    <x v="9"/>
    <x v="7"/>
    <n v="444584.20699999999"/>
    <n v="1342541"/>
    <x v="0"/>
    <x v="0"/>
    <x v="0"/>
    <n v="2"/>
    <n v="955"/>
    <n v="1.4223080000000001E-2"/>
    <x v="1"/>
    <n v="897956.79299999995"/>
    <n v="1405.8021000000001"/>
    <x v="0"/>
    <s v="High"/>
    <s v="Medium"/>
    <s v="May"/>
    <x v="4"/>
  </r>
  <r>
    <d v="2018-05-05T00:00:00"/>
    <x v="9"/>
    <x v="1"/>
    <n v="291370"/>
    <n v="533750"/>
    <x v="0"/>
    <x v="0"/>
    <x v="0"/>
    <n v="1"/>
    <n v="1062"/>
    <n v="1.4223080000000001E-2"/>
    <x v="0"/>
    <n v="242380"/>
    <n v="502.58949999999999"/>
    <x v="0"/>
    <s v="Medium"/>
    <s v="Medium"/>
    <s v="May"/>
    <x v="4"/>
  </r>
  <r>
    <d v="2018-05-06T00:00:00"/>
    <x v="9"/>
    <x v="7"/>
    <n v="415070"/>
    <n v="668000"/>
    <x v="0"/>
    <x v="0"/>
    <x v="0"/>
    <n v="2"/>
    <n v="950"/>
    <n v="1.4223080000000001E-2"/>
    <x v="2"/>
    <n v="252930"/>
    <n v="703.15790000000004"/>
    <x v="0"/>
    <s v="High"/>
    <s v="Medium"/>
    <s v="May"/>
    <x v="4"/>
  </r>
  <r>
    <d v="2018-05-09T00:00:00"/>
    <x v="9"/>
    <x v="5"/>
    <n v="279300"/>
    <n v="465000"/>
    <x v="0"/>
    <x v="0"/>
    <x v="0"/>
    <n v="2"/>
    <n v="982"/>
    <n v="1.4223080000000001E-2"/>
    <x v="3"/>
    <n v="185700"/>
    <n v="473.52339999999998"/>
    <x v="0"/>
    <s v="Medium"/>
    <s v="Medium"/>
    <s v="May"/>
    <x v="4"/>
  </r>
  <r>
    <d v="2018-05-12T00:00:00"/>
    <x v="9"/>
    <x v="6"/>
    <n v="188930"/>
    <n v="302500"/>
    <x v="1"/>
    <x v="1"/>
    <x v="1"/>
    <n v="2"/>
    <n v="1434"/>
    <n v="1.4223080000000001E-2"/>
    <x v="2"/>
    <n v="113570"/>
    <n v="210.94839999999999"/>
    <x v="0"/>
    <s v="Medium"/>
    <s v="Large"/>
    <s v="May"/>
    <x v="4"/>
  </r>
  <r>
    <d v="2018-05-13T00:00:00"/>
    <x v="9"/>
    <x v="1"/>
    <n v="644970"/>
    <n v="760000"/>
    <x v="0"/>
    <x v="0"/>
    <x v="0"/>
    <n v="2"/>
    <n v="1042"/>
    <n v="1.4223080000000001E-2"/>
    <x v="1"/>
    <n v="115030"/>
    <n v="729.36659999999995"/>
    <x v="0"/>
    <s v="High"/>
    <s v="Medium"/>
    <s v="May"/>
    <x v="4"/>
  </r>
  <r>
    <d v="2018-05-17T00:00:00"/>
    <x v="9"/>
    <x v="1"/>
    <n v="872170"/>
    <n v="1155000"/>
    <x v="0"/>
    <x v="0"/>
    <x v="0"/>
    <n v="2"/>
    <n v="1111.6589814177564"/>
    <n v="1.4223080000000001E-2"/>
    <x v="3"/>
    <n v="282830"/>
    <n v="1038.9876999999999"/>
    <x v="0"/>
    <s v="High"/>
    <s v="Medium"/>
    <s v="May"/>
    <x v="4"/>
  </r>
  <r>
    <d v="2018-05-19T00:00:00"/>
    <x v="9"/>
    <x v="1"/>
    <n v="602820"/>
    <n v="792000"/>
    <x v="0"/>
    <x v="0"/>
    <x v="0"/>
    <n v="3"/>
    <n v="915"/>
    <n v="1.4223080000000001E-2"/>
    <x v="3"/>
    <n v="189180"/>
    <n v="865.57380000000001"/>
    <x v="0"/>
    <s v="High"/>
    <s v="Medium"/>
    <s v="May"/>
    <x v="4"/>
  </r>
  <r>
    <d v="2018-05-20T00:00:00"/>
    <x v="9"/>
    <x v="0"/>
    <n v="85760"/>
    <n v="43000"/>
    <x v="0"/>
    <x v="0"/>
    <x v="0"/>
    <n v="1"/>
    <n v="920"/>
    <n v="1.4223080000000001E-2"/>
    <x v="3"/>
    <n v="-42760"/>
    <n v="46.739100000000001"/>
    <x v="1"/>
    <s v="Low"/>
    <s v="Medium"/>
    <s v="May"/>
    <x v="4"/>
  </r>
  <r>
    <d v="2018-05-23T00:00:00"/>
    <x v="9"/>
    <x v="0"/>
    <n v="96480"/>
    <n v="160000"/>
    <x v="0"/>
    <x v="0"/>
    <x v="0"/>
    <n v="2"/>
    <n v="936"/>
    <n v="1.4223080000000001E-2"/>
    <x v="0"/>
    <n v="63520"/>
    <n v="170.9402"/>
    <x v="0"/>
    <s v="Low"/>
    <s v="Medium"/>
    <s v="May"/>
    <x v="4"/>
  </r>
  <r>
    <d v="2018-05-24T00:00:00"/>
    <x v="9"/>
    <x v="6"/>
    <n v="210140"/>
    <n v="347500"/>
    <x v="0"/>
    <x v="0"/>
    <x v="0"/>
    <n v="2"/>
    <n v="965"/>
    <n v="1.4223080000000001E-2"/>
    <x v="1"/>
    <n v="137360"/>
    <n v="360.10359999999997"/>
    <x v="0"/>
    <s v="Medium"/>
    <s v="Medium"/>
    <s v="May"/>
    <x v="4"/>
  </r>
  <r>
    <d v="2018-05-26T00:00:00"/>
    <x v="9"/>
    <x v="6"/>
    <n v="121030"/>
    <n v="177000"/>
    <x v="0"/>
    <x v="0"/>
    <x v="0"/>
    <n v="3"/>
    <n v="1040"/>
    <n v="1.4223080000000001E-2"/>
    <x v="2"/>
    <n v="55970"/>
    <n v="170.19229999999999"/>
    <x v="0"/>
    <s v="Low"/>
    <s v="Medium"/>
    <s v="May"/>
    <x v="4"/>
  </r>
  <r>
    <d v="2018-05-31T00:00:00"/>
    <x v="9"/>
    <x v="7"/>
    <n v="302920"/>
    <n v="581025"/>
    <x v="0"/>
    <x v="0"/>
    <x v="0"/>
    <n v="1"/>
    <n v="1022"/>
    <n v="1.4223080000000001E-2"/>
    <x v="3"/>
    <n v="278105"/>
    <n v="568.51760000000002"/>
    <x v="0"/>
    <s v="Medium"/>
    <s v="Medium"/>
    <s v="May"/>
    <x v="4"/>
  </r>
  <r>
    <d v="2018-06-01T00:00:00"/>
    <x v="9"/>
    <x v="7"/>
    <n v="444584.20699999999"/>
    <n v="410000"/>
    <x v="0"/>
    <x v="0"/>
    <x v="0"/>
    <n v="3"/>
    <n v="1031"/>
    <n v="1.4223080000000001E-2"/>
    <x v="0"/>
    <n v="-34584.207000000002"/>
    <n v="397.67219999999998"/>
    <x v="1"/>
    <s v="Medium"/>
    <s v="Medium"/>
    <s v="June"/>
    <x v="5"/>
  </r>
  <r>
    <d v="2018-06-02T00:00:00"/>
    <x v="9"/>
    <x v="6"/>
    <n v="299250"/>
    <n v="182500"/>
    <x v="0"/>
    <x v="0"/>
    <x v="0"/>
    <n v="2"/>
    <n v="1085"/>
    <n v="1.4223080000000001E-2"/>
    <x v="1"/>
    <n v="-116750"/>
    <n v="168.2028"/>
    <x v="1"/>
    <s v="Low"/>
    <s v="Medium"/>
    <s v="June"/>
    <x v="5"/>
  </r>
  <r>
    <d v="2018-06-03T00:00:00"/>
    <x v="9"/>
    <x v="0"/>
    <n v="77640"/>
    <n v="59000"/>
    <x v="0"/>
    <x v="0"/>
    <x v="0"/>
    <n v="1"/>
    <n v="1011"/>
    <n v="1.4223080000000001E-2"/>
    <x v="3"/>
    <n v="-18640"/>
    <n v="58.3581"/>
    <x v="1"/>
    <s v="Low"/>
    <s v="Medium"/>
    <s v="June"/>
    <x v="5"/>
  </r>
  <r>
    <d v="2018-06-06T00:00:00"/>
    <x v="9"/>
    <x v="0"/>
    <n v="118150"/>
    <n v="155000"/>
    <x v="0"/>
    <x v="0"/>
    <x v="0"/>
    <n v="2"/>
    <n v="910"/>
    <n v="1.4223080000000001E-2"/>
    <x v="2"/>
    <n v="36850"/>
    <n v="170.3297"/>
    <x v="0"/>
    <s v="Low"/>
    <s v="Medium"/>
    <s v="June"/>
    <x v="5"/>
  </r>
  <r>
    <d v="2018-06-07T00:00:00"/>
    <x v="9"/>
    <x v="6"/>
    <n v="589680"/>
    <n v="855000"/>
    <x v="0"/>
    <x v="0"/>
    <x v="0"/>
    <n v="2"/>
    <n v="1111.6589814177564"/>
    <n v="1.4223080000000001E-2"/>
    <x v="3"/>
    <n v="265320"/>
    <n v="769.12080000000003"/>
    <x v="0"/>
    <s v="High"/>
    <s v="Medium"/>
    <s v="June"/>
    <x v="5"/>
  </r>
  <r>
    <d v="2018-06-08T00:00:00"/>
    <x v="9"/>
    <x v="1"/>
    <n v="196510"/>
    <n v="340500"/>
    <x v="0"/>
    <x v="0"/>
    <x v="0"/>
    <n v="3"/>
    <n v="1054"/>
    <n v="1.4223080000000001E-2"/>
    <x v="1"/>
    <n v="143990"/>
    <n v="323.05500000000001"/>
    <x v="0"/>
    <s v="Medium"/>
    <s v="Medium"/>
    <s v="June"/>
    <x v="5"/>
  </r>
  <r>
    <d v="2018-06-09T00:00:00"/>
    <x v="9"/>
    <x v="0"/>
    <n v="93310"/>
    <n v="159500"/>
    <x v="0"/>
    <x v="0"/>
    <x v="0"/>
    <n v="1"/>
    <n v="1009"/>
    <n v="1.4223080000000001E-2"/>
    <x v="2"/>
    <n v="66190"/>
    <n v="158.07730000000001"/>
    <x v="0"/>
    <s v="Low"/>
    <s v="Medium"/>
    <s v="June"/>
    <x v="5"/>
  </r>
  <r>
    <d v="2018-06-10T00:00:00"/>
    <x v="9"/>
    <x v="5"/>
    <n v="454830"/>
    <n v="720000"/>
    <x v="0"/>
    <x v="0"/>
    <x v="0"/>
    <n v="3"/>
    <n v="1023"/>
    <n v="1.4223080000000001E-2"/>
    <x v="1"/>
    <n v="265170"/>
    <n v="703.81230000000005"/>
    <x v="0"/>
    <s v="High"/>
    <s v="Medium"/>
    <s v="June"/>
    <x v="5"/>
  </r>
  <r>
    <d v="2018-06-13T00:00:00"/>
    <x v="9"/>
    <x v="7"/>
    <n v="273130"/>
    <n v="465000"/>
    <x v="0"/>
    <x v="0"/>
    <x v="0"/>
    <n v="2"/>
    <n v="1001"/>
    <n v="1.4223080000000001E-2"/>
    <x v="1"/>
    <n v="191870"/>
    <n v="464.53550000000001"/>
    <x v="0"/>
    <s v="Medium"/>
    <s v="Medium"/>
    <s v="June"/>
    <x v="5"/>
  </r>
  <r>
    <d v="2018-06-14T00:00:00"/>
    <x v="9"/>
    <x v="0"/>
    <n v="31970"/>
    <n v="30000"/>
    <x v="1"/>
    <x v="1"/>
    <x v="1"/>
    <n v="4"/>
    <n v="1425"/>
    <n v="1.4223080000000001E-2"/>
    <x v="2"/>
    <n v="-1970"/>
    <n v="21.052600000000002"/>
    <x v="1"/>
    <s v="Low"/>
    <s v="Large"/>
    <s v="June"/>
    <x v="5"/>
  </r>
  <r>
    <d v="2018-06-16T00:00:00"/>
    <x v="9"/>
    <x v="7"/>
    <n v="193420"/>
    <n v="385000"/>
    <x v="1"/>
    <x v="1"/>
    <x v="1"/>
    <n v="3"/>
    <n v="1413"/>
    <n v="1.4223080000000001E-2"/>
    <x v="3"/>
    <n v="191580"/>
    <n v="272.4699"/>
    <x v="0"/>
    <s v="Medium"/>
    <s v="Large"/>
    <s v="June"/>
    <x v="5"/>
  </r>
  <r>
    <d v="2018-06-17T00:00:00"/>
    <x v="9"/>
    <x v="7"/>
    <n v="277970"/>
    <n v="420000"/>
    <x v="0"/>
    <x v="0"/>
    <x v="0"/>
    <n v="3"/>
    <n v="1096"/>
    <n v="1.4223080000000001E-2"/>
    <x v="2"/>
    <n v="142030"/>
    <n v="383.21170000000001"/>
    <x v="0"/>
    <s v="Medium"/>
    <s v="Medium"/>
    <s v="June"/>
    <x v="5"/>
  </r>
  <r>
    <d v="2018-06-20T00:00:00"/>
    <x v="9"/>
    <x v="6"/>
    <n v="161700"/>
    <n v="273000"/>
    <x v="0"/>
    <x v="0"/>
    <x v="0"/>
    <n v="3"/>
    <n v="1111.6589814177564"/>
    <n v="1.4223080000000001E-2"/>
    <x v="3"/>
    <n v="111300"/>
    <n v="245.5789"/>
    <x v="0"/>
    <s v="Medium"/>
    <s v="Medium"/>
    <s v="June"/>
    <x v="5"/>
  </r>
  <r>
    <d v="2018-06-21T00:00:00"/>
    <x v="9"/>
    <x v="0"/>
    <n v="64310"/>
    <n v="138500"/>
    <x v="2"/>
    <x v="2"/>
    <x v="2"/>
    <n v="5"/>
    <n v="1925"/>
    <n v="1.4223080000000001E-2"/>
    <x v="0"/>
    <n v="74190"/>
    <n v="71.948099999999997"/>
    <x v="0"/>
    <s v="Low"/>
    <s v="Large"/>
    <s v="June"/>
    <x v="5"/>
  </r>
  <r>
    <d v="2018-06-23T00:00:00"/>
    <x v="9"/>
    <x v="7"/>
    <n v="268390"/>
    <n v="529000"/>
    <x v="0"/>
    <x v="0"/>
    <x v="0"/>
    <n v="2"/>
    <n v="934"/>
    <n v="1.4223080000000001E-2"/>
    <x v="2"/>
    <n v="260610"/>
    <n v="566.38120000000004"/>
    <x v="0"/>
    <s v="Medium"/>
    <s v="Medium"/>
    <s v="June"/>
    <x v="5"/>
  </r>
  <r>
    <d v="2018-06-28T00:00:00"/>
    <x v="9"/>
    <x v="6"/>
    <n v="388640"/>
    <n v="765000"/>
    <x v="0"/>
    <x v="0"/>
    <x v="0"/>
    <n v="1"/>
    <n v="907"/>
    <n v="1.4223080000000001E-2"/>
    <x v="3"/>
    <n v="376360"/>
    <n v="843.43989999999997"/>
    <x v="0"/>
    <s v="High"/>
    <s v="Medium"/>
    <s v="June"/>
    <x v="5"/>
  </r>
  <r>
    <d v="2018-06-29T00:00:00"/>
    <x v="9"/>
    <x v="1"/>
    <n v="323030"/>
    <n v="392000"/>
    <x v="0"/>
    <x v="0"/>
    <x v="0"/>
    <n v="3"/>
    <n v="1004"/>
    <n v="1.4223080000000001E-2"/>
    <x v="2"/>
    <n v="68970"/>
    <n v="390.43819999999999"/>
    <x v="0"/>
    <s v="Medium"/>
    <s v="Medium"/>
    <s v="June"/>
    <x v="5"/>
  </r>
  <r>
    <d v="2018-06-30T00:00:00"/>
    <x v="9"/>
    <x v="5"/>
    <n v="474380"/>
    <n v="575000"/>
    <x v="0"/>
    <x v="0"/>
    <x v="0"/>
    <n v="2"/>
    <n v="1050"/>
    <n v="1.4223080000000001E-2"/>
    <x v="3"/>
    <n v="100620"/>
    <n v="547.61900000000003"/>
    <x v="0"/>
    <s v="Medium"/>
    <s v="Medium"/>
    <s v="June"/>
    <x v="5"/>
  </r>
  <r>
    <d v="2018-07-01T00:00:00"/>
    <x v="9"/>
    <x v="1"/>
    <n v="213860"/>
    <n v="354000"/>
    <x v="0"/>
    <x v="0"/>
    <x v="0"/>
    <n v="2"/>
    <n v="1055"/>
    <n v="1.4223080000000001E-2"/>
    <x v="1"/>
    <n v="140140"/>
    <n v="335.54500000000002"/>
    <x v="0"/>
    <s v="Medium"/>
    <s v="Medium"/>
    <s v="July"/>
    <x v="6"/>
  </r>
  <r>
    <d v="2018-07-05T00:00:00"/>
    <x v="9"/>
    <x v="6"/>
    <n v="173460"/>
    <n v="150500"/>
    <x v="0"/>
    <x v="0"/>
    <x v="0"/>
    <n v="2"/>
    <n v="1063"/>
    <n v="1.4223080000000001E-2"/>
    <x v="2"/>
    <n v="-22960"/>
    <n v="141.5804"/>
    <x v="1"/>
    <s v="Low"/>
    <s v="Medium"/>
    <s v="July"/>
    <x v="6"/>
  </r>
  <r>
    <d v="2018-07-06T00:00:00"/>
    <x v="9"/>
    <x v="0"/>
    <n v="86390"/>
    <n v="125000"/>
    <x v="2"/>
    <x v="2"/>
    <x v="2"/>
    <n v="6"/>
    <n v="2019"/>
    <n v="1.4223080000000001E-2"/>
    <x v="1"/>
    <n v="38610"/>
    <n v="61.911799999999999"/>
    <x v="0"/>
    <s v="Low"/>
    <s v="Large"/>
    <s v="July"/>
    <x v="6"/>
  </r>
  <r>
    <d v="2018-07-07T00:00:00"/>
    <x v="9"/>
    <x v="6"/>
    <n v="537600"/>
    <n v="910000"/>
    <x v="0"/>
    <x v="0"/>
    <x v="0"/>
    <n v="1"/>
    <n v="1008"/>
    <n v="1.4223080000000001E-2"/>
    <x v="0"/>
    <n v="372400"/>
    <n v="902.77779999999996"/>
    <x v="0"/>
    <s v="High"/>
    <s v="Medium"/>
    <s v="July"/>
    <x v="6"/>
  </r>
  <r>
    <d v="2018-07-08T00:00:00"/>
    <x v="9"/>
    <x v="0"/>
    <n v="95050"/>
    <n v="100000"/>
    <x v="0"/>
    <x v="0"/>
    <x v="0"/>
    <n v="3"/>
    <n v="1111.6589814177564"/>
    <n v="1.4223080000000001E-2"/>
    <x v="0"/>
    <n v="4950"/>
    <n v="89.955600000000004"/>
    <x v="0"/>
    <s v="Low"/>
    <s v="Medium"/>
    <s v="July"/>
    <x v="6"/>
  </r>
  <r>
    <d v="2018-07-11T00:00:00"/>
    <x v="9"/>
    <x v="0"/>
    <n v="444584.20699999999"/>
    <n v="26550"/>
    <x v="0"/>
    <x v="0"/>
    <x v="0"/>
    <n v="2"/>
    <n v="970"/>
    <n v="1.4223080000000001E-2"/>
    <x v="3"/>
    <n v="-418034.20699999999"/>
    <n v="27.371099999999998"/>
    <x v="1"/>
    <s v="Low"/>
    <s v="Medium"/>
    <s v="July"/>
    <x v="6"/>
  </r>
  <r>
    <d v="2018-07-12T00:00:00"/>
    <x v="9"/>
    <x v="6"/>
    <n v="278530"/>
    <n v="375000"/>
    <x v="0"/>
    <x v="0"/>
    <x v="0"/>
    <n v="1"/>
    <n v="994"/>
    <n v="1.4223080000000001E-2"/>
    <x v="0"/>
    <n v="96470"/>
    <n v="377.2636"/>
    <x v="0"/>
    <s v="Medium"/>
    <s v="Medium"/>
    <s v="July"/>
    <x v="6"/>
  </r>
  <r>
    <d v="2018-07-13T00:00:00"/>
    <x v="9"/>
    <x v="6"/>
    <n v="444584.20699999999"/>
    <n v="499000"/>
    <x v="0"/>
    <x v="0"/>
    <x v="0"/>
    <n v="3"/>
    <n v="1062"/>
    <n v="1.4223080000000001E-2"/>
    <x v="3"/>
    <n v="54415.792999999998"/>
    <n v="469.8682"/>
    <x v="0"/>
    <s v="Medium"/>
    <s v="Medium"/>
    <s v="July"/>
    <x v="6"/>
  </r>
  <r>
    <d v="2018-07-14T00:00:00"/>
    <x v="9"/>
    <x v="6"/>
    <n v="172900"/>
    <n v="230000"/>
    <x v="0"/>
    <x v="0"/>
    <x v="0"/>
    <n v="1"/>
    <n v="1049"/>
    <n v="1.4223080000000001E-2"/>
    <x v="1"/>
    <n v="57100"/>
    <n v="219.25640000000001"/>
    <x v="0"/>
    <s v="Medium"/>
    <s v="Medium"/>
    <s v="July"/>
    <x v="6"/>
  </r>
  <r>
    <d v="2018-07-15T00:00:00"/>
    <x v="9"/>
    <x v="0"/>
    <n v="62250"/>
    <n v="42387"/>
    <x v="0"/>
    <x v="0"/>
    <x v="0"/>
    <n v="1"/>
    <n v="1046"/>
    <n v="1.4223080000000001E-2"/>
    <x v="0"/>
    <n v="-19863"/>
    <n v="40.5229"/>
    <x v="1"/>
    <s v="Low"/>
    <s v="Medium"/>
    <s v="July"/>
    <x v="6"/>
  </r>
  <r>
    <d v="2018-07-18T00:00:00"/>
    <x v="9"/>
    <x v="6"/>
    <n v="154770"/>
    <n v="237500"/>
    <x v="0"/>
    <x v="0"/>
    <x v="0"/>
    <n v="1"/>
    <n v="951"/>
    <n v="1.4223080000000001E-2"/>
    <x v="0"/>
    <n v="82730"/>
    <n v="249.7371"/>
    <x v="0"/>
    <s v="Medium"/>
    <s v="Medium"/>
    <s v="July"/>
    <x v="6"/>
  </r>
  <r>
    <d v="2018-07-21T00:00:00"/>
    <x v="9"/>
    <x v="6"/>
    <n v="56700"/>
    <n v="104000"/>
    <x v="0"/>
    <x v="0"/>
    <x v="0"/>
    <n v="2"/>
    <n v="908"/>
    <n v="1.4223080000000001E-2"/>
    <x v="1"/>
    <n v="47300"/>
    <n v="114.53740000000001"/>
    <x v="0"/>
    <s v="Low"/>
    <s v="Medium"/>
    <s v="July"/>
    <x v="6"/>
  </r>
  <r>
    <d v="2018-07-22T00:00:00"/>
    <x v="9"/>
    <x v="1"/>
    <n v="203150"/>
    <n v="357000"/>
    <x v="0"/>
    <x v="0"/>
    <x v="0"/>
    <n v="2"/>
    <n v="999"/>
    <n v="1.4223080000000001E-2"/>
    <x v="1"/>
    <n v="153850"/>
    <n v="357.35739999999998"/>
    <x v="0"/>
    <s v="Medium"/>
    <s v="Medium"/>
    <s v="July"/>
    <x v="6"/>
  </r>
  <r>
    <d v="2018-07-25T00:00:00"/>
    <x v="9"/>
    <x v="6"/>
    <n v="218190"/>
    <n v="345000"/>
    <x v="0"/>
    <x v="0"/>
    <x v="0"/>
    <n v="3"/>
    <n v="1111.6589814177564"/>
    <n v="1.4223080000000001E-2"/>
    <x v="3"/>
    <n v="126810"/>
    <n v="310.34699999999998"/>
    <x v="0"/>
    <s v="Medium"/>
    <s v="Medium"/>
    <s v="July"/>
    <x v="6"/>
  </r>
  <r>
    <d v="2018-07-27T00:00:00"/>
    <x v="9"/>
    <x v="7"/>
    <n v="532770"/>
    <n v="700000"/>
    <x v="0"/>
    <x v="0"/>
    <x v="0"/>
    <n v="2"/>
    <n v="913"/>
    <n v="1.4223080000000001E-2"/>
    <x v="0"/>
    <n v="167230"/>
    <n v="766.70320000000004"/>
    <x v="0"/>
    <s v="High"/>
    <s v="Medium"/>
    <s v="July"/>
    <x v="6"/>
  </r>
  <r>
    <d v="2018-07-28T00:00:00"/>
    <x v="9"/>
    <x v="6"/>
    <n v="127960"/>
    <n v="160500"/>
    <x v="0"/>
    <x v="0"/>
    <x v="0"/>
    <n v="2"/>
    <n v="920"/>
    <n v="1.4223080000000001E-2"/>
    <x v="0"/>
    <n v="32540"/>
    <n v="174.45650000000001"/>
    <x v="0"/>
    <s v="Low"/>
    <s v="Medium"/>
    <s v="July"/>
    <x v="6"/>
  </r>
  <r>
    <d v="2018-07-29T00:00:00"/>
    <x v="9"/>
    <x v="0"/>
    <n v="65860"/>
    <n v="56175"/>
    <x v="1"/>
    <x v="1"/>
    <x v="1"/>
    <n v="3"/>
    <n v="1344"/>
    <n v="1.4223080000000001E-2"/>
    <x v="2"/>
    <n v="-9685"/>
    <n v="41.796900000000001"/>
    <x v="1"/>
    <s v="Low"/>
    <s v="Large"/>
    <s v="July"/>
    <x v="6"/>
  </r>
  <r>
    <d v="2018-08-01T00:00:00"/>
    <x v="9"/>
    <x v="7"/>
    <n v="269350"/>
    <n v="428500"/>
    <x v="0"/>
    <x v="0"/>
    <x v="0"/>
    <n v="1"/>
    <n v="1015"/>
    <n v="1.4223080000000001E-2"/>
    <x v="3"/>
    <n v="159150"/>
    <n v="422.16750000000002"/>
    <x v="0"/>
    <s v="Medium"/>
    <s v="Medium"/>
    <s v="August"/>
    <x v="7"/>
  </r>
  <r>
    <d v="2018-08-02T00:00:00"/>
    <x v="9"/>
    <x v="0"/>
    <n v="113340"/>
    <n v="165800"/>
    <x v="0"/>
    <x v="0"/>
    <x v="0"/>
    <n v="3"/>
    <n v="1090"/>
    <n v="1.4223080000000001E-2"/>
    <x v="3"/>
    <n v="52460"/>
    <n v="152.11009999999999"/>
    <x v="0"/>
    <s v="Low"/>
    <s v="Medium"/>
    <s v="August"/>
    <x v="7"/>
  </r>
  <r>
    <d v="2018-08-03T00:00:00"/>
    <x v="9"/>
    <x v="7"/>
    <n v="302360"/>
    <n v="538350"/>
    <x v="0"/>
    <x v="0"/>
    <x v="0"/>
    <n v="3"/>
    <n v="916"/>
    <n v="1.4223080000000001E-2"/>
    <x v="0"/>
    <n v="235990"/>
    <n v="587.7183"/>
    <x v="0"/>
    <s v="Medium"/>
    <s v="Medium"/>
    <s v="August"/>
    <x v="7"/>
  </r>
  <r>
    <d v="2018-08-04T00:00:00"/>
    <x v="9"/>
    <x v="7"/>
    <n v="614250"/>
    <n v="1065000"/>
    <x v="0"/>
    <x v="0"/>
    <x v="0"/>
    <n v="3"/>
    <n v="1096"/>
    <n v="1.4223080000000001E-2"/>
    <x v="3"/>
    <n v="450750"/>
    <n v="971.71529999999996"/>
    <x v="0"/>
    <s v="High"/>
    <s v="Medium"/>
    <s v="August"/>
    <x v="7"/>
  </r>
  <r>
    <d v="2018-08-05T00:00:00"/>
    <x v="9"/>
    <x v="0"/>
    <n v="25970"/>
    <n v="35000"/>
    <x v="2"/>
    <x v="2"/>
    <x v="2"/>
    <n v="6"/>
    <n v="1830"/>
    <n v="1.4223080000000001E-2"/>
    <x v="0"/>
    <n v="9030"/>
    <n v="19.125699999999998"/>
    <x v="0"/>
    <s v="Low"/>
    <s v="Large"/>
    <s v="August"/>
    <x v="7"/>
  </r>
  <r>
    <d v="2018-08-08T00:00:00"/>
    <x v="9"/>
    <x v="7"/>
    <n v="310610"/>
    <n v="456000"/>
    <x v="0"/>
    <x v="0"/>
    <x v="0"/>
    <n v="1"/>
    <n v="1092"/>
    <n v="1.4223080000000001E-2"/>
    <x v="0"/>
    <n v="145390"/>
    <n v="417.58240000000001"/>
    <x v="0"/>
    <s v="Medium"/>
    <s v="Medium"/>
    <s v="August"/>
    <x v="7"/>
  </r>
  <r>
    <d v="2018-08-09T00:00:00"/>
    <x v="9"/>
    <x v="7"/>
    <n v="1547280"/>
    <n v="2100000"/>
    <x v="0"/>
    <x v="0"/>
    <x v="0"/>
    <n v="3"/>
    <n v="1024"/>
    <n v="1.4223080000000001E-2"/>
    <x v="3"/>
    <n v="552720"/>
    <n v="2050.7811999999999"/>
    <x v="0"/>
    <s v="High"/>
    <s v="Medium"/>
    <s v="August"/>
    <x v="7"/>
  </r>
  <r>
    <d v="2018-08-10T00:00:00"/>
    <x v="9"/>
    <x v="1"/>
    <n v="350960"/>
    <n v="855000"/>
    <x v="0"/>
    <x v="0"/>
    <x v="0"/>
    <n v="3"/>
    <n v="904"/>
    <n v="1.4223080000000001E-2"/>
    <x v="1"/>
    <n v="504040"/>
    <n v="945.79650000000004"/>
    <x v="0"/>
    <s v="High"/>
    <s v="Medium"/>
    <s v="August"/>
    <x v="7"/>
  </r>
  <r>
    <d v="2018-08-16T00:00:00"/>
    <x v="9"/>
    <x v="0"/>
    <n v="94430"/>
    <n v="160000"/>
    <x v="3"/>
    <x v="3"/>
    <x v="3"/>
    <n v="8"/>
    <n v="2472"/>
    <n v="1.4223080000000001E-2"/>
    <x v="3"/>
    <n v="65570"/>
    <n v="64.724900000000005"/>
    <x v="0"/>
    <s v="Low"/>
    <s v="Large"/>
    <s v="August"/>
    <x v="7"/>
  </r>
  <r>
    <d v="2018-08-17T00:00:00"/>
    <x v="9"/>
    <x v="0"/>
    <n v="74490"/>
    <n v="31500"/>
    <x v="0"/>
    <x v="0"/>
    <x v="0"/>
    <n v="2"/>
    <n v="1024"/>
    <n v="1.4223080000000001E-2"/>
    <x v="0"/>
    <n v="-42990"/>
    <n v="30.761700000000001"/>
    <x v="1"/>
    <s v="Low"/>
    <s v="Medium"/>
    <s v="August"/>
    <x v="7"/>
  </r>
  <r>
    <d v="2018-08-18T00:00:00"/>
    <x v="9"/>
    <x v="0"/>
    <n v="75760"/>
    <n v="55000"/>
    <x v="0"/>
    <x v="0"/>
    <x v="0"/>
    <n v="2"/>
    <n v="1096"/>
    <n v="1.4223080000000001E-2"/>
    <x v="0"/>
    <n v="-20760"/>
    <n v="50.182499999999997"/>
    <x v="1"/>
    <s v="Low"/>
    <s v="Medium"/>
    <s v="August"/>
    <x v="7"/>
  </r>
  <r>
    <d v="2018-08-22T00:00:00"/>
    <x v="9"/>
    <x v="6"/>
    <n v="236040"/>
    <n v="385000"/>
    <x v="0"/>
    <x v="0"/>
    <x v="0"/>
    <n v="1"/>
    <n v="1111.6589814177564"/>
    <n v="1.4223080000000001E-2"/>
    <x v="1"/>
    <n v="148960"/>
    <n v="346.32920000000001"/>
    <x v="0"/>
    <s v="Medium"/>
    <s v="Medium"/>
    <s v="August"/>
    <x v="7"/>
  </r>
  <r>
    <d v="2018-08-23T00:00:00"/>
    <x v="9"/>
    <x v="6"/>
    <n v="159740"/>
    <n v="282000"/>
    <x v="0"/>
    <x v="0"/>
    <x v="0"/>
    <n v="3"/>
    <n v="973"/>
    <n v="1.4223080000000001E-2"/>
    <x v="1"/>
    <n v="122260"/>
    <n v="289.82530000000003"/>
    <x v="0"/>
    <s v="Medium"/>
    <s v="Medium"/>
    <s v="August"/>
    <x v="7"/>
  </r>
  <r>
    <d v="2018-08-24T00:00:00"/>
    <x v="9"/>
    <x v="6"/>
    <n v="444584.20699999999"/>
    <n v="290000"/>
    <x v="0"/>
    <x v="0"/>
    <x v="0"/>
    <n v="2"/>
    <n v="995"/>
    <n v="1.4223080000000001E-2"/>
    <x v="3"/>
    <n v="-154584.20699999999"/>
    <n v="291.45729999999998"/>
    <x v="1"/>
    <s v="Medium"/>
    <s v="Medium"/>
    <s v="August"/>
    <x v="7"/>
  </r>
  <r>
    <d v="2018-08-25T00:00:00"/>
    <x v="9"/>
    <x v="0"/>
    <n v="64140"/>
    <n v="50500"/>
    <x v="0"/>
    <x v="0"/>
    <x v="0"/>
    <n v="1"/>
    <n v="1096"/>
    <n v="1.4223080000000001E-2"/>
    <x v="1"/>
    <n v="-13640"/>
    <n v="46.076599999999999"/>
    <x v="1"/>
    <s v="Low"/>
    <s v="Medium"/>
    <s v="August"/>
    <x v="7"/>
  </r>
  <r>
    <d v="2018-08-26T00:00:00"/>
    <x v="9"/>
    <x v="0"/>
    <n v="62720"/>
    <n v="45000"/>
    <x v="2"/>
    <x v="2"/>
    <x v="2"/>
    <n v="5"/>
    <n v="2027"/>
    <n v="1.4223080000000001E-2"/>
    <x v="3"/>
    <n v="-17720"/>
    <n v="22.200299999999999"/>
    <x v="1"/>
    <s v="Low"/>
    <s v="Large"/>
    <s v="August"/>
    <x v="7"/>
  </r>
  <r>
    <d v="2018-08-29T00:00:00"/>
    <x v="9"/>
    <x v="6"/>
    <n v="224420"/>
    <n v="335000"/>
    <x v="0"/>
    <x v="0"/>
    <x v="0"/>
    <n v="1"/>
    <n v="1036"/>
    <n v="1.4223080000000001E-2"/>
    <x v="3"/>
    <n v="110580"/>
    <n v="323.35910000000001"/>
    <x v="0"/>
    <s v="Medium"/>
    <s v="Medium"/>
    <s v="August"/>
    <x v="7"/>
  </r>
  <r>
    <d v="2018-08-30T00:00:00"/>
    <x v="9"/>
    <x v="7"/>
    <n v="232750"/>
    <n v="380000"/>
    <x v="0"/>
    <x v="0"/>
    <x v="0"/>
    <n v="1"/>
    <n v="1067"/>
    <n v="1.4223080000000001E-2"/>
    <x v="3"/>
    <n v="147250"/>
    <n v="356.13869999999997"/>
    <x v="0"/>
    <s v="Medium"/>
    <s v="Medium"/>
    <s v="August"/>
    <x v="7"/>
  </r>
  <r>
    <d v="2018-08-31T00:00:00"/>
    <x v="9"/>
    <x v="0"/>
    <n v="71400"/>
    <n v="81600"/>
    <x v="0"/>
    <x v="0"/>
    <x v="0"/>
    <n v="3"/>
    <n v="923"/>
    <n v="1.4223080000000001E-2"/>
    <x v="2"/>
    <n v="10200"/>
    <n v="88.407399999999996"/>
    <x v="0"/>
    <s v="Low"/>
    <s v="Medium"/>
    <s v="August"/>
    <x v="7"/>
  </r>
  <r>
    <d v="2018-09-01T00:00:00"/>
    <x v="9"/>
    <x v="0"/>
    <n v="110510"/>
    <n v="50350"/>
    <x v="0"/>
    <x v="0"/>
    <x v="0"/>
    <n v="3"/>
    <n v="938"/>
    <n v="1.4223080000000001E-2"/>
    <x v="0"/>
    <n v="-60160"/>
    <n v="53.677999999999997"/>
    <x v="1"/>
    <s v="Low"/>
    <s v="Medium"/>
    <s v="September"/>
    <x v="8"/>
  </r>
  <r>
    <d v="2018-09-02T00:00:00"/>
    <x v="9"/>
    <x v="6"/>
    <n v="502250"/>
    <n v="686000"/>
    <x v="0"/>
    <x v="0"/>
    <x v="0"/>
    <n v="1"/>
    <n v="954"/>
    <n v="1.4223080000000001E-2"/>
    <x v="0"/>
    <n v="183750"/>
    <n v="719.07759999999996"/>
    <x v="0"/>
    <s v="High"/>
    <s v="Medium"/>
    <s v="September"/>
    <x v="8"/>
  </r>
  <r>
    <d v="2018-09-06T00:00:00"/>
    <x v="9"/>
    <x v="7"/>
    <n v="191860"/>
    <n v="316000"/>
    <x v="0"/>
    <x v="0"/>
    <x v="0"/>
    <n v="3"/>
    <n v="1077"/>
    <n v="1.4223080000000001E-2"/>
    <x v="1"/>
    <n v="124140"/>
    <n v="293.4076"/>
    <x v="0"/>
    <s v="Medium"/>
    <s v="Medium"/>
    <s v="September"/>
    <x v="8"/>
  </r>
  <r>
    <d v="2018-09-08T00:00:00"/>
    <x v="9"/>
    <x v="0"/>
    <n v="444584.20699999999"/>
    <n v="54000"/>
    <x v="0"/>
    <x v="0"/>
    <x v="0"/>
    <n v="1"/>
    <n v="1111.6589814177564"/>
    <n v="1.4223080000000001E-2"/>
    <x v="1"/>
    <n v="-390584.20699999999"/>
    <n v="48.576000000000001"/>
    <x v="1"/>
    <s v="Low"/>
    <s v="Medium"/>
    <s v="September"/>
    <x v="8"/>
  </r>
  <r>
    <d v="2018-09-09T00:00:00"/>
    <x v="9"/>
    <x v="0"/>
    <n v="59800"/>
    <n v="132500"/>
    <x v="0"/>
    <x v="0"/>
    <x v="0"/>
    <n v="2"/>
    <n v="1111.6589814177564"/>
    <n v="1.4223080000000001E-2"/>
    <x v="0"/>
    <n v="72700"/>
    <n v="119.19119999999999"/>
    <x v="0"/>
    <s v="Low"/>
    <s v="Medium"/>
    <s v="September"/>
    <x v="8"/>
  </r>
  <r>
    <d v="2018-09-12T00:00:00"/>
    <x v="9"/>
    <x v="6"/>
    <n v="202230"/>
    <n v="445000"/>
    <x v="0"/>
    <x v="0"/>
    <x v="0"/>
    <n v="2"/>
    <n v="921"/>
    <n v="1.4223080000000001E-2"/>
    <x v="0"/>
    <n v="242770"/>
    <n v="483.1705"/>
    <x v="0"/>
    <s v="Medium"/>
    <s v="Medium"/>
    <s v="September"/>
    <x v="8"/>
  </r>
  <r>
    <d v="2018-09-16T00:00:00"/>
    <x v="9"/>
    <x v="0"/>
    <n v="444584.20699999999"/>
    <n v="125000"/>
    <x v="0"/>
    <x v="0"/>
    <x v="0"/>
    <n v="1"/>
    <n v="919"/>
    <n v="1.4223080000000001E-2"/>
    <x v="3"/>
    <n v="-319584.20699999999"/>
    <n v="136.01740000000001"/>
    <x v="1"/>
    <s v="Low"/>
    <s v="Medium"/>
    <s v="September"/>
    <x v="8"/>
  </r>
  <r>
    <d v="2018-09-19T00:00:00"/>
    <x v="9"/>
    <x v="5"/>
    <n v="95610"/>
    <n v="134900"/>
    <x v="0"/>
    <x v="0"/>
    <x v="0"/>
    <n v="2"/>
    <n v="1033"/>
    <n v="1.4223080000000001E-2"/>
    <x v="0"/>
    <n v="39290"/>
    <n v="130.59049999999999"/>
    <x v="0"/>
    <s v="Low"/>
    <s v="Medium"/>
    <s v="September"/>
    <x v="8"/>
  </r>
  <r>
    <d v="2018-09-20T00:00:00"/>
    <x v="9"/>
    <x v="6"/>
    <n v="444584.20699999999"/>
    <n v="207000"/>
    <x v="0"/>
    <x v="0"/>
    <x v="0"/>
    <n v="3"/>
    <n v="951"/>
    <n v="1.4223080000000001E-2"/>
    <x v="0"/>
    <n v="-237584.20699999999"/>
    <n v="217.66560000000001"/>
    <x v="1"/>
    <s v="Medium"/>
    <s v="Medium"/>
    <s v="September"/>
    <x v="8"/>
  </r>
  <r>
    <d v="2018-09-21T00:00:00"/>
    <x v="9"/>
    <x v="0"/>
    <n v="37670"/>
    <n v="30000"/>
    <x v="0"/>
    <x v="0"/>
    <x v="0"/>
    <n v="2"/>
    <n v="1064"/>
    <n v="1.4223080000000001E-2"/>
    <x v="2"/>
    <n v="-7670"/>
    <n v="28.195499999999999"/>
    <x v="1"/>
    <s v="Low"/>
    <s v="Medium"/>
    <s v="September"/>
    <x v="8"/>
  </r>
  <r>
    <d v="2018-09-23T00:00:00"/>
    <x v="9"/>
    <x v="0"/>
    <n v="95520"/>
    <n v="236000"/>
    <x v="1"/>
    <x v="1"/>
    <x v="1"/>
    <n v="4"/>
    <n v="1215"/>
    <n v="1.4223080000000001E-2"/>
    <x v="2"/>
    <n v="140480"/>
    <n v="194.23869999999999"/>
    <x v="0"/>
    <s v="Medium"/>
    <s v="Medium"/>
    <s v="September"/>
    <x v="8"/>
  </r>
  <r>
    <d v="2018-09-26T00:00:00"/>
    <x v="9"/>
    <x v="0"/>
    <n v="66560"/>
    <n v="93000"/>
    <x v="0"/>
    <x v="0"/>
    <x v="0"/>
    <n v="1"/>
    <n v="980"/>
    <n v="1.4223080000000001E-2"/>
    <x v="1"/>
    <n v="26440"/>
    <n v="94.897999999999996"/>
    <x v="0"/>
    <s v="Low"/>
    <s v="Medium"/>
    <s v="September"/>
    <x v="8"/>
  </r>
  <r>
    <d v="2018-09-27T00:00:00"/>
    <x v="9"/>
    <x v="5"/>
    <n v="107040"/>
    <n v="21000"/>
    <x v="2"/>
    <x v="2"/>
    <x v="2"/>
    <n v="5"/>
    <n v="1839"/>
    <n v="1.4223080000000001E-2"/>
    <x v="2"/>
    <n v="-86040"/>
    <n v="11.4192"/>
    <x v="1"/>
    <s v="Low"/>
    <s v="Large"/>
    <s v="September"/>
    <x v="8"/>
  </r>
  <r>
    <d v="2018-09-28T00:00:00"/>
    <x v="9"/>
    <x v="0"/>
    <n v="72410"/>
    <n v="90000"/>
    <x v="0"/>
    <x v="0"/>
    <x v="0"/>
    <n v="2"/>
    <n v="1111.6589814177564"/>
    <n v="1.4223080000000001E-2"/>
    <x v="3"/>
    <n v="17590"/>
    <n v="80.960099999999997"/>
    <x v="0"/>
    <s v="Low"/>
    <s v="Medium"/>
    <s v="September"/>
    <x v="8"/>
  </r>
  <r>
    <d v="2018-09-29T00:00:00"/>
    <x v="9"/>
    <x v="0"/>
    <n v="103160"/>
    <n v="169000"/>
    <x v="0"/>
    <x v="0"/>
    <x v="0"/>
    <n v="1"/>
    <n v="1049"/>
    <n v="1.4223080000000001E-2"/>
    <x v="0"/>
    <n v="65840"/>
    <n v="161.10579999999999"/>
    <x v="0"/>
    <s v="Low"/>
    <s v="Medium"/>
    <s v="September"/>
    <x v="8"/>
  </r>
  <r>
    <d v="2018-09-30T00:00:00"/>
    <x v="9"/>
    <x v="6"/>
    <n v="144830"/>
    <n v="189900"/>
    <x v="0"/>
    <x v="0"/>
    <x v="0"/>
    <n v="1"/>
    <n v="960"/>
    <n v="1.4223080000000001E-2"/>
    <x v="3"/>
    <n v="45070"/>
    <n v="197.8125"/>
    <x v="0"/>
    <s v="Low"/>
    <s v="Medium"/>
    <s v="September"/>
    <x v="8"/>
  </r>
  <r>
    <d v="2018-10-03T00:00:00"/>
    <x v="9"/>
    <x v="7"/>
    <n v="746710"/>
    <n v="1085000"/>
    <x v="0"/>
    <x v="0"/>
    <x v="0"/>
    <n v="1"/>
    <n v="1079"/>
    <n v="1.4223080000000001E-2"/>
    <x v="3"/>
    <n v="338290"/>
    <n v="1005.5607"/>
    <x v="0"/>
    <s v="High"/>
    <s v="Medium"/>
    <s v="October"/>
    <x v="9"/>
  </r>
  <r>
    <d v="2018-10-04T00:00:00"/>
    <x v="9"/>
    <x v="3"/>
    <n v="986020"/>
    <n v="1715000"/>
    <x v="0"/>
    <x v="0"/>
    <x v="0"/>
    <n v="1"/>
    <n v="924"/>
    <n v="1.4223080000000001E-2"/>
    <x v="2"/>
    <n v="728980"/>
    <n v="1856.0606"/>
    <x v="0"/>
    <s v="High"/>
    <s v="Medium"/>
    <s v="October"/>
    <x v="9"/>
  </r>
  <r>
    <d v="2018-10-05T00:00:00"/>
    <x v="9"/>
    <x v="1"/>
    <n v="997440"/>
    <n v="1630000"/>
    <x v="0"/>
    <x v="0"/>
    <x v="0"/>
    <n v="3"/>
    <n v="951"/>
    <n v="1.4223080000000001E-2"/>
    <x v="3"/>
    <n v="632560"/>
    <n v="1713.9853000000001"/>
    <x v="0"/>
    <s v="High"/>
    <s v="Medium"/>
    <s v="October"/>
    <x v="9"/>
  </r>
  <r>
    <d v="2018-10-06T00:00:00"/>
    <x v="9"/>
    <x v="5"/>
    <n v="203220"/>
    <n v="300000"/>
    <x v="0"/>
    <x v="0"/>
    <x v="0"/>
    <n v="3"/>
    <n v="928"/>
    <n v="1.4223080000000001E-2"/>
    <x v="0"/>
    <n v="96780"/>
    <n v="323.27589999999998"/>
    <x v="0"/>
    <s v="Medium"/>
    <s v="Medium"/>
    <s v="October"/>
    <x v="9"/>
  </r>
  <r>
    <d v="2018-10-07T00:00:00"/>
    <x v="9"/>
    <x v="0"/>
    <n v="444584.20699999999"/>
    <n v="173500"/>
    <x v="0"/>
    <x v="0"/>
    <x v="0"/>
    <n v="2"/>
    <n v="924"/>
    <n v="1.4223080000000001E-2"/>
    <x v="0"/>
    <n v="-271084.20699999999"/>
    <n v="187.7706"/>
    <x v="1"/>
    <s v="Low"/>
    <s v="Medium"/>
    <s v="October"/>
    <x v="9"/>
  </r>
  <r>
    <d v="2018-10-12T00:00:00"/>
    <x v="9"/>
    <x v="7"/>
    <n v="317150"/>
    <n v="558125"/>
    <x v="0"/>
    <x v="0"/>
    <x v="0"/>
    <n v="1"/>
    <n v="926"/>
    <n v="1.4223080000000001E-2"/>
    <x v="0"/>
    <n v="240975"/>
    <n v="602.72680000000003"/>
    <x v="0"/>
    <s v="Medium"/>
    <s v="Medium"/>
    <s v="October"/>
    <x v="9"/>
  </r>
  <r>
    <d v="2018-10-13T00:00:00"/>
    <x v="9"/>
    <x v="1"/>
    <n v="264360"/>
    <n v="285000"/>
    <x v="0"/>
    <x v="0"/>
    <x v="0"/>
    <n v="1"/>
    <n v="917"/>
    <n v="1.4223080000000001E-2"/>
    <x v="2"/>
    <n v="20640"/>
    <n v="310.79610000000002"/>
    <x v="0"/>
    <s v="Medium"/>
    <s v="Medium"/>
    <s v="October"/>
    <x v="9"/>
  </r>
  <r>
    <d v="2018-10-14T00:00:00"/>
    <x v="9"/>
    <x v="3"/>
    <n v="2948050"/>
    <n v="4350000"/>
    <x v="0"/>
    <x v="0"/>
    <x v="0"/>
    <n v="2"/>
    <n v="939"/>
    <n v="1.4223080000000001E-2"/>
    <x v="0"/>
    <n v="1401950"/>
    <n v="4632.5879000000004"/>
    <x v="0"/>
    <s v="High"/>
    <s v="Medium"/>
    <s v="October"/>
    <x v="9"/>
  </r>
  <r>
    <d v="2018-10-16T00:00:00"/>
    <x v="9"/>
    <x v="4"/>
    <n v="268520"/>
    <n v="266000"/>
    <x v="0"/>
    <x v="0"/>
    <x v="0"/>
    <n v="1"/>
    <n v="975"/>
    <n v="1.4223080000000001E-2"/>
    <x v="1"/>
    <n v="-2520"/>
    <n v="272.82049999999998"/>
    <x v="1"/>
    <s v="Medium"/>
    <s v="Medium"/>
    <s v="October"/>
    <x v="9"/>
  </r>
  <r>
    <d v="2018-10-17T00:00:00"/>
    <x v="9"/>
    <x v="2"/>
    <n v="97440"/>
    <n v="44000"/>
    <x v="0"/>
    <x v="0"/>
    <x v="0"/>
    <n v="2"/>
    <n v="1018"/>
    <n v="1.4223080000000001E-2"/>
    <x v="1"/>
    <n v="-53440"/>
    <n v="43.222000000000001"/>
    <x v="1"/>
    <s v="Low"/>
    <s v="Medium"/>
    <s v="October"/>
    <x v="9"/>
  </r>
  <r>
    <d v="2018-10-18T00:00:00"/>
    <x v="9"/>
    <x v="2"/>
    <n v="94870"/>
    <n v="160000"/>
    <x v="0"/>
    <x v="0"/>
    <x v="0"/>
    <n v="1"/>
    <n v="901"/>
    <n v="1.4223080000000001E-2"/>
    <x v="0"/>
    <n v="65130"/>
    <n v="177.5805"/>
    <x v="0"/>
    <s v="Low"/>
    <s v="Medium"/>
    <s v="October"/>
    <x v="9"/>
  </r>
  <r>
    <d v="2018-10-19T00:00:00"/>
    <x v="9"/>
    <x v="0"/>
    <n v="73230"/>
    <n v="83660"/>
    <x v="0"/>
    <x v="0"/>
    <x v="0"/>
    <n v="1"/>
    <n v="1086"/>
    <n v="1.4223080000000001E-2"/>
    <x v="0"/>
    <n v="10430"/>
    <n v="77.034999999999997"/>
    <x v="0"/>
    <s v="Low"/>
    <s v="Medium"/>
    <s v="October"/>
    <x v="9"/>
  </r>
  <r>
    <d v="2018-10-21T00:00:00"/>
    <x v="9"/>
    <x v="0"/>
    <n v="84020"/>
    <n v="170000"/>
    <x v="0"/>
    <x v="0"/>
    <x v="0"/>
    <n v="2"/>
    <n v="1076"/>
    <n v="1.4223080000000001E-2"/>
    <x v="2"/>
    <n v="85980"/>
    <n v="157.99260000000001"/>
    <x v="0"/>
    <s v="Low"/>
    <s v="Medium"/>
    <s v="October"/>
    <x v="9"/>
  </r>
  <r>
    <d v="2018-10-26T00:00:00"/>
    <x v="9"/>
    <x v="5"/>
    <n v="444584.20699999999"/>
    <n v="268000"/>
    <x v="0"/>
    <x v="0"/>
    <x v="0"/>
    <n v="3"/>
    <n v="981"/>
    <n v="1.4223080000000001E-2"/>
    <x v="0"/>
    <n v="-176584.20699999999"/>
    <n v="273.19060000000002"/>
    <x v="1"/>
    <s v="Medium"/>
    <s v="Medium"/>
    <s v="October"/>
    <x v="9"/>
  </r>
  <r>
    <d v="2018-10-27T00:00:00"/>
    <x v="9"/>
    <x v="0"/>
    <n v="108766"/>
    <n v="90000"/>
    <x v="1"/>
    <x v="1"/>
    <x v="1"/>
    <n v="3"/>
    <n v="1306"/>
    <n v="1.4223080000000001E-2"/>
    <x v="2"/>
    <n v="-18766"/>
    <n v="68.912700000000001"/>
    <x v="1"/>
    <s v="Low"/>
    <s v="Large"/>
    <s v="October"/>
    <x v="9"/>
  </r>
  <r>
    <d v="2018-10-28T00:00:00"/>
    <x v="9"/>
    <x v="7"/>
    <n v="677420"/>
    <n v="975500"/>
    <x v="0"/>
    <x v="0"/>
    <x v="0"/>
    <n v="1"/>
    <n v="1017"/>
    <n v="1.4223080000000001E-2"/>
    <x v="3"/>
    <n v="298080"/>
    <n v="959.19370000000004"/>
    <x v="0"/>
    <s v="High"/>
    <s v="Medium"/>
    <s v="October"/>
    <x v="9"/>
  </r>
  <r>
    <d v="2018-10-31T00:00:00"/>
    <x v="9"/>
    <x v="1"/>
    <n v="424830"/>
    <n v="715000"/>
    <x v="0"/>
    <x v="0"/>
    <x v="0"/>
    <n v="3"/>
    <n v="1063"/>
    <n v="1.4223080000000001E-2"/>
    <x v="0"/>
    <n v="290170"/>
    <n v="672.62459999999999"/>
    <x v="0"/>
    <s v="High"/>
    <s v="Medium"/>
    <s v="October"/>
    <x v="9"/>
  </r>
  <r>
    <d v="2018-11-01T00:00:00"/>
    <x v="9"/>
    <x v="7"/>
    <n v="503120"/>
    <n v="764000"/>
    <x v="0"/>
    <x v="0"/>
    <x v="0"/>
    <n v="1"/>
    <n v="926"/>
    <n v="1.4223080000000001E-2"/>
    <x v="2"/>
    <n v="260880"/>
    <n v="825.05399999999997"/>
    <x v="0"/>
    <s v="High"/>
    <s v="Medium"/>
    <s v="November"/>
    <x v="10"/>
  </r>
  <r>
    <d v="2018-11-02T00:00:00"/>
    <x v="9"/>
    <x v="1"/>
    <n v="189120"/>
    <n v="254000"/>
    <x v="0"/>
    <x v="0"/>
    <x v="0"/>
    <n v="1"/>
    <n v="1111.6589814177564"/>
    <n v="1.4223080000000001E-2"/>
    <x v="2"/>
    <n v="64880"/>
    <n v="228.4873"/>
    <x v="0"/>
    <s v="Medium"/>
    <s v="Medium"/>
    <s v="November"/>
    <x v="10"/>
  </r>
  <r>
    <d v="2018-11-03T00:00:00"/>
    <x v="9"/>
    <x v="7"/>
    <n v="266830"/>
    <n v="275000"/>
    <x v="0"/>
    <x v="0"/>
    <x v="0"/>
    <n v="1"/>
    <n v="1111.6589814177564"/>
    <n v="1.4223080000000001E-2"/>
    <x v="1"/>
    <n v="8170"/>
    <n v="247.37799999999999"/>
    <x v="0"/>
    <s v="Medium"/>
    <s v="Medium"/>
    <s v="November"/>
    <x v="10"/>
  </r>
  <r>
    <d v="2018-11-04T00:00:00"/>
    <x v="9"/>
    <x v="5"/>
    <n v="388870"/>
    <n v="585000"/>
    <x v="0"/>
    <x v="0"/>
    <x v="0"/>
    <n v="2"/>
    <n v="1065"/>
    <n v="1.4223080000000001E-2"/>
    <x v="2"/>
    <n v="196130"/>
    <n v="549.29579999999999"/>
    <x v="0"/>
    <s v="Medium"/>
    <s v="Medium"/>
    <s v="November"/>
    <x v="10"/>
  </r>
  <r>
    <d v="2018-11-07T00:00:00"/>
    <x v="9"/>
    <x v="0"/>
    <n v="444584.20699999999"/>
    <n v="30000"/>
    <x v="2"/>
    <x v="2"/>
    <x v="2"/>
    <n v="4"/>
    <n v="2128"/>
    <n v="1.4223080000000001E-2"/>
    <x v="0"/>
    <n v="-414584.20699999999"/>
    <n v="14.0977"/>
    <x v="1"/>
    <s v="Low"/>
    <s v="Large"/>
    <s v="November"/>
    <x v="10"/>
  </r>
  <r>
    <d v="2018-11-09T00:00:00"/>
    <x v="9"/>
    <x v="2"/>
    <n v="108140"/>
    <n v="190100"/>
    <x v="0"/>
    <x v="0"/>
    <x v="0"/>
    <n v="2"/>
    <n v="1111.6589814177564"/>
    <n v="1.4223080000000001E-2"/>
    <x v="0"/>
    <n v="81960"/>
    <n v="171.00569999999999"/>
    <x v="0"/>
    <s v="Low"/>
    <s v="Medium"/>
    <s v="November"/>
    <x v="10"/>
  </r>
  <r>
    <d v="2018-11-10T00:00:00"/>
    <x v="9"/>
    <x v="3"/>
    <n v="840000"/>
    <n v="1000000"/>
    <x v="0"/>
    <x v="0"/>
    <x v="0"/>
    <n v="1"/>
    <n v="1111.6589814177564"/>
    <n v="1.4223080000000001E-2"/>
    <x v="1"/>
    <n v="160000"/>
    <n v="899.55640000000005"/>
    <x v="0"/>
    <s v="High"/>
    <s v="Medium"/>
    <s v="November"/>
    <x v="10"/>
  </r>
  <r>
    <d v="2018-11-14T00:00:00"/>
    <x v="9"/>
    <x v="5"/>
    <n v="381090"/>
    <n v="480000"/>
    <x v="0"/>
    <x v="0"/>
    <x v="0"/>
    <n v="1"/>
    <n v="1029"/>
    <n v="1.4223080000000001E-2"/>
    <x v="3"/>
    <n v="98910"/>
    <n v="466.47230000000002"/>
    <x v="0"/>
    <s v="Medium"/>
    <s v="Medium"/>
    <s v="November"/>
    <x v="10"/>
  </r>
  <r>
    <d v="2018-11-15T00:00:00"/>
    <x v="9"/>
    <x v="4"/>
    <n v="615720"/>
    <n v="737500"/>
    <x v="0"/>
    <x v="0"/>
    <x v="0"/>
    <n v="1"/>
    <n v="1027"/>
    <n v="1.4223080000000001E-2"/>
    <x v="0"/>
    <n v="121780"/>
    <n v="718.11099999999999"/>
    <x v="0"/>
    <s v="High"/>
    <s v="Medium"/>
    <s v="November"/>
    <x v="10"/>
  </r>
  <r>
    <d v="2018-11-16T00:00:00"/>
    <x v="9"/>
    <x v="5"/>
    <n v="261120"/>
    <n v="330000"/>
    <x v="0"/>
    <x v="0"/>
    <x v="0"/>
    <n v="1"/>
    <n v="981"/>
    <n v="1.4223080000000001E-2"/>
    <x v="3"/>
    <n v="68880"/>
    <n v="336.39139999999998"/>
    <x v="0"/>
    <s v="Medium"/>
    <s v="Medium"/>
    <s v="November"/>
    <x v="10"/>
  </r>
  <r>
    <d v="2018-11-17T00:00:00"/>
    <x v="9"/>
    <x v="4"/>
    <n v="550340"/>
    <n v="600000"/>
    <x v="0"/>
    <x v="0"/>
    <x v="0"/>
    <n v="3"/>
    <n v="1111.6589814177564"/>
    <n v="1.4223080000000001E-2"/>
    <x v="2"/>
    <n v="49660"/>
    <n v="539.73389999999995"/>
    <x v="0"/>
    <s v="High"/>
    <s v="Medium"/>
    <s v="November"/>
    <x v="10"/>
  </r>
  <r>
    <d v="2018-11-18T00:00:00"/>
    <x v="9"/>
    <x v="2"/>
    <n v="118330"/>
    <n v="150000"/>
    <x v="2"/>
    <x v="2"/>
    <x v="2"/>
    <n v="6"/>
    <n v="2068"/>
    <n v="1.4223080000000001E-2"/>
    <x v="1"/>
    <n v="31670"/>
    <n v="72.533799999999999"/>
    <x v="0"/>
    <s v="Low"/>
    <s v="Large"/>
    <s v="November"/>
    <x v="10"/>
  </r>
  <r>
    <d v="2018-11-21T00:00:00"/>
    <x v="9"/>
    <x v="0"/>
    <n v="156320"/>
    <n v="100000"/>
    <x v="0"/>
    <x v="0"/>
    <x v="0"/>
    <n v="2"/>
    <n v="934"/>
    <n v="1.4223080000000001E-2"/>
    <x v="1"/>
    <n v="-56320"/>
    <n v="107.0664"/>
    <x v="1"/>
    <s v="Low"/>
    <s v="Medium"/>
    <s v="November"/>
    <x v="10"/>
  </r>
  <r>
    <d v="2018-11-23T00:00:00"/>
    <x v="9"/>
    <x v="5"/>
    <n v="178980"/>
    <n v="369000"/>
    <x v="0"/>
    <x v="0"/>
    <x v="0"/>
    <n v="1"/>
    <n v="1034"/>
    <n v="1.4223080000000001E-2"/>
    <x v="2"/>
    <n v="190020"/>
    <n v="356.86649999999997"/>
    <x v="0"/>
    <s v="Medium"/>
    <s v="Medium"/>
    <s v="November"/>
    <x v="10"/>
  </r>
  <r>
    <d v="2018-11-28T00:00:00"/>
    <x v="9"/>
    <x v="5"/>
    <n v="93530"/>
    <n v="108000"/>
    <x v="0"/>
    <x v="0"/>
    <x v="0"/>
    <n v="2"/>
    <n v="912"/>
    <n v="1.4223080000000001E-2"/>
    <x v="2"/>
    <n v="14470"/>
    <n v="118.4211"/>
    <x v="0"/>
    <s v="Low"/>
    <s v="Medium"/>
    <s v="November"/>
    <x v="10"/>
  </r>
  <r>
    <d v="2018-11-29T00:00:00"/>
    <x v="9"/>
    <x v="5"/>
    <n v="118460"/>
    <n v="240000"/>
    <x v="1"/>
    <x v="1"/>
    <x v="1"/>
    <n v="4"/>
    <n v="1305"/>
    <n v="1.4223080000000001E-2"/>
    <x v="0"/>
    <n v="121540"/>
    <n v="183.90799999999999"/>
    <x v="0"/>
    <s v="Medium"/>
    <s v="Large"/>
    <s v="November"/>
    <x v="10"/>
  </r>
  <r>
    <d v="2018-11-30T00:00:00"/>
    <x v="9"/>
    <x v="7"/>
    <n v="600760"/>
    <n v="955000"/>
    <x v="0"/>
    <x v="0"/>
    <x v="0"/>
    <n v="1"/>
    <n v="1111.6589814177564"/>
    <n v="1.4223080000000001E-2"/>
    <x v="0"/>
    <n v="354240"/>
    <n v="859.07640000000004"/>
    <x v="0"/>
    <s v="High"/>
    <s v="Medium"/>
    <s v="November"/>
    <x v="10"/>
  </r>
  <r>
    <d v="2018-12-01T00:00:00"/>
    <x v="9"/>
    <x v="3"/>
    <n v="943040"/>
    <n v="1900000"/>
    <x v="0"/>
    <x v="0"/>
    <x v="0"/>
    <n v="2"/>
    <n v="949"/>
    <n v="1.4223080000000001E-2"/>
    <x v="3"/>
    <n v="956960"/>
    <n v="2002.1075000000001"/>
    <x v="0"/>
    <s v="High"/>
    <s v="Medium"/>
    <s v="December"/>
    <x v="11"/>
  </r>
  <r>
    <d v="2018-12-05T00:00:00"/>
    <x v="9"/>
    <x v="4"/>
    <n v="237370"/>
    <n v="335000"/>
    <x v="0"/>
    <x v="0"/>
    <x v="0"/>
    <n v="1"/>
    <n v="990"/>
    <n v="1.4223080000000001E-2"/>
    <x v="0"/>
    <n v="97630"/>
    <n v="338.38380000000001"/>
    <x v="0"/>
    <s v="Medium"/>
    <s v="Medium"/>
    <s v="December"/>
    <x v="11"/>
  </r>
  <r>
    <d v="2018-12-06T00:00:00"/>
    <x v="9"/>
    <x v="5"/>
    <n v="69500"/>
    <n v="106500"/>
    <x v="0"/>
    <x v="0"/>
    <x v="0"/>
    <n v="2"/>
    <n v="935"/>
    <n v="1.4223080000000001E-2"/>
    <x v="0"/>
    <n v="37000"/>
    <n v="113.9037"/>
    <x v="0"/>
    <s v="Low"/>
    <s v="Medium"/>
    <s v="December"/>
    <x v="11"/>
  </r>
  <r>
    <d v="2018-12-07T00:00:00"/>
    <x v="9"/>
    <x v="0"/>
    <n v="256710"/>
    <n v="317000"/>
    <x v="2"/>
    <x v="2"/>
    <x v="2"/>
    <n v="5"/>
    <n v="1823"/>
    <n v="1.4223080000000001E-2"/>
    <x v="3"/>
    <n v="60290"/>
    <n v="173.88919999999999"/>
    <x v="0"/>
    <s v="Medium"/>
    <s v="Large"/>
    <s v="December"/>
    <x v="11"/>
  </r>
  <r>
    <d v="2018-12-08T00:00:00"/>
    <x v="9"/>
    <x v="5"/>
    <n v="870870"/>
    <n v="1500000"/>
    <x v="0"/>
    <x v="0"/>
    <x v="0"/>
    <n v="2"/>
    <n v="958"/>
    <n v="1.4223080000000001E-2"/>
    <x v="3"/>
    <n v="629130"/>
    <n v="1565.7619999999999"/>
    <x v="0"/>
    <s v="High"/>
    <s v="Medium"/>
    <s v="December"/>
    <x v="11"/>
  </r>
  <r>
    <d v="2018-12-09T00:00:00"/>
    <x v="9"/>
    <x v="0"/>
    <n v="444584.20699999999"/>
    <n v="110000"/>
    <x v="0"/>
    <x v="0"/>
    <x v="0"/>
    <n v="3"/>
    <n v="932"/>
    <n v="1.4223080000000001E-2"/>
    <x v="3"/>
    <n v="-334584.20699999999"/>
    <n v="118.0258"/>
    <x v="1"/>
    <s v="Low"/>
    <s v="Medium"/>
    <s v="December"/>
    <x v="11"/>
  </r>
  <r>
    <d v="2018-12-13T00:00:00"/>
    <x v="9"/>
    <x v="5"/>
    <n v="299950"/>
    <n v="480000"/>
    <x v="0"/>
    <x v="0"/>
    <x v="0"/>
    <n v="3"/>
    <n v="1042"/>
    <n v="1.4223080000000001E-2"/>
    <x v="1"/>
    <n v="180050"/>
    <n v="460.65260000000001"/>
    <x v="0"/>
    <s v="Medium"/>
    <s v="Medium"/>
    <s v="December"/>
    <x v="11"/>
  </r>
  <r>
    <d v="2018-12-14T00:00:00"/>
    <x v="9"/>
    <x v="3"/>
    <n v="3285940"/>
    <n v="3000000"/>
    <x v="0"/>
    <x v="0"/>
    <x v="0"/>
    <n v="1"/>
    <n v="935"/>
    <n v="1.4223080000000001E-2"/>
    <x v="1"/>
    <n v="-285940"/>
    <n v="3208.5560999999998"/>
    <x v="1"/>
    <s v="High"/>
    <s v="Medium"/>
    <s v="December"/>
    <x v="11"/>
  </r>
  <r>
    <d v="2018-12-15T00:00:00"/>
    <x v="9"/>
    <x v="4"/>
    <n v="725130"/>
    <n v="1065000"/>
    <x v="0"/>
    <x v="0"/>
    <x v="0"/>
    <n v="2"/>
    <n v="1015"/>
    <n v="1.4223080000000001E-2"/>
    <x v="3"/>
    <n v="339870"/>
    <n v="1049.2610999999999"/>
    <x v="0"/>
    <s v="High"/>
    <s v="Medium"/>
    <s v="December"/>
    <x v="11"/>
  </r>
  <r>
    <d v="2018-12-16T00:00:00"/>
    <x v="9"/>
    <x v="4"/>
    <n v="867510"/>
    <n v="1580000"/>
    <x v="0"/>
    <x v="0"/>
    <x v="0"/>
    <n v="1"/>
    <n v="928"/>
    <n v="1.4223080000000001E-2"/>
    <x v="2"/>
    <n v="712490"/>
    <n v="1702.5862"/>
    <x v="0"/>
    <s v="High"/>
    <s v="Medium"/>
    <s v="December"/>
    <x v="11"/>
  </r>
  <r>
    <d v="2018-12-20T00:00:00"/>
    <x v="9"/>
    <x v="5"/>
    <n v="947310"/>
    <n v="1995000"/>
    <x v="0"/>
    <x v="0"/>
    <x v="0"/>
    <n v="2"/>
    <n v="910"/>
    <n v="1.4223080000000001E-2"/>
    <x v="2"/>
    <n v="1047690"/>
    <n v="2192.3076999999998"/>
    <x v="0"/>
    <s v="High"/>
    <s v="Medium"/>
    <s v="December"/>
    <x v="11"/>
  </r>
  <r>
    <d v="2018-12-21T00:00:00"/>
    <x v="9"/>
    <x v="5"/>
    <n v="172740"/>
    <n v="35000"/>
    <x v="3"/>
    <x v="3"/>
    <x v="3"/>
    <n v="6"/>
    <n v="2513"/>
    <n v="1.4223080000000001E-2"/>
    <x v="1"/>
    <n v="-137740"/>
    <n v="13.9276"/>
    <x v="1"/>
    <s v="Low"/>
    <s v="Large"/>
    <s v="December"/>
    <x v="11"/>
  </r>
  <r>
    <d v="2018-12-23T00:00:00"/>
    <x v="9"/>
    <x v="4"/>
    <n v="791350"/>
    <n v="1360000"/>
    <x v="0"/>
    <x v="0"/>
    <x v="0"/>
    <n v="2"/>
    <n v="953"/>
    <n v="1.4223080000000001E-2"/>
    <x v="2"/>
    <n v="568650"/>
    <n v="1427.0724"/>
    <x v="0"/>
    <s v="High"/>
    <s v="Medium"/>
    <s v="December"/>
    <x v="11"/>
  </r>
  <r>
    <d v="2018-12-27T00:00:00"/>
    <x v="9"/>
    <x v="1"/>
    <n v="213130"/>
    <n v="307000"/>
    <x v="0"/>
    <x v="0"/>
    <x v="0"/>
    <n v="1"/>
    <n v="1061"/>
    <n v="1.4223080000000001E-2"/>
    <x v="1"/>
    <n v="93870"/>
    <n v="289.34969999999998"/>
    <x v="0"/>
    <s v="Medium"/>
    <s v="Medium"/>
    <s v="December"/>
    <x v="11"/>
  </r>
  <r>
    <d v="2018-12-29T00:00:00"/>
    <x v="9"/>
    <x v="4"/>
    <n v="427700"/>
    <n v="515000"/>
    <x v="0"/>
    <x v="0"/>
    <x v="0"/>
    <n v="2"/>
    <n v="1111.6589814177564"/>
    <n v="1.4223080000000001E-2"/>
    <x v="3"/>
    <n v="87300"/>
    <n v="463.27159999999998"/>
    <x v="0"/>
    <s v="Medium"/>
    <s v="Medium"/>
    <s v="December"/>
    <x v="11"/>
  </r>
  <r>
    <d v="2018-12-30T00:00:00"/>
    <x v="9"/>
    <x v="4"/>
    <n v="551250"/>
    <n v="589000"/>
    <x v="0"/>
    <x v="0"/>
    <x v="0"/>
    <n v="2"/>
    <n v="1082"/>
    <n v="1.4223080000000001E-2"/>
    <x v="3"/>
    <n v="37750"/>
    <n v="544.3623"/>
    <x v="0"/>
    <s v="Medium"/>
    <s v="Medium"/>
    <s v="December"/>
    <x v="11"/>
  </r>
  <r>
    <d v="2019-01-04T00:00:00"/>
    <x v="10"/>
    <x v="2"/>
    <n v="95810"/>
    <n v="80500"/>
    <x v="0"/>
    <x v="0"/>
    <x v="0"/>
    <n v="1"/>
    <n v="1053"/>
    <n v="1.0258995E-2"/>
    <x v="3"/>
    <n v="-15310"/>
    <n v="76.4482"/>
    <x v="1"/>
    <s v="Low"/>
    <s v="Medium"/>
    <s v="January"/>
    <x v="0"/>
  </r>
  <r>
    <d v="2019-01-05T00:00:00"/>
    <x v="10"/>
    <x v="1"/>
    <n v="444584.20699999999"/>
    <n v="250000"/>
    <x v="0"/>
    <x v="0"/>
    <x v="0"/>
    <n v="2"/>
    <n v="914"/>
    <n v="1.0258995E-2"/>
    <x v="0"/>
    <n v="-194584.20699999999"/>
    <n v="273.52300000000002"/>
    <x v="1"/>
    <s v="Medium"/>
    <s v="Medium"/>
    <s v="January"/>
    <x v="0"/>
  </r>
  <r>
    <d v="2019-01-06T00:00:00"/>
    <x v="10"/>
    <x v="1"/>
    <n v="273020"/>
    <n v="395000"/>
    <x v="0"/>
    <x v="0"/>
    <x v="0"/>
    <n v="3"/>
    <n v="994"/>
    <n v="1.0258995E-2"/>
    <x v="2"/>
    <n v="121980"/>
    <n v="397.3843"/>
    <x v="0"/>
    <s v="Medium"/>
    <s v="Medium"/>
    <s v="January"/>
    <x v="0"/>
  </r>
  <r>
    <d v="2019-01-09T00:00:00"/>
    <x v="10"/>
    <x v="1"/>
    <n v="464820"/>
    <n v="140000"/>
    <x v="0"/>
    <x v="0"/>
    <x v="0"/>
    <n v="2"/>
    <n v="1049"/>
    <n v="1.0258995E-2"/>
    <x v="3"/>
    <n v="-324820"/>
    <n v="133.46039999999999"/>
    <x v="1"/>
    <s v="Low"/>
    <s v="Medium"/>
    <s v="January"/>
    <x v="0"/>
  </r>
  <r>
    <d v="2019-01-10T00:00:00"/>
    <x v="10"/>
    <x v="1"/>
    <n v="327840"/>
    <n v="390000"/>
    <x v="0"/>
    <x v="0"/>
    <x v="0"/>
    <n v="2"/>
    <n v="922"/>
    <n v="1.0258995E-2"/>
    <x v="1"/>
    <n v="62160"/>
    <n v="422.99349999999998"/>
    <x v="0"/>
    <s v="Medium"/>
    <s v="Medium"/>
    <s v="January"/>
    <x v="0"/>
  </r>
  <r>
    <d v="2019-01-11T00:00:00"/>
    <x v="10"/>
    <x v="1"/>
    <n v="532670"/>
    <n v="634000"/>
    <x v="0"/>
    <x v="0"/>
    <x v="0"/>
    <n v="3"/>
    <n v="1111.6589814177564"/>
    <n v="1.0258995E-2"/>
    <x v="3"/>
    <n v="101330"/>
    <n v="570.31880000000001"/>
    <x v="0"/>
    <s v="High"/>
    <s v="Medium"/>
    <s v="January"/>
    <x v="0"/>
  </r>
  <r>
    <d v="2019-01-12T00:00:00"/>
    <x v="10"/>
    <x v="7"/>
    <n v="453700"/>
    <n v="765000"/>
    <x v="0"/>
    <x v="0"/>
    <x v="0"/>
    <n v="3"/>
    <n v="1011"/>
    <n v="1.0258995E-2"/>
    <x v="2"/>
    <n v="311300"/>
    <n v="756.67660000000001"/>
    <x v="0"/>
    <s v="High"/>
    <s v="Medium"/>
    <s v="January"/>
    <x v="0"/>
  </r>
  <r>
    <d v="2019-01-13T00:00:00"/>
    <x v="10"/>
    <x v="0"/>
    <n v="82400"/>
    <n v="137500"/>
    <x v="0"/>
    <x v="0"/>
    <x v="0"/>
    <n v="3"/>
    <n v="928"/>
    <n v="1.0258995E-2"/>
    <x v="0"/>
    <n v="55100"/>
    <n v="148.16810000000001"/>
    <x v="0"/>
    <s v="Low"/>
    <s v="Medium"/>
    <s v="January"/>
    <x v="0"/>
  </r>
  <r>
    <d v="2019-01-17T00:00:00"/>
    <x v="10"/>
    <x v="4"/>
    <n v="366310"/>
    <n v="475000"/>
    <x v="0"/>
    <x v="0"/>
    <x v="0"/>
    <n v="3"/>
    <n v="1058"/>
    <n v="1.0258995E-2"/>
    <x v="1"/>
    <n v="108690"/>
    <n v="448.96030000000002"/>
    <x v="0"/>
    <s v="Medium"/>
    <s v="Medium"/>
    <s v="January"/>
    <x v="0"/>
  </r>
  <r>
    <d v="2019-01-18T00:00:00"/>
    <x v="10"/>
    <x v="3"/>
    <n v="553630"/>
    <n v="755000"/>
    <x v="0"/>
    <x v="0"/>
    <x v="0"/>
    <n v="1"/>
    <n v="1040"/>
    <n v="1.0258995E-2"/>
    <x v="1"/>
    <n v="201370"/>
    <n v="725.9615"/>
    <x v="0"/>
    <s v="High"/>
    <s v="Medium"/>
    <s v="January"/>
    <x v="0"/>
  </r>
  <r>
    <d v="2019-01-20T00:00:00"/>
    <x v="10"/>
    <x v="5"/>
    <n v="575260"/>
    <n v="750000"/>
    <x v="0"/>
    <x v="0"/>
    <x v="0"/>
    <n v="2"/>
    <n v="1076"/>
    <n v="1.0258995E-2"/>
    <x v="1"/>
    <n v="174740"/>
    <n v="697.02599999999995"/>
    <x v="0"/>
    <s v="High"/>
    <s v="Medium"/>
    <s v="January"/>
    <x v="0"/>
  </r>
  <r>
    <d v="2019-01-23T00:00:00"/>
    <x v="10"/>
    <x v="2"/>
    <n v="164050"/>
    <n v="248000"/>
    <x v="2"/>
    <x v="2"/>
    <x v="2"/>
    <n v="5"/>
    <n v="1904"/>
    <n v="1.0258995E-2"/>
    <x v="1"/>
    <n v="83950"/>
    <n v="130.25210000000001"/>
    <x v="0"/>
    <s v="Medium"/>
    <s v="Large"/>
    <s v="January"/>
    <x v="0"/>
  </r>
  <r>
    <d v="2019-01-25T00:00:00"/>
    <x v="10"/>
    <x v="7"/>
    <n v="154500"/>
    <n v="940000"/>
    <x v="0"/>
    <x v="0"/>
    <x v="0"/>
    <n v="2"/>
    <n v="1089"/>
    <n v="1.0258995E-2"/>
    <x v="0"/>
    <n v="785500"/>
    <n v="863.17719999999997"/>
    <x v="0"/>
    <s v="High"/>
    <s v="Medium"/>
    <s v="January"/>
    <x v="0"/>
  </r>
  <r>
    <d v="2019-01-26T00:00:00"/>
    <x v="10"/>
    <x v="2"/>
    <n v="102350"/>
    <n v="65000"/>
    <x v="1"/>
    <x v="1"/>
    <x v="1"/>
    <n v="2"/>
    <n v="1261"/>
    <n v="1.0258995E-2"/>
    <x v="1"/>
    <n v="-37350"/>
    <n v="51.546399999999998"/>
    <x v="1"/>
    <s v="Low"/>
    <s v="Medium"/>
    <s v="January"/>
    <x v="0"/>
  </r>
  <r>
    <d v="2019-01-27T00:00:00"/>
    <x v="10"/>
    <x v="2"/>
    <n v="93490"/>
    <n v="130101"/>
    <x v="2"/>
    <x v="2"/>
    <x v="2"/>
    <n v="6"/>
    <n v="2056"/>
    <n v="1.0258995E-2"/>
    <x v="1"/>
    <n v="36611"/>
    <n v="63.278700000000001"/>
    <x v="0"/>
    <s v="Low"/>
    <s v="Large"/>
    <s v="January"/>
    <x v="0"/>
  </r>
  <r>
    <d v="2019-01-30T00:00:00"/>
    <x v="10"/>
    <x v="1"/>
    <n v="239330"/>
    <n v="200000"/>
    <x v="0"/>
    <x v="0"/>
    <x v="0"/>
    <n v="1"/>
    <n v="1111.6589814177564"/>
    <n v="1.0258995E-2"/>
    <x v="2"/>
    <n v="-39330"/>
    <n v="179.91130000000001"/>
    <x v="1"/>
    <s v="Medium"/>
    <s v="Medium"/>
    <s v="January"/>
    <x v="0"/>
  </r>
  <r>
    <d v="2019-01-31T00:00:00"/>
    <x v="10"/>
    <x v="5"/>
    <n v="346560"/>
    <n v="440000"/>
    <x v="0"/>
    <x v="0"/>
    <x v="0"/>
    <n v="2"/>
    <n v="1029"/>
    <n v="1.0258995E-2"/>
    <x v="3"/>
    <n v="93440"/>
    <n v="427.59960000000001"/>
    <x v="0"/>
    <s v="Medium"/>
    <s v="Medium"/>
    <s v="January"/>
    <x v="0"/>
  </r>
  <r>
    <d v="2019-02-01T00:00:00"/>
    <x v="10"/>
    <x v="0"/>
    <n v="444584.20699999999"/>
    <n v="77900"/>
    <x v="0"/>
    <x v="0"/>
    <x v="0"/>
    <n v="3"/>
    <n v="917"/>
    <n v="1.0258995E-2"/>
    <x v="3"/>
    <n v="-366684.20699999999"/>
    <n v="84.950900000000004"/>
    <x v="1"/>
    <s v="Low"/>
    <s v="Medium"/>
    <s v="February"/>
    <x v="1"/>
  </r>
  <r>
    <d v="2019-02-03T00:00:00"/>
    <x v="10"/>
    <x v="2"/>
    <n v="122330"/>
    <n v="65000"/>
    <x v="2"/>
    <x v="2"/>
    <x v="2"/>
    <n v="6"/>
    <n v="1934"/>
    <n v="1.0258995E-2"/>
    <x v="0"/>
    <n v="-57330"/>
    <n v="33.609099999999998"/>
    <x v="1"/>
    <s v="Low"/>
    <s v="Large"/>
    <s v="February"/>
    <x v="1"/>
  </r>
  <r>
    <d v="2019-02-06T00:00:00"/>
    <x v="10"/>
    <x v="2"/>
    <n v="97230"/>
    <n v="118000"/>
    <x v="0"/>
    <x v="0"/>
    <x v="0"/>
    <n v="2"/>
    <n v="985"/>
    <n v="1.0258995E-2"/>
    <x v="1"/>
    <n v="20770"/>
    <n v="119.797"/>
    <x v="0"/>
    <s v="Low"/>
    <s v="Medium"/>
    <s v="February"/>
    <x v="1"/>
  </r>
  <r>
    <d v="2019-02-08T00:00:00"/>
    <x v="10"/>
    <x v="0"/>
    <n v="444584.20699999999"/>
    <n v="57000"/>
    <x v="2"/>
    <x v="2"/>
    <x v="2"/>
    <n v="6"/>
    <n v="1111.6589814177564"/>
    <n v="1.0258995E-2"/>
    <x v="0"/>
    <n v="-387584.20699999999"/>
    <n v="51.274700000000003"/>
    <x v="1"/>
    <s v="Low"/>
    <s v="Medium"/>
    <s v="February"/>
    <x v="1"/>
  </r>
  <r>
    <d v="2019-02-10T00:00:00"/>
    <x v="10"/>
    <x v="7"/>
    <n v="237430"/>
    <n v="269000"/>
    <x v="0"/>
    <x v="0"/>
    <x v="0"/>
    <n v="1"/>
    <n v="957"/>
    <n v="1.0258995E-2"/>
    <x v="3"/>
    <n v="31570"/>
    <n v="281.08670000000001"/>
    <x v="0"/>
    <s v="Medium"/>
    <s v="Medium"/>
    <s v="February"/>
    <x v="1"/>
  </r>
  <r>
    <d v="2019-02-14T00:00:00"/>
    <x v="10"/>
    <x v="2"/>
    <n v="119530"/>
    <n v="100800"/>
    <x v="0"/>
    <x v="0"/>
    <x v="0"/>
    <n v="3"/>
    <n v="1084"/>
    <n v="1.0258995E-2"/>
    <x v="0"/>
    <n v="-18730"/>
    <n v="92.988900000000001"/>
    <x v="1"/>
    <s v="Low"/>
    <s v="Medium"/>
    <s v="February"/>
    <x v="1"/>
  </r>
  <r>
    <d v="2019-02-16T00:00:00"/>
    <x v="10"/>
    <x v="1"/>
    <n v="239590"/>
    <n v="320000"/>
    <x v="0"/>
    <x v="0"/>
    <x v="0"/>
    <n v="2"/>
    <n v="905"/>
    <n v="1.0258995E-2"/>
    <x v="2"/>
    <n v="80410"/>
    <n v="353.59120000000001"/>
    <x v="0"/>
    <s v="Medium"/>
    <s v="Medium"/>
    <s v="February"/>
    <x v="1"/>
  </r>
  <r>
    <d v="2019-02-17T00:00:00"/>
    <x v="10"/>
    <x v="7"/>
    <n v="194620"/>
    <n v="405000"/>
    <x v="1"/>
    <x v="1"/>
    <x v="1"/>
    <n v="2"/>
    <n v="1398"/>
    <n v="1.0258995E-2"/>
    <x v="3"/>
    <n v="210380"/>
    <n v="289.69959999999998"/>
    <x v="0"/>
    <s v="Medium"/>
    <s v="Large"/>
    <s v="February"/>
    <x v="1"/>
  </r>
  <r>
    <d v="2019-02-21T00:00:00"/>
    <x v="10"/>
    <x v="2"/>
    <n v="129180"/>
    <n v="240000"/>
    <x v="1"/>
    <x v="1"/>
    <x v="1"/>
    <n v="4"/>
    <n v="1415"/>
    <n v="1.0258995E-2"/>
    <x v="0"/>
    <n v="110820"/>
    <n v="169.6113"/>
    <x v="0"/>
    <s v="Medium"/>
    <s v="Large"/>
    <s v="February"/>
    <x v="1"/>
  </r>
  <r>
    <d v="2019-02-22T00:00:00"/>
    <x v="10"/>
    <x v="4"/>
    <n v="365890"/>
    <n v="615000"/>
    <x v="0"/>
    <x v="0"/>
    <x v="0"/>
    <n v="2"/>
    <n v="1065"/>
    <n v="1.0258995E-2"/>
    <x v="0"/>
    <n v="249110"/>
    <n v="577.46479999999997"/>
    <x v="0"/>
    <s v="High"/>
    <s v="Medium"/>
    <s v="February"/>
    <x v="1"/>
  </r>
  <r>
    <d v="2019-02-23T00:00:00"/>
    <x v="10"/>
    <x v="0"/>
    <n v="444584.20699999999"/>
    <n v="64900"/>
    <x v="0"/>
    <x v="0"/>
    <x v="0"/>
    <n v="3"/>
    <n v="962"/>
    <n v="1.0258995E-2"/>
    <x v="2"/>
    <n v="-379684.20699999999"/>
    <n v="67.4636"/>
    <x v="1"/>
    <s v="Low"/>
    <s v="Medium"/>
    <s v="February"/>
    <x v="1"/>
  </r>
  <r>
    <d v="2019-02-24T00:00:00"/>
    <x v="10"/>
    <x v="2"/>
    <n v="78860"/>
    <n v="110000"/>
    <x v="1"/>
    <x v="1"/>
    <x v="1"/>
    <n v="2"/>
    <n v="1431"/>
    <n v="1.0258995E-2"/>
    <x v="3"/>
    <n v="31140"/>
    <n v="76.869299999999996"/>
    <x v="0"/>
    <s v="Low"/>
    <s v="Large"/>
    <s v="February"/>
    <x v="1"/>
  </r>
  <r>
    <d v="2019-02-27T00:00:00"/>
    <x v="10"/>
    <x v="7"/>
    <n v="267390"/>
    <n v="245000"/>
    <x v="0"/>
    <x v="0"/>
    <x v="0"/>
    <n v="3"/>
    <n v="920"/>
    <n v="1.0258995E-2"/>
    <x v="1"/>
    <n v="-22390"/>
    <n v="266.30430000000001"/>
    <x v="1"/>
    <s v="Medium"/>
    <s v="Medium"/>
    <s v="February"/>
    <x v="1"/>
  </r>
  <r>
    <d v="2019-02-28T00:00:00"/>
    <x v="10"/>
    <x v="5"/>
    <n v="444584.20699999999"/>
    <n v="2680000"/>
    <x v="0"/>
    <x v="0"/>
    <x v="0"/>
    <n v="3"/>
    <n v="903"/>
    <n v="1.0258995E-2"/>
    <x v="3"/>
    <n v="2235415.7930000001"/>
    <n v="2967.8847999999998"/>
    <x v="0"/>
    <s v="High"/>
    <s v="Medium"/>
    <s v="February"/>
    <x v="1"/>
  </r>
  <r>
    <d v="2019-03-01T00:00:00"/>
    <x v="10"/>
    <x v="2"/>
    <n v="91580"/>
    <n v="90000"/>
    <x v="1"/>
    <x v="1"/>
    <x v="1"/>
    <n v="3"/>
    <n v="1218"/>
    <n v="1.0258995E-2"/>
    <x v="3"/>
    <n v="-1580"/>
    <n v="73.891599999999997"/>
    <x v="1"/>
    <s v="Low"/>
    <s v="Medium"/>
    <s v="March"/>
    <x v="2"/>
  </r>
  <r>
    <d v="2019-03-02T00:00:00"/>
    <x v="10"/>
    <x v="5"/>
    <n v="476490"/>
    <n v="721000"/>
    <x v="0"/>
    <x v="0"/>
    <x v="0"/>
    <n v="2"/>
    <n v="969"/>
    <n v="1.0258995E-2"/>
    <x v="3"/>
    <n v="244510"/>
    <n v="744.06600000000003"/>
    <x v="0"/>
    <s v="High"/>
    <s v="Medium"/>
    <s v="March"/>
    <x v="2"/>
  </r>
  <r>
    <d v="2019-03-03T00:00:00"/>
    <x v="10"/>
    <x v="7"/>
    <n v="864740"/>
    <n v="925000"/>
    <x v="0"/>
    <x v="0"/>
    <x v="0"/>
    <n v="1"/>
    <n v="1046"/>
    <n v="1.0258995E-2"/>
    <x v="3"/>
    <n v="60260"/>
    <n v="884.32119999999998"/>
    <x v="0"/>
    <s v="High"/>
    <s v="Medium"/>
    <s v="March"/>
    <x v="2"/>
  </r>
  <r>
    <d v="2019-03-07T00:00:00"/>
    <x v="10"/>
    <x v="2"/>
    <n v="66170"/>
    <n v="43377"/>
    <x v="0"/>
    <x v="0"/>
    <x v="0"/>
    <n v="1"/>
    <n v="969"/>
    <n v="1.0258995E-2"/>
    <x v="3"/>
    <n v="-22793"/>
    <n v="44.764699999999998"/>
    <x v="1"/>
    <s v="Low"/>
    <s v="Medium"/>
    <s v="March"/>
    <x v="2"/>
  </r>
  <r>
    <d v="2019-03-09T00:00:00"/>
    <x v="10"/>
    <x v="1"/>
    <n v="176430"/>
    <n v="174399"/>
    <x v="0"/>
    <x v="0"/>
    <x v="0"/>
    <n v="1"/>
    <n v="990"/>
    <n v="1.0258995E-2"/>
    <x v="1"/>
    <n v="-2031"/>
    <n v="176.16059999999999"/>
    <x v="1"/>
    <s v="Low"/>
    <s v="Medium"/>
    <s v="March"/>
    <x v="2"/>
  </r>
  <r>
    <d v="2019-03-13T00:00:00"/>
    <x v="10"/>
    <x v="3"/>
    <n v="1721510"/>
    <n v="2525000"/>
    <x v="0"/>
    <x v="0"/>
    <x v="0"/>
    <n v="2"/>
    <n v="1099"/>
    <n v="1.0258995E-2"/>
    <x v="1"/>
    <n v="803490"/>
    <n v="2297.5432000000001"/>
    <x v="0"/>
    <s v="High"/>
    <s v="Medium"/>
    <s v="March"/>
    <x v="2"/>
  </r>
  <r>
    <d v="2019-03-17T00:00:00"/>
    <x v="10"/>
    <x v="4"/>
    <n v="772030"/>
    <n v="1300000"/>
    <x v="0"/>
    <x v="0"/>
    <x v="0"/>
    <n v="3"/>
    <n v="936"/>
    <n v="1.0258995E-2"/>
    <x v="2"/>
    <n v="527970"/>
    <n v="1388.8888999999999"/>
    <x v="0"/>
    <s v="High"/>
    <s v="Medium"/>
    <s v="March"/>
    <x v="2"/>
  </r>
  <r>
    <d v="2019-03-20T00:00:00"/>
    <x v="10"/>
    <x v="0"/>
    <n v="59370"/>
    <n v="92000"/>
    <x v="0"/>
    <x v="0"/>
    <x v="0"/>
    <n v="1"/>
    <n v="949"/>
    <n v="1.0258995E-2"/>
    <x v="3"/>
    <n v="32630"/>
    <n v="96.944199999999995"/>
    <x v="0"/>
    <s v="Low"/>
    <s v="Medium"/>
    <s v="March"/>
    <x v="2"/>
  </r>
  <r>
    <d v="2019-03-21T00:00:00"/>
    <x v="10"/>
    <x v="2"/>
    <n v="111650"/>
    <n v="85000"/>
    <x v="1"/>
    <x v="1"/>
    <x v="1"/>
    <n v="4"/>
    <n v="1372"/>
    <n v="1.0258995E-2"/>
    <x v="2"/>
    <n v="-26650"/>
    <n v="61.953400000000002"/>
    <x v="1"/>
    <s v="Low"/>
    <s v="Large"/>
    <s v="March"/>
    <x v="2"/>
  </r>
  <r>
    <d v="2019-03-22T00:00:00"/>
    <x v="10"/>
    <x v="0"/>
    <n v="77430"/>
    <n v="106500"/>
    <x v="0"/>
    <x v="0"/>
    <x v="0"/>
    <n v="2"/>
    <n v="960"/>
    <n v="1.0258995E-2"/>
    <x v="1"/>
    <n v="29070"/>
    <n v="110.9375"/>
    <x v="0"/>
    <s v="Low"/>
    <s v="Medium"/>
    <s v="March"/>
    <x v="2"/>
  </r>
  <r>
    <d v="2019-03-24T00:00:00"/>
    <x v="10"/>
    <x v="7"/>
    <n v="253030"/>
    <n v="460000"/>
    <x v="0"/>
    <x v="0"/>
    <x v="0"/>
    <n v="3"/>
    <n v="930"/>
    <n v="1.0258995E-2"/>
    <x v="3"/>
    <n v="206970"/>
    <n v="494.62369999999999"/>
    <x v="0"/>
    <s v="Medium"/>
    <s v="Medium"/>
    <s v="March"/>
    <x v="2"/>
  </r>
  <r>
    <d v="2019-03-28T00:00:00"/>
    <x v="10"/>
    <x v="0"/>
    <n v="48400"/>
    <n v="114500"/>
    <x v="0"/>
    <x v="0"/>
    <x v="0"/>
    <n v="3"/>
    <n v="948"/>
    <n v="1.0258995E-2"/>
    <x v="3"/>
    <n v="66100"/>
    <n v="120.78060000000001"/>
    <x v="0"/>
    <s v="Low"/>
    <s v="Medium"/>
    <s v="March"/>
    <x v="2"/>
  </r>
  <r>
    <d v="2019-03-29T00:00:00"/>
    <x v="10"/>
    <x v="7"/>
    <n v="387620"/>
    <n v="620000"/>
    <x v="0"/>
    <x v="0"/>
    <x v="0"/>
    <n v="1"/>
    <n v="935"/>
    <n v="1.0258995E-2"/>
    <x v="2"/>
    <n v="232380"/>
    <n v="663.10159999999996"/>
    <x v="0"/>
    <s v="High"/>
    <s v="Medium"/>
    <s v="March"/>
    <x v="2"/>
  </r>
  <r>
    <d v="2019-03-30T00:00:00"/>
    <x v="10"/>
    <x v="3"/>
    <n v="1262450"/>
    <n v="1989000"/>
    <x v="0"/>
    <x v="0"/>
    <x v="0"/>
    <n v="2"/>
    <n v="1043"/>
    <n v="1.0258995E-2"/>
    <x v="2"/>
    <n v="726550"/>
    <n v="1906.999"/>
    <x v="0"/>
    <s v="High"/>
    <s v="Medium"/>
    <s v="March"/>
    <x v="2"/>
  </r>
  <r>
    <d v="2019-04-03T00:00:00"/>
    <x v="10"/>
    <x v="4"/>
    <n v="646170"/>
    <n v="1100000"/>
    <x v="0"/>
    <x v="0"/>
    <x v="0"/>
    <n v="3"/>
    <n v="1111.6589814177564"/>
    <n v="1.0258995E-2"/>
    <x v="0"/>
    <n v="453830"/>
    <n v="989.51210000000003"/>
    <x v="0"/>
    <s v="High"/>
    <s v="Medium"/>
    <s v="April"/>
    <x v="3"/>
  </r>
  <r>
    <d v="2019-04-05T00:00:00"/>
    <x v="10"/>
    <x v="4"/>
    <n v="614460"/>
    <n v="975000"/>
    <x v="0"/>
    <x v="0"/>
    <x v="0"/>
    <n v="1"/>
    <n v="933"/>
    <n v="1.0258995E-2"/>
    <x v="3"/>
    <n v="360540"/>
    <n v="1045.0161000000001"/>
    <x v="0"/>
    <s v="High"/>
    <s v="Medium"/>
    <s v="April"/>
    <x v="3"/>
  </r>
  <r>
    <d v="2019-04-06T00:00:00"/>
    <x v="10"/>
    <x v="7"/>
    <n v="631710"/>
    <n v="990000"/>
    <x v="0"/>
    <x v="0"/>
    <x v="0"/>
    <n v="1"/>
    <n v="1095"/>
    <n v="1.0258995E-2"/>
    <x v="2"/>
    <n v="358290"/>
    <n v="904.1096"/>
    <x v="0"/>
    <s v="High"/>
    <s v="Medium"/>
    <s v="April"/>
    <x v="3"/>
  </r>
  <r>
    <d v="2019-04-07T00:00:00"/>
    <x v="10"/>
    <x v="5"/>
    <n v="74120"/>
    <n v="90500"/>
    <x v="0"/>
    <x v="0"/>
    <x v="0"/>
    <n v="3"/>
    <n v="928"/>
    <n v="1.0258995E-2"/>
    <x v="1"/>
    <n v="16380"/>
    <n v="97.521600000000007"/>
    <x v="0"/>
    <s v="Low"/>
    <s v="Medium"/>
    <s v="April"/>
    <x v="3"/>
  </r>
  <r>
    <d v="2019-04-10T00:00:00"/>
    <x v="10"/>
    <x v="2"/>
    <n v="148770"/>
    <n v="110000"/>
    <x v="2"/>
    <x v="2"/>
    <x v="2"/>
    <n v="4"/>
    <n v="2014"/>
    <n v="1.0258995E-2"/>
    <x v="1"/>
    <n v="-38770"/>
    <n v="54.617699999999999"/>
    <x v="1"/>
    <s v="Low"/>
    <s v="Large"/>
    <s v="April"/>
    <x v="3"/>
  </r>
  <r>
    <d v="2019-04-11T00:00:00"/>
    <x v="10"/>
    <x v="0"/>
    <n v="41160"/>
    <n v="30000"/>
    <x v="2"/>
    <x v="2"/>
    <x v="2"/>
    <n v="5"/>
    <n v="2115"/>
    <n v="1.0258995E-2"/>
    <x v="1"/>
    <n v="-11160"/>
    <n v="14.1844"/>
    <x v="1"/>
    <s v="Low"/>
    <s v="Large"/>
    <s v="April"/>
    <x v="3"/>
  </r>
  <r>
    <d v="2019-04-12T00:00:00"/>
    <x v="10"/>
    <x v="1"/>
    <n v="444584.20699999999"/>
    <n v="316000"/>
    <x v="0"/>
    <x v="0"/>
    <x v="0"/>
    <n v="1"/>
    <n v="1077"/>
    <n v="1.0258995E-2"/>
    <x v="3"/>
    <n v="-128584.20699999999"/>
    <n v="293.4076"/>
    <x v="1"/>
    <s v="Medium"/>
    <s v="Medium"/>
    <s v="April"/>
    <x v="3"/>
  </r>
  <r>
    <d v="2019-04-13T00:00:00"/>
    <x v="10"/>
    <x v="3"/>
    <n v="5305650"/>
    <n v="5800000"/>
    <x v="0"/>
    <x v="0"/>
    <x v="0"/>
    <n v="1"/>
    <n v="958"/>
    <n v="1.0258995E-2"/>
    <x v="2"/>
    <n v="494350"/>
    <n v="6054.2797"/>
    <x v="0"/>
    <s v="High"/>
    <s v="Medium"/>
    <s v="April"/>
    <x v="3"/>
  </r>
  <r>
    <d v="2019-04-17T00:00:00"/>
    <x v="10"/>
    <x v="2"/>
    <n v="100850"/>
    <n v="68000"/>
    <x v="0"/>
    <x v="0"/>
    <x v="0"/>
    <n v="2"/>
    <n v="1111.6589814177564"/>
    <n v="1.0258995E-2"/>
    <x v="1"/>
    <n v="-32850"/>
    <n v="61.169800000000002"/>
    <x v="1"/>
    <s v="Low"/>
    <s v="Medium"/>
    <s v="April"/>
    <x v="3"/>
  </r>
  <r>
    <d v="2019-04-18T00:00:00"/>
    <x v="10"/>
    <x v="4"/>
    <n v="307860"/>
    <n v="522000"/>
    <x v="0"/>
    <x v="0"/>
    <x v="0"/>
    <n v="3"/>
    <n v="1088"/>
    <n v="1.0258995E-2"/>
    <x v="1"/>
    <n v="214140"/>
    <n v="479.77940000000001"/>
    <x v="0"/>
    <s v="Medium"/>
    <s v="Medium"/>
    <s v="April"/>
    <x v="3"/>
  </r>
  <r>
    <d v="2019-04-21T00:00:00"/>
    <x v="10"/>
    <x v="4"/>
    <n v="595700"/>
    <n v="952500"/>
    <x v="0"/>
    <x v="0"/>
    <x v="0"/>
    <n v="2"/>
    <n v="971"/>
    <n v="1.0258995E-2"/>
    <x v="0"/>
    <n v="356800"/>
    <n v="980.94749999999999"/>
    <x v="0"/>
    <s v="High"/>
    <s v="Medium"/>
    <s v="April"/>
    <x v="3"/>
  </r>
  <r>
    <d v="2019-04-24T00:00:00"/>
    <x v="10"/>
    <x v="3"/>
    <n v="471240"/>
    <n v="639500"/>
    <x v="0"/>
    <x v="0"/>
    <x v="0"/>
    <n v="3"/>
    <n v="993"/>
    <n v="1.0258995E-2"/>
    <x v="0"/>
    <n v="168260"/>
    <n v="644.00810000000001"/>
    <x v="0"/>
    <s v="High"/>
    <s v="Medium"/>
    <s v="April"/>
    <x v="3"/>
  </r>
  <r>
    <d v="2019-04-25T00:00:00"/>
    <x v="10"/>
    <x v="0"/>
    <n v="137580"/>
    <n v="215000"/>
    <x v="1"/>
    <x v="1"/>
    <x v="1"/>
    <n v="2"/>
    <n v="1301"/>
    <n v="1.0258995E-2"/>
    <x v="2"/>
    <n v="77420"/>
    <n v="165.25749999999999"/>
    <x v="0"/>
    <s v="Medium"/>
    <s v="Large"/>
    <s v="April"/>
    <x v="3"/>
  </r>
  <r>
    <d v="2019-04-26T00:00:00"/>
    <x v="10"/>
    <x v="7"/>
    <n v="444584.20699999999"/>
    <n v="597450"/>
    <x v="0"/>
    <x v="0"/>
    <x v="0"/>
    <n v="1"/>
    <n v="1074"/>
    <n v="1.0258995E-2"/>
    <x v="1"/>
    <n v="152865.79300000001"/>
    <n v="556.28489999999999"/>
    <x v="0"/>
    <s v="Medium"/>
    <s v="Medium"/>
    <s v="April"/>
    <x v="3"/>
  </r>
  <r>
    <d v="2019-04-27T00:00:00"/>
    <x v="10"/>
    <x v="5"/>
    <n v="272340"/>
    <n v="457000"/>
    <x v="0"/>
    <x v="0"/>
    <x v="0"/>
    <n v="2"/>
    <n v="979"/>
    <n v="1.0258995E-2"/>
    <x v="0"/>
    <n v="184660"/>
    <n v="466.80290000000002"/>
    <x v="0"/>
    <s v="Medium"/>
    <s v="Medium"/>
    <s v="April"/>
    <x v="3"/>
  </r>
  <r>
    <d v="2019-04-28T00:00:00"/>
    <x v="10"/>
    <x v="0"/>
    <n v="60460"/>
    <n v="52000"/>
    <x v="0"/>
    <x v="0"/>
    <x v="0"/>
    <n v="2"/>
    <n v="1111.6589814177564"/>
    <n v="1.0258995E-2"/>
    <x v="0"/>
    <n v="-8460"/>
    <n v="46.776899999999998"/>
    <x v="1"/>
    <s v="Low"/>
    <s v="Medium"/>
    <s v="April"/>
    <x v="3"/>
  </r>
  <r>
    <d v="2019-05-01T00:00:00"/>
    <x v="10"/>
    <x v="1"/>
    <n v="340870"/>
    <n v="427000"/>
    <x v="0"/>
    <x v="0"/>
    <x v="0"/>
    <n v="2"/>
    <n v="916"/>
    <n v="1.0258995E-2"/>
    <x v="3"/>
    <n v="86130"/>
    <n v="466.15719999999999"/>
    <x v="0"/>
    <s v="Medium"/>
    <s v="Medium"/>
    <s v="May"/>
    <x v="4"/>
  </r>
  <r>
    <d v="2019-05-02T00:00:00"/>
    <x v="10"/>
    <x v="4"/>
    <n v="287630"/>
    <n v="430000"/>
    <x v="1"/>
    <x v="1"/>
    <x v="1"/>
    <n v="3"/>
    <n v="1422"/>
    <n v="1.0258995E-2"/>
    <x v="1"/>
    <n v="142370"/>
    <n v="302.39100000000002"/>
    <x v="0"/>
    <s v="Medium"/>
    <s v="Large"/>
    <s v="May"/>
    <x v="4"/>
  </r>
  <r>
    <d v="2019-05-03T00:00:00"/>
    <x v="10"/>
    <x v="4"/>
    <n v="406070"/>
    <n v="625000"/>
    <x v="0"/>
    <x v="0"/>
    <x v="0"/>
    <n v="3"/>
    <n v="1079"/>
    <n v="1.0258995E-2"/>
    <x v="3"/>
    <n v="218930"/>
    <n v="579.24"/>
    <x v="0"/>
    <s v="High"/>
    <s v="Medium"/>
    <s v="May"/>
    <x v="4"/>
  </r>
  <r>
    <d v="2019-05-04T00:00:00"/>
    <x v="10"/>
    <x v="5"/>
    <n v="1210720"/>
    <n v="2100000"/>
    <x v="0"/>
    <x v="0"/>
    <x v="0"/>
    <n v="3"/>
    <n v="1089"/>
    <n v="1.0258995E-2"/>
    <x v="0"/>
    <n v="889280"/>
    <n v="1928.3747000000001"/>
    <x v="0"/>
    <s v="High"/>
    <s v="Medium"/>
    <s v="May"/>
    <x v="4"/>
  </r>
  <r>
    <d v="2019-05-05T00:00:00"/>
    <x v="10"/>
    <x v="7"/>
    <n v="241380"/>
    <n v="545000"/>
    <x v="1"/>
    <x v="1"/>
    <x v="1"/>
    <n v="2"/>
    <n v="1406"/>
    <n v="1.0258995E-2"/>
    <x v="1"/>
    <n v="303620"/>
    <n v="387.62450000000001"/>
    <x v="0"/>
    <s v="Medium"/>
    <s v="Large"/>
    <s v="May"/>
    <x v="4"/>
  </r>
  <r>
    <d v="2019-05-08T00:00:00"/>
    <x v="10"/>
    <x v="7"/>
    <n v="225940"/>
    <n v="233000"/>
    <x v="0"/>
    <x v="0"/>
    <x v="0"/>
    <n v="3"/>
    <n v="1016"/>
    <n v="1.0258995E-2"/>
    <x v="1"/>
    <n v="7060"/>
    <n v="229.33070000000001"/>
    <x v="0"/>
    <s v="Medium"/>
    <s v="Medium"/>
    <s v="May"/>
    <x v="4"/>
  </r>
  <r>
    <d v="2019-05-09T00:00:00"/>
    <x v="10"/>
    <x v="1"/>
    <n v="835120"/>
    <n v="950000"/>
    <x v="0"/>
    <x v="0"/>
    <x v="0"/>
    <n v="3"/>
    <n v="978"/>
    <n v="1.0258995E-2"/>
    <x v="0"/>
    <n v="114880"/>
    <n v="971.37009999999998"/>
    <x v="0"/>
    <s v="High"/>
    <s v="Medium"/>
    <s v="May"/>
    <x v="4"/>
  </r>
  <r>
    <d v="2019-05-10T00:00:00"/>
    <x v="10"/>
    <x v="1"/>
    <n v="196840"/>
    <n v="315000"/>
    <x v="1"/>
    <x v="1"/>
    <x v="1"/>
    <n v="2"/>
    <n v="1477"/>
    <n v="1.0258995E-2"/>
    <x v="2"/>
    <n v="118160"/>
    <n v="213.27010000000001"/>
    <x v="0"/>
    <s v="Medium"/>
    <s v="Large"/>
    <s v="May"/>
    <x v="4"/>
  </r>
  <r>
    <d v="2019-05-11T00:00:00"/>
    <x v="10"/>
    <x v="5"/>
    <n v="155710"/>
    <n v="300000"/>
    <x v="3"/>
    <x v="3"/>
    <x v="3"/>
    <n v="8"/>
    <n v="2840"/>
    <n v="1.0258995E-2"/>
    <x v="0"/>
    <n v="144290"/>
    <n v="105.63379999999999"/>
    <x v="0"/>
    <s v="Medium"/>
    <s v="Large"/>
    <s v="May"/>
    <x v="4"/>
  </r>
  <r>
    <d v="2019-05-12T00:00:00"/>
    <x v="10"/>
    <x v="3"/>
    <n v="1298500"/>
    <n v="3100000"/>
    <x v="0"/>
    <x v="0"/>
    <x v="0"/>
    <n v="1"/>
    <n v="997"/>
    <n v="1.0258995E-2"/>
    <x v="2"/>
    <n v="1801500"/>
    <n v="3109.328"/>
    <x v="0"/>
    <s v="High"/>
    <s v="Medium"/>
    <s v="May"/>
    <x v="4"/>
  </r>
  <r>
    <d v="2019-05-17T00:00:00"/>
    <x v="10"/>
    <x v="0"/>
    <n v="14630"/>
    <n v="16000"/>
    <x v="0"/>
    <x v="0"/>
    <x v="0"/>
    <n v="1"/>
    <n v="1044"/>
    <n v="1.0258995E-2"/>
    <x v="2"/>
    <n v="1370"/>
    <n v="15.325699999999999"/>
    <x v="0"/>
    <s v="Low"/>
    <s v="Medium"/>
    <s v="May"/>
    <x v="4"/>
  </r>
  <r>
    <d v="2019-05-19T00:00:00"/>
    <x v="10"/>
    <x v="0"/>
    <n v="444584.20699999999"/>
    <n v="37000"/>
    <x v="0"/>
    <x v="0"/>
    <x v="0"/>
    <n v="1"/>
    <n v="954"/>
    <n v="1.0258995E-2"/>
    <x v="2"/>
    <n v="-407584.20699999999"/>
    <n v="38.784100000000002"/>
    <x v="1"/>
    <s v="Low"/>
    <s v="Medium"/>
    <s v="May"/>
    <x v="4"/>
  </r>
  <r>
    <d v="2019-05-22T00:00:00"/>
    <x v="10"/>
    <x v="0"/>
    <n v="54110"/>
    <n v="50000"/>
    <x v="0"/>
    <x v="0"/>
    <x v="0"/>
    <n v="1"/>
    <n v="994"/>
    <n v="1.0258995E-2"/>
    <x v="1"/>
    <n v="-4110"/>
    <n v="50.3018"/>
    <x v="1"/>
    <s v="Low"/>
    <s v="Medium"/>
    <s v="May"/>
    <x v="4"/>
  </r>
  <r>
    <d v="2019-05-25T00:00:00"/>
    <x v="10"/>
    <x v="5"/>
    <n v="444584.20699999999"/>
    <n v="22000"/>
    <x v="0"/>
    <x v="0"/>
    <x v="0"/>
    <n v="3"/>
    <n v="922"/>
    <n v="1.0258995E-2"/>
    <x v="3"/>
    <n v="-422584.20699999999"/>
    <n v="23.8612"/>
    <x v="1"/>
    <s v="Low"/>
    <s v="Medium"/>
    <s v="May"/>
    <x v="4"/>
  </r>
  <r>
    <d v="2019-05-26T00:00:00"/>
    <x v="10"/>
    <x v="1"/>
    <n v="444584.20699999999"/>
    <n v="625000"/>
    <x v="0"/>
    <x v="0"/>
    <x v="0"/>
    <n v="3"/>
    <n v="958"/>
    <n v="1.0258995E-2"/>
    <x v="1"/>
    <n v="180415.79300000001"/>
    <n v="652.4008"/>
    <x v="0"/>
    <s v="High"/>
    <s v="Medium"/>
    <s v="May"/>
    <x v="4"/>
  </r>
  <r>
    <d v="2019-05-30T00:00:00"/>
    <x v="10"/>
    <x v="5"/>
    <n v="100920"/>
    <n v="175000"/>
    <x v="0"/>
    <x v="0"/>
    <x v="0"/>
    <n v="1"/>
    <n v="1018"/>
    <n v="1.0258995E-2"/>
    <x v="1"/>
    <n v="74080"/>
    <n v="171.9057"/>
    <x v="0"/>
    <s v="Low"/>
    <s v="Medium"/>
    <s v="May"/>
    <x v="4"/>
  </r>
  <r>
    <d v="2019-05-31T00:00:00"/>
    <x v="10"/>
    <x v="3"/>
    <n v="2925230"/>
    <n v="4200000"/>
    <x v="0"/>
    <x v="0"/>
    <x v="0"/>
    <n v="1"/>
    <n v="955"/>
    <n v="1.0258995E-2"/>
    <x v="1"/>
    <n v="1274770"/>
    <n v="4397.9058000000005"/>
    <x v="0"/>
    <s v="High"/>
    <s v="Medium"/>
    <s v="May"/>
    <x v="4"/>
  </r>
  <r>
    <d v="2019-06-01T00:00:00"/>
    <x v="10"/>
    <x v="3"/>
    <n v="3709720"/>
    <n v="6775000"/>
    <x v="0"/>
    <x v="0"/>
    <x v="0"/>
    <n v="2"/>
    <n v="1025"/>
    <n v="1.0258995E-2"/>
    <x v="2"/>
    <n v="3065280"/>
    <n v="6609.7560999999996"/>
    <x v="0"/>
    <s v="High"/>
    <s v="Medium"/>
    <s v="June"/>
    <x v="5"/>
  </r>
  <r>
    <d v="2019-06-02T00:00:00"/>
    <x v="10"/>
    <x v="0"/>
    <n v="84180"/>
    <n v="75000"/>
    <x v="2"/>
    <x v="2"/>
    <x v="2"/>
    <n v="6"/>
    <n v="1111.6589814177564"/>
    <n v="1.0258995E-2"/>
    <x v="3"/>
    <n v="-9180"/>
    <n v="67.466700000000003"/>
    <x v="1"/>
    <s v="Low"/>
    <s v="Medium"/>
    <s v="June"/>
    <x v="5"/>
  </r>
  <r>
    <d v="2019-06-05T00:00:00"/>
    <x v="10"/>
    <x v="4"/>
    <n v="380450"/>
    <n v="582000"/>
    <x v="0"/>
    <x v="0"/>
    <x v="0"/>
    <n v="2"/>
    <n v="1111.6589814177564"/>
    <n v="1.0258995E-2"/>
    <x v="3"/>
    <n v="201550"/>
    <n v="523.54190000000006"/>
    <x v="0"/>
    <s v="Medium"/>
    <s v="Medium"/>
    <s v="June"/>
    <x v="5"/>
  </r>
  <r>
    <d v="2019-06-06T00:00:00"/>
    <x v="10"/>
    <x v="7"/>
    <n v="295340"/>
    <n v="535000"/>
    <x v="0"/>
    <x v="0"/>
    <x v="0"/>
    <n v="1"/>
    <n v="950"/>
    <n v="1.0258995E-2"/>
    <x v="1"/>
    <n v="239660"/>
    <n v="563.15790000000004"/>
    <x v="0"/>
    <s v="Medium"/>
    <s v="Medium"/>
    <s v="June"/>
    <x v="5"/>
  </r>
  <r>
    <d v="2019-06-12T00:00:00"/>
    <x v="10"/>
    <x v="5"/>
    <n v="304980"/>
    <n v="555000"/>
    <x v="0"/>
    <x v="0"/>
    <x v="0"/>
    <n v="2"/>
    <n v="969"/>
    <n v="1.0258995E-2"/>
    <x v="0"/>
    <n v="250020"/>
    <n v="572.75540000000001"/>
    <x v="0"/>
    <s v="Medium"/>
    <s v="Medium"/>
    <s v="June"/>
    <x v="5"/>
  </r>
  <r>
    <d v="2019-06-14T00:00:00"/>
    <x v="10"/>
    <x v="0"/>
    <n v="444584.20699999999"/>
    <n v="52500"/>
    <x v="0"/>
    <x v="0"/>
    <x v="0"/>
    <n v="3"/>
    <n v="922"/>
    <n v="1.0258995E-2"/>
    <x v="1"/>
    <n v="-392084.20699999999"/>
    <n v="56.941400000000002"/>
    <x v="1"/>
    <s v="Low"/>
    <s v="Medium"/>
    <s v="June"/>
    <x v="5"/>
  </r>
  <r>
    <d v="2019-06-15T00:00:00"/>
    <x v="10"/>
    <x v="4"/>
    <n v="269920"/>
    <n v="425000"/>
    <x v="0"/>
    <x v="0"/>
    <x v="0"/>
    <n v="1"/>
    <n v="912"/>
    <n v="1.0258995E-2"/>
    <x v="1"/>
    <n v="155080"/>
    <n v="466.00880000000001"/>
    <x v="0"/>
    <s v="Medium"/>
    <s v="Medium"/>
    <s v="June"/>
    <x v="5"/>
  </r>
  <r>
    <d v="2019-06-16T00:00:00"/>
    <x v="10"/>
    <x v="3"/>
    <n v="3830540"/>
    <n v="5800000"/>
    <x v="0"/>
    <x v="0"/>
    <x v="0"/>
    <n v="1"/>
    <n v="1079"/>
    <n v="1.0258995E-2"/>
    <x v="2"/>
    <n v="1969460"/>
    <n v="5375.3474999999999"/>
    <x v="0"/>
    <s v="High"/>
    <s v="Medium"/>
    <s v="June"/>
    <x v="5"/>
  </r>
  <r>
    <d v="2019-06-19T00:00:00"/>
    <x v="10"/>
    <x v="1"/>
    <n v="279510"/>
    <n v="519000"/>
    <x v="0"/>
    <x v="0"/>
    <x v="0"/>
    <n v="3"/>
    <n v="1026"/>
    <n v="1.0258995E-2"/>
    <x v="0"/>
    <n v="239490"/>
    <n v="505.84800000000001"/>
    <x v="0"/>
    <s v="Medium"/>
    <s v="Medium"/>
    <s v="June"/>
    <x v="5"/>
  </r>
  <r>
    <d v="2019-06-20T00:00:00"/>
    <x v="10"/>
    <x v="7"/>
    <n v="444584.20699999999"/>
    <n v="820000"/>
    <x v="0"/>
    <x v="0"/>
    <x v="0"/>
    <n v="1"/>
    <n v="984"/>
    <n v="1.0258995E-2"/>
    <x v="3"/>
    <n v="375415.79300000001"/>
    <n v="833.33330000000001"/>
    <x v="0"/>
    <s v="High"/>
    <s v="Medium"/>
    <s v="June"/>
    <x v="5"/>
  </r>
  <r>
    <d v="2019-06-21T00:00:00"/>
    <x v="10"/>
    <x v="3"/>
    <n v="444584.20699999999"/>
    <n v="795000"/>
    <x v="0"/>
    <x v="0"/>
    <x v="0"/>
    <n v="1"/>
    <n v="1004"/>
    <n v="1.0258995E-2"/>
    <x v="3"/>
    <n v="350415.79300000001"/>
    <n v="791.83270000000005"/>
    <x v="0"/>
    <s v="High"/>
    <s v="Medium"/>
    <s v="June"/>
    <x v="5"/>
  </r>
  <r>
    <d v="2019-06-22T00:00:00"/>
    <x v="10"/>
    <x v="2"/>
    <n v="192030"/>
    <n v="327400"/>
    <x v="0"/>
    <x v="0"/>
    <x v="0"/>
    <n v="3"/>
    <n v="1089"/>
    <n v="1.0258995E-2"/>
    <x v="3"/>
    <n v="135370"/>
    <n v="300.64280000000002"/>
    <x v="0"/>
    <s v="Medium"/>
    <s v="Medium"/>
    <s v="June"/>
    <x v="5"/>
  </r>
  <r>
    <d v="2019-06-24T00:00:00"/>
    <x v="10"/>
    <x v="5"/>
    <n v="1258740"/>
    <n v="1690000"/>
    <x v="0"/>
    <x v="0"/>
    <x v="0"/>
    <n v="3"/>
    <n v="1007"/>
    <n v="1.0258995E-2"/>
    <x v="3"/>
    <n v="431260"/>
    <n v="1678.2521999999999"/>
    <x v="0"/>
    <s v="High"/>
    <s v="Medium"/>
    <s v="June"/>
    <x v="5"/>
  </r>
  <r>
    <d v="2019-06-26T00:00:00"/>
    <x v="10"/>
    <x v="1"/>
    <n v="2539330"/>
    <n v="3900000"/>
    <x v="0"/>
    <x v="0"/>
    <x v="0"/>
    <n v="3"/>
    <n v="1045"/>
    <n v="1.0258995E-2"/>
    <x v="3"/>
    <n v="1360670"/>
    <n v="3732.0574000000001"/>
    <x v="0"/>
    <s v="High"/>
    <s v="Medium"/>
    <s v="June"/>
    <x v="5"/>
  </r>
  <r>
    <d v="2019-06-27T00:00:00"/>
    <x v="10"/>
    <x v="3"/>
    <n v="659750"/>
    <n v="1110000"/>
    <x v="0"/>
    <x v="0"/>
    <x v="0"/>
    <n v="1"/>
    <n v="922"/>
    <n v="1.0258995E-2"/>
    <x v="0"/>
    <n v="450250"/>
    <n v="1203.9046000000001"/>
    <x v="0"/>
    <s v="High"/>
    <s v="Medium"/>
    <s v="June"/>
    <x v="5"/>
  </r>
  <r>
    <d v="2019-06-28T00:00:00"/>
    <x v="10"/>
    <x v="4"/>
    <n v="627270"/>
    <n v="870000"/>
    <x v="0"/>
    <x v="0"/>
    <x v="0"/>
    <n v="3"/>
    <n v="936"/>
    <n v="1.0258995E-2"/>
    <x v="0"/>
    <n v="242730"/>
    <n v="929.48720000000003"/>
    <x v="0"/>
    <s v="High"/>
    <s v="Medium"/>
    <s v="June"/>
    <x v="5"/>
  </r>
  <r>
    <d v="2019-06-29T00:00:00"/>
    <x v="10"/>
    <x v="3"/>
    <n v="1192800"/>
    <n v="2200000"/>
    <x v="0"/>
    <x v="0"/>
    <x v="0"/>
    <n v="1"/>
    <n v="1046"/>
    <n v="1.0258995E-2"/>
    <x v="2"/>
    <n v="1007200"/>
    <n v="2103.2505000000001"/>
    <x v="0"/>
    <s v="High"/>
    <s v="Medium"/>
    <s v="June"/>
    <x v="5"/>
  </r>
  <r>
    <d v="2019-06-30T00:00:00"/>
    <x v="10"/>
    <x v="2"/>
    <n v="172430"/>
    <n v="224900"/>
    <x v="0"/>
    <x v="0"/>
    <x v="0"/>
    <n v="2"/>
    <n v="1062"/>
    <n v="1.0258995E-2"/>
    <x v="2"/>
    <n v="52470"/>
    <n v="211.77019999999999"/>
    <x v="0"/>
    <s v="Medium"/>
    <s v="Medium"/>
    <s v="June"/>
    <x v="5"/>
  </r>
  <r>
    <d v="2019-07-05T00:00:00"/>
    <x v="10"/>
    <x v="5"/>
    <n v="75160"/>
    <n v="100000"/>
    <x v="0"/>
    <x v="0"/>
    <x v="0"/>
    <n v="1"/>
    <n v="1005"/>
    <n v="1.0258995E-2"/>
    <x v="0"/>
    <n v="24840"/>
    <n v="99.502499999999998"/>
    <x v="0"/>
    <s v="Low"/>
    <s v="Medium"/>
    <s v="July"/>
    <x v="6"/>
  </r>
  <r>
    <d v="2019-07-06T00:00:00"/>
    <x v="10"/>
    <x v="5"/>
    <n v="444584.20699999999"/>
    <n v="457500"/>
    <x v="0"/>
    <x v="0"/>
    <x v="0"/>
    <n v="1"/>
    <n v="1017"/>
    <n v="1.0258995E-2"/>
    <x v="0"/>
    <n v="12915.793"/>
    <n v="449.85250000000002"/>
    <x v="0"/>
    <s v="Medium"/>
    <s v="Medium"/>
    <s v="July"/>
    <x v="6"/>
  </r>
  <r>
    <d v="2019-07-07T00:00:00"/>
    <x v="10"/>
    <x v="7"/>
    <n v="280960"/>
    <n v="500000"/>
    <x v="0"/>
    <x v="0"/>
    <x v="0"/>
    <n v="3"/>
    <n v="997"/>
    <n v="1.0258995E-2"/>
    <x v="1"/>
    <n v="219040"/>
    <n v="501.50450000000001"/>
    <x v="0"/>
    <s v="Medium"/>
    <s v="Medium"/>
    <s v="July"/>
    <x v="6"/>
  </r>
  <r>
    <d v="2019-07-10T00:00:00"/>
    <x v="10"/>
    <x v="5"/>
    <n v="534100"/>
    <n v="949000"/>
    <x v="0"/>
    <x v="0"/>
    <x v="0"/>
    <n v="1"/>
    <n v="1111.6589814177564"/>
    <n v="1.0258995E-2"/>
    <x v="3"/>
    <n v="414900"/>
    <n v="853.67909999999995"/>
    <x v="0"/>
    <s v="High"/>
    <s v="Medium"/>
    <s v="July"/>
    <x v="6"/>
  </r>
  <r>
    <d v="2019-07-11T00:00:00"/>
    <x v="10"/>
    <x v="3"/>
    <n v="507010"/>
    <n v="751000"/>
    <x v="0"/>
    <x v="0"/>
    <x v="0"/>
    <n v="2"/>
    <n v="1012"/>
    <n v="1.0258995E-2"/>
    <x v="3"/>
    <n v="243990"/>
    <n v="742.09490000000005"/>
    <x v="0"/>
    <s v="High"/>
    <s v="Medium"/>
    <s v="July"/>
    <x v="6"/>
  </r>
  <r>
    <d v="2019-07-12T00:00:00"/>
    <x v="10"/>
    <x v="2"/>
    <n v="231270"/>
    <n v="350000"/>
    <x v="3"/>
    <x v="3"/>
    <x v="3"/>
    <n v="6"/>
    <n v="2960"/>
    <n v="1.0258995E-2"/>
    <x v="2"/>
    <n v="118730"/>
    <n v="118.2432"/>
    <x v="0"/>
    <s v="Medium"/>
    <s v="Large"/>
    <s v="July"/>
    <x v="6"/>
  </r>
  <r>
    <d v="2019-07-13T00:00:00"/>
    <x v="10"/>
    <x v="7"/>
    <n v="350220"/>
    <n v="485000"/>
    <x v="0"/>
    <x v="0"/>
    <x v="0"/>
    <n v="1"/>
    <n v="1111.6589814177564"/>
    <n v="1.0258995E-2"/>
    <x v="3"/>
    <n v="134780"/>
    <n v="436.28489999999999"/>
    <x v="0"/>
    <s v="Medium"/>
    <s v="Medium"/>
    <s v="July"/>
    <x v="6"/>
  </r>
  <r>
    <d v="2019-07-14T00:00:00"/>
    <x v="10"/>
    <x v="0"/>
    <n v="65580"/>
    <n v="109000"/>
    <x v="0"/>
    <x v="0"/>
    <x v="0"/>
    <n v="2"/>
    <n v="1012"/>
    <n v="1.0258995E-2"/>
    <x v="3"/>
    <n v="43420"/>
    <n v="107.7075"/>
    <x v="0"/>
    <s v="Low"/>
    <s v="Medium"/>
    <s v="July"/>
    <x v="6"/>
  </r>
  <r>
    <d v="2019-07-18T00:00:00"/>
    <x v="10"/>
    <x v="2"/>
    <n v="120720"/>
    <n v="126000"/>
    <x v="0"/>
    <x v="0"/>
    <x v="0"/>
    <n v="3"/>
    <n v="1111.6589814177564"/>
    <n v="1.0258995E-2"/>
    <x v="1"/>
    <n v="5280"/>
    <n v="113.3441"/>
    <x v="0"/>
    <s v="Low"/>
    <s v="Medium"/>
    <s v="July"/>
    <x v="6"/>
  </r>
  <r>
    <d v="2019-07-19T00:00:00"/>
    <x v="10"/>
    <x v="4"/>
    <n v="403340"/>
    <n v="632500"/>
    <x v="0"/>
    <x v="0"/>
    <x v="0"/>
    <n v="1"/>
    <n v="1058"/>
    <n v="1.0258995E-2"/>
    <x v="1"/>
    <n v="229160"/>
    <n v="597.8261"/>
    <x v="0"/>
    <s v="High"/>
    <s v="Medium"/>
    <s v="July"/>
    <x v="6"/>
  </r>
  <r>
    <d v="2019-07-20T00:00:00"/>
    <x v="10"/>
    <x v="2"/>
    <n v="121950"/>
    <n v="40000"/>
    <x v="1"/>
    <x v="1"/>
    <x v="1"/>
    <n v="4"/>
    <n v="1257"/>
    <n v="1.0258995E-2"/>
    <x v="0"/>
    <n v="-81950"/>
    <n v="31.8218"/>
    <x v="1"/>
    <s v="Low"/>
    <s v="Medium"/>
    <s v="July"/>
    <x v="6"/>
  </r>
  <r>
    <d v="2019-07-21T00:00:00"/>
    <x v="10"/>
    <x v="1"/>
    <n v="266670"/>
    <n v="445000"/>
    <x v="0"/>
    <x v="0"/>
    <x v="0"/>
    <n v="1"/>
    <n v="1111.6589814177564"/>
    <n v="1.0258995E-2"/>
    <x v="1"/>
    <n v="178330"/>
    <n v="400.30259999999998"/>
    <x v="0"/>
    <s v="Medium"/>
    <s v="Medium"/>
    <s v="July"/>
    <x v="6"/>
  </r>
  <r>
    <d v="2019-07-25T00:00:00"/>
    <x v="10"/>
    <x v="2"/>
    <n v="236430"/>
    <n v="385000"/>
    <x v="0"/>
    <x v="0"/>
    <x v="0"/>
    <n v="1"/>
    <n v="1068"/>
    <n v="1.0258995E-2"/>
    <x v="2"/>
    <n v="148570"/>
    <n v="360.48689999999999"/>
    <x v="0"/>
    <s v="Medium"/>
    <s v="Medium"/>
    <s v="July"/>
    <x v="6"/>
  </r>
  <r>
    <d v="2019-07-26T00:00:00"/>
    <x v="10"/>
    <x v="0"/>
    <n v="54240"/>
    <n v="79500"/>
    <x v="0"/>
    <x v="0"/>
    <x v="0"/>
    <n v="2"/>
    <n v="999"/>
    <n v="1.0258995E-2"/>
    <x v="3"/>
    <n v="25260"/>
    <n v="79.579599999999999"/>
    <x v="0"/>
    <s v="Low"/>
    <s v="Medium"/>
    <s v="July"/>
    <x v="6"/>
  </r>
  <r>
    <d v="2019-07-27T00:00:00"/>
    <x v="10"/>
    <x v="1"/>
    <n v="191180"/>
    <n v="435000"/>
    <x v="0"/>
    <x v="0"/>
    <x v="0"/>
    <n v="3"/>
    <n v="1111.6589814177564"/>
    <n v="1.0258995E-2"/>
    <x v="3"/>
    <n v="243820"/>
    <n v="391.30709999999999"/>
    <x v="0"/>
    <s v="Medium"/>
    <s v="Medium"/>
    <s v="July"/>
    <x v="6"/>
  </r>
  <r>
    <d v="2019-07-28T00:00:00"/>
    <x v="10"/>
    <x v="7"/>
    <n v="486460"/>
    <n v="630000"/>
    <x v="0"/>
    <x v="0"/>
    <x v="0"/>
    <n v="1"/>
    <n v="1067"/>
    <n v="1.0258995E-2"/>
    <x v="2"/>
    <n v="143540"/>
    <n v="590.44050000000004"/>
    <x v="0"/>
    <s v="High"/>
    <s v="Medium"/>
    <s v="July"/>
    <x v="6"/>
  </r>
  <r>
    <d v="2019-07-31T00:00:00"/>
    <x v="10"/>
    <x v="7"/>
    <n v="331190"/>
    <n v="584400"/>
    <x v="0"/>
    <x v="0"/>
    <x v="0"/>
    <n v="2"/>
    <n v="993"/>
    <n v="1.0258995E-2"/>
    <x v="0"/>
    <n v="253210"/>
    <n v="588.51959999999997"/>
    <x v="0"/>
    <s v="Medium"/>
    <s v="Medium"/>
    <s v="July"/>
    <x v="6"/>
  </r>
  <r>
    <d v="2019-08-02T00:00:00"/>
    <x v="10"/>
    <x v="7"/>
    <n v="599930"/>
    <n v="1200000"/>
    <x v="0"/>
    <x v="0"/>
    <x v="0"/>
    <n v="3"/>
    <n v="905"/>
    <n v="1.0258995E-2"/>
    <x v="3"/>
    <n v="600070"/>
    <n v="1325.9668999999999"/>
    <x v="0"/>
    <s v="High"/>
    <s v="Medium"/>
    <s v="August"/>
    <x v="7"/>
  </r>
  <r>
    <d v="2019-08-04T00:00:00"/>
    <x v="10"/>
    <x v="4"/>
    <n v="338380"/>
    <n v="565000"/>
    <x v="0"/>
    <x v="0"/>
    <x v="0"/>
    <n v="1"/>
    <n v="1027"/>
    <n v="1.0258995E-2"/>
    <x v="3"/>
    <n v="226620"/>
    <n v="550.14610000000005"/>
    <x v="0"/>
    <s v="Medium"/>
    <s v="Medium"/>
    <s v="August"/>
    <x v="7"/>
  </r>
  <r>
    <d v="2019-08-07T00:00:00"/>
    <x v="10"/>
    <x v="2"/>
    <n v="141800"/>
    <n v="109900"/>
    <x v="3"/>
    <x v="3"/>
    <x v="3"/>
    <n v="8"/>
    <n v="2739"/>
    <n v="1.0258995E-2"/>
    <x v="1"/>
    <n v="-31900"/>
    <n v="40.124099999999999"/>
    <x v="1"/>
    <s v="Low"/>
    <s v="Large"/>
    <s v="August"/>
    <x v="7"/>
  </r>
  <r>
    <d v="2019-08-08T00:00:00"/>
    <x v="10"/>
    <x v="2"/>
    <n v="110750"/>
    <n v="100800"/>
    <x v="0"/>
    <x v="0"/>
    <x v="0"/>
    <n v="1"/>
    <n v="943"/>
    <n v="1.0258995E-2"/>
    <x v="2"/>
    <n v="-9950"/>
    <n v="106.8929"/>
    <x v="1"/>
    <s v="Low"/>
    <s v="Medium"/>
    <s v="August"/>
    <x v="7"/>
  </r>
  <r>
    <d v="2019-08-09T00:00:00"/>
    <x v="10"/>
    <x v="4"/>
    <n v="574980"/>
    <n v="640000"/>
    <x v="0"/>
    <x v="0"/>
    <x v="0"/>
    <n v="1"/>
    <n v="1020"/>
    <n v="1.0258995E-2"/>
    <x v="0"/>
    <n v="65020"/>
    <n v="627.45100000000002"/>
    <x v="0"/>
    <s v="High"/>
    <s v="Medium"/>
    <s v="August"/>
    <x v="7"/>
  </r>
  <r>
    <d v="2019-08-10T00:00:00"/>
    <x v="10"/>
    <x v="2"/>
    <n v="117630"/>
    <n v="180000"/>
    <x v="0"/>
    <x v="0"/>
    <x v="0"/>
    <n v="3"/>
    <n v="1022"/>
    <n v="1.0258995E-2"/>
    <x v="1"/>
    <n v="62370"/>
    <n v="176.12520000000001"/>
    <x v="0"/>
    <s v="Low"/>
    <s v="Medium"/>
    <s v="August"/>
    <x v="7"/>
  </r>
  <r>
    <d v="2019-08-11T00:00:00"/>
    <x v="10"/>
    <x v="4"/>
    <n v="199990"/>
    <n v="372000"/>
    <x v="0"/>
    <x v="0"/>
    <x v="0"/>
    <n v="3"/>
    <n v="960"/>
    <n v="1.0258995E-2"/>
    <x v="3"/>
    <n v="172010"/>
    <n v="387.5"/>
    <x v="0"/>
    <s v="Medium"/>
    <s v="Medium"/>
    <s v="August"/>
    <x v="7"/>
  </r>
  <r>
    <d v="2019-08-14T00:00:00"/>
    <x v="10"/>
    <x v="2"/>
    <n v="319360"/>
    <n v="396147"/>
    <x v="0"/>
    <x v="0"/>
    <x v="0"/>
    <n v="2"/>
    <n v="949"/>
    <n v="1.0258995E-2"/>
    <x v="2"/>
    <n v="76787"/>
    <n v="417.43619999999999"/>
    <x v="0"/>
    <s v="Medium"/>
    <s v="Medium"/>
    <s v="August"/>
    <x v="7"/>
  </r>
  <r>
    <d v="2019-08-15T00:00:00"/>
    <x v="10"/>
    <x v="1"/>
    <n v="198570"/>
    <n v="300000"/>
    <x v="1"/>
    <x v="1"/>
    <x v="1"/>
    <n v="3"/>
    <n v="1111.6589814177564"/>
    <n v="1.0258995E-2"/>
    <x v="0"/>
    <n v="101430"/>
    <n v="269.86689999999999"/>
    <x v="0"/>
    <s v="Medium"/>
    <s v="Medium"/>
    <s v="August"/>
    <x v="7"/>
  </r>
  <r>
    <d v="2019-08-17T00:00:00"/>
    <x v="10"/>
    <x v="5"/>
    <n v="444584.20699999999"/>
    <n v="59535"/>
    <x v="0"/>
    <x v="0"/>
    <x v="0"/>
    <n v="3"/>
    <n v="941"/>
    <n v="1.0258995E-2"/>
    <x v="1"/>
    <n v="-385049.20699999999"/>
    <n v="63.267800000000001"/>
    <x v="1"/>
    <s v="Low"/>
    <s v="Medium"/>
    <s v="August"/>
    <x v="7"/>
  </r>
  <r>
    <d v="2019-08-18T00:00:00"/>
    <x v="10"/>
    <x v="4"/>
    <n v="943600"/>
    <n v="1485000"/>
    <x v="0"/>
    <x v="0"/>
    <x v="0"/>
    <n v="2"/>
    <n v="909"/>
    <n v="1.0258995E-2"/>
    <x v="2"/>
    <n v="541400"/>
    <n v="1633.6633999999999"/>
    <x v="0"/>
    <s v="High"/>
    <s v="Medium"/>
    <s v="August"/>
    <x v="7"/>
  </r>
  <r>
    <d v="2019-08-22T00:00:00"/>
    <x v="10"/>
    <x v="2"/>
    <n v="444584.20699999999"/>
    <n v="190000"/>
    <x v="0"/>
    <x v="0"/>
    <x v="0"/>
    <n v="3"/>
    <n v="987"/>
    <n v="1.0258995E-2"/>
    <x v="0"/>
    <n v="-254584.20699999999"/>
    <n v="192.5025"/>
    <x v="1"/>
    <s v="Low"/>
    <s v="Medium"/>
    <s v="August"/>
    <x v="7"/>
  </r>
  <r>
    <d v="2019-08-23T00:00:00"/>
    <x v="10"/>
    <x v="1"/>
    <n v="291820"/>
    <n v="560000"/>
    <x v="0"/>
    <x v="0"/>
    <x v="0"/>
    <n v="3"/>
    <n v="934"/>
    <n v="1.0258995E-2"/>
    <x v="0"/>
    <n v="268180"/>
    <n v="599.57169999999996"/>
    <x v="0"/>
    <s v="Medium"/>
    <s v="Medium"/>
    <s v="August"/>
    <x v="7"/>
  </r>
  <r>
    <d v="2019-08-24T00:00:00"/>
    <x v="10"/>
    <x v="4"/>
    <n v="732060"/>
    <n v="820000"/>
    <x v="0"/>
    <x v="0"/>
    <x v="0"/>
    <n v="1"/>
    <n v="981"/>
    <n v="1.0258995E-2"/>
    <x v="2"/>
    <n v="87940"/>
    <n v="835.8818"/>
    <x v="0"/>
    <s v="High"/>
    <s v="Medium"/>
    <s v="August"/>
    <x v="7"/>
  </r>
  <r>
    <d v="2019-08-28T00:00:00"/>
    <x v="10"/>
    <x v="0"/>
    <n v="61890"/>
    <n v="17000"/>
    <x v="0"/>
    <x v="0"/>
    <x v="0"/>
    <n v="2"/>
    <n v="946"/>
    <n v="1.0258995E-2"/>
    <x v="3"/>
    <n v="-44890"/>
    <n v="17.970400000000001"/>
    <x v="1"/>
    <s v="Low"/>
    <s v="Medium"/>
    <s v="August"/>
    <x v="7"/>
  </r>
  <r>
    <d v="2019-08-29T00:00:00"/>
    <x v="10"/>
    <x v="7"/>
    <n v="506370"/>
    <n v="895000"/>
    <x v="0"/>
    <x v="0"/>
    <x v="0"/>
    <n v="1"/>
    <n v="1024"/>
    <n v="1.0258995E-2"/>
    <x v="0"/>
    <n v="388630"/>
    <n v="874.02340000000004"/>
    <x v="0"/>
    <s v="High"/>
    <s v="Medium"/>
    <s v="August"/>
    <x v="7"/>
  </r>
  <r>
    <d v="2019-08-30T00:00:00"/>
    <x v="10"/>
    <x v="7"/>
    <n v="468530"/>
    <n v="662000"/>
    <x v="0"/>
    <x v="0"/>
    <x v="0"/>
    <n v="1"/>
    <n v="1099"/>
    <n v="1.0258995E-2"/>
    <x v="3"/>
    <n v="193470"/>
    <n v="602.36580000000004"/>
    <x v="0"/>
    <s v="High"/>
    <s v="Medium"/>
    <s v="August"/>
    <x v="7"/>
  </r>
  <r>
    <d v="2019-08-31T00:00:00"/>
    <x v="10"/>
    <x v="2"/>
    <n v="131100"/>
    <n v="230000"/>
    <x v="0"/>
    <x v="0"/>
    <x v="0"/>
    <n v="1"/>
    <n v="1016"/>
    <n v="1.0258995E-2"/>
    <x v="1"/>
    <n v="98900"/>
    <n v="226.37799999999999"/>
    <x v="0"/>
    <s v="Medium"/>
    <s v="Medium"/>
    <s v="August"/>
    <x v="7"/>
  </r>
  <r>
    <d v="2019-09-06T00:00:00"/>
    <x v="10"/>
    <x v="0"/>
    <n v="26220"/>
    <n v="30000"/>
    <x v="0"/>
    <x v="0"/>
    <x v="0"/>
    <n v="1"/>
    <n v="1051"/>
    <n v="1.0258995E-2"/>
    <x v="0"/>
    <n v="3780"/>
    <n v="28.5442"/>
    <x v="0"/>
    <s v="Low"/>
    <s v="Medium"/>
    <s v="September"/>
    <x v="8"/>
  </r>
  <r>
    <d v="2019-09-07T00:00:00"/>
    <x v="10"/>
    <x v="1"/>
    <n v="444584.20699999999"/>
    <n v="4200"/>
    <x v="0"/>
    <x v="0"/>
    <x v="0"/>
    <n v="2"/>
    <n v="1003"/>
    <n v="1.0258995E-2"/>
    <x v="0"/>
    <n v="-440384.20699999999"/>
    <n v="4.1874000000000002"/>
    <x v="1"/>
    <s v="Low"/>
    <s v="Medium"/>
    <s v="September"/>
    <x v="8"/>
  </r>
  <r>
    <d v="2019-09-08T00:00:00"/>
    <x v="10"/>
    <x v="7"/>
    <n v="220680"/>
    <n v="342000"/>
    <x v="0"/>
    <x v="0"/>
    <x v="0"/>
    <n v="1"/>
    <n v="1065"/>
    <n v="1.0258995E-2"/>
    <x v="1"/>
    <n v="121320"/>
    <n v="321.1268"/>
    <x v="0"/>
    <s v="Medium"/>
    <s v="Medium"/>
    <s v="September"/>
    <x v="8"/>
  </r>
  <r>
    <d v="2019-09-11T00:00:00"/>
    <x v="10"/>
    <x v="4"/>
    <n v="157080"/>
    <n v="149900"/>
    <x v="0"/>
    <x v="0"/>
    <x v="0"/>
    <n v="1"/>
    <n v="1111.6589814177564"/>
    <n v="1.0258995E-2"/>
    <x v="3"/>
    <n v="-7180"/>
    <n v="134.84350000000001"/>
    <x v="1"/>
    <s v="Low"/>
    <s v="Medium"/>
    <s v="September"/>
    <x v="8"/>
  </r>
  <r>
    <d v="2019-09-12T00:00:00"/>
    <x v="10"/>
    <x v="3"/>
    <n v="2442300"/>
    <n v="2700000"/>
    <x v="0"/>
    <x v="0"/>
    <x v="0"/>
    <n v="3"/>
    <n v="1078"/>
    <n v="1.0258995E-2"/>
    <x v="3"/>
    <n v="257700"/>
    <n v="2504.6381999999999"/>
    <x v="0"/>
    <s v="High"/>
    <s v="Medium"/>
    <s v="September"/>
    <x v="8"/>
  </r>
  <r>
    <d v="2019-09-13T00:00:00"/>
    <x v="10"/>
    <x v="0"/>
    <n v="109480"/>
    <n v="125000"/>
    <x v="0"/>
    <x v="0"/>
    <x v="0"/>
    <n v="3"/>
    <n v="910"/>
    <n v="1.0258995E-2"/>
    <x v="3"/>
    <n v="15520"/>
    <n v="137.36259999999999"/>
    <x v="0"/>
    <s v="Low"/>
    <s v="Medium"/>
    <s v="September"/>
    <x v="8"/>
  </r>
  <r>
    <d v="2019-09-14T00:00:00"/>
    <x v="10"/>
    <x v="2"/>
    <n v="158220"/>
    <n v="219000"/>
    <x v="0"/>
    <x v="0"/>
    <x v="0"/>
    <n v="2"/>
    <n v="902"/>
    <n v="1.0258995E-2"/>
    <x v="0"/>
    <n v="60780"/>
    <n v="242.7938"/>
    <x v="0"/>
    <s v="Medium"/>
    <s v="Medium"/>
    <s v="September"/>
    <x v="8"/>
  </r>
  <r>
    <d v="2019-09-15T00:00:00"/>
    <x v="10"/>
    <x v="7"/>
    <n v="609270"/>
    <n v="875000"/>
    <x v="0"/>
    <x v="0"/>
    <x v="0"/>
    <n v="2"/>
    <n v="1097"/>
    <n v="1.0258995E-2"/>
    <x v="2"/>
    <n v="265730"/>
    <n v="797.62990000000002"/>
    <x v="0"/>
    <s v="High"/>
    <s v="Medium"/>
    <s v="September"/>
    <x v="8"/>
  </r>
  <r>
    <d v="2019-09-19T00:00:00"/>
    <x v="10"/>
    <x v="2"/>
    <n v="142690"/>
    <n v="160250"/>
    <x v="0"/>
    <x v="0"/>
    <x v="0"/>
    <n v="2"/>
    <n v="993"/>
    <n v="1.0258995E-2"/>
    <x v="0"/>
    <n v="17560"/>
    <n v="161.37970000000001"/>
    <x v="0"/>
    <s v="Low"/>
    <s v="Medium"/>
    <s v="September"/>
    <x v="8"/>
  </r>
  <r>
    <d v="2019-09-20T00:00:00"/>
    <x v="10"/>
    <x v="7"/>
    <n v="588520"/>
    <n v="967500"/>
    <x v="0"/>
    <x v="0"/>
    <x v="0"/>
    <n v="3"/>
    <n v="969"/>
    <n v="1.0258995E-2"/>
    <x v="1"/>
    <n v="378980"/>
    <n v="998.452"/>
    <x v="0"/>
    <s v="High"/>
    <s v="Medium"/>
    <s v="September"/>
    <x v="8"/>
  </r>
  <r>
    <d v="2019-09-21T00:00:00"/>
    <x v="10"/>
    <x v="0"/>
    <n v="100450"/>
    <n v="102901"/>
    <x v="0"/>
    <x v="0"/>
    <x v="0"/>
    <n v="1"/>
    <n v="969"/>
    <n v="1.0258995E-2"/>
    <x v="2"/>
    <n v="2451"/>
    <n v="106.193"/>
    <x v="0"/>
    <s v="Low"/>
    <s v="Medium"/>
    <s v="September"/>
    <x v="8"/>
  </r>
  <r>
    <d v="2019-09-22T00:00:00"/>
    <x v="10"/>
    <x v="4"/>
    <n v="295470"/>
    <n v="680000"/>
    <x v="0"/>
    <x v="0"/>
    <x v="0"/>
    <n v="2"/>
    <n v="1111.6589814177564"/>
    <n v="1.0258995E-2"/>
    <x v="2"/>
    <n v="384530"/>
    <n v="611.69839999999999"/>
    <x v="0"/>
    <s v="High"/>
    <s v="Medium"/>
    <s v="September"/>
    <x v="8"/>
  </r>
  <r>
    <d v="2019-09-26T00:00:00"/>
    <x v="10"/>
    <x v="0"/>
    <n v="85020"/>
    <n v="100000"/>
    <x v="0"/>
    <x v="0"/>
    <x v="0"/>
    <n v="1"/>
    <n v="1088"/>
    <n v="1.0258995E-2"/>
    <x v="0"/>
    <n v="14980"/>
    <n v="91.911799999999999"/>
    <x v="0"/>
    <s v="Low"/>
    <s v="Medium"/>
    <s v="September"/>
    <x v="8"/>
  </r>
  <r>
    <d v="2019-09-27T00:00:00"/>
    <x v="10"/>
    <x v="2"/>
    <n v="107780"/>
    <n v="229900"/>
    <x v="0"/>
    <x v="0"/>
    <x v="0"/>
    <n v="1"/>
    <n v="983"/>
    <n v="1.0258995E-2"/>
    <x v="3"/>
    <n v="122120"/>
    <n v="233.8759"/>
    <x v="0"/>
    <s v="Medium"/>
    <s v="Medium"/>
    <s v="September"/>
    <x v="8"/>
  </r>
  <r>
    <d v="2019-09-28T00:00:00"/>
    <x v="10"/>
    <x v="2"/>
    <n v="118090"/>
    <n v="195000"/>
    <x v="0"/>
    <x v="0"/>
    <x v="0"/>
    <n v="2"/>
    <n v="904"/>
    <n v="1.0258995E-2"/>
    <x v="1"/>
    <n v="76910"/>
    <n v="215.708"/>
    <x v="0"/>
    <s v="Low"/>
    <s v="Medium"/>
    <s v="September"/>
    <x v="8"/>
  </r>
  <r>
    <d v="2019-10-02T00:00:00"/>
    <x v="10"/>
    <x v="2"/>
    <n v="115060"/>
    <n v="227000"/>
    <x v="0"/>
    <x v="0"/>
    <x v="0"/>
    <n v="1"/>
    <n v="1089"/>
    <n v="1.0258995E-2"/>
    <x v="3"/>
    <n v="111940"/>
    <n v="208.44810000000001"/>
    <x v="0"/>
    <s v="Medium"/>
    <s v="Medium"/>
    <s v="October"/>
    <x v="9"/>
  </r>
  <r>
    <d v="2019-10-03T00:00:00"/>
    <x v="10"/>
    <x v="6"/>
    <n v="128380"/>
    <n v="202500"/>
    <x v="0"/>
    <x v="0"/>
    <x v="0"/>
    <n v="2"/>
    <n v="1111.6589814177564"/>
    <n v="1.0258995E-2"/>
    <x v="0"/>
    <n v="74120"/>
    <n v="182.1602"/>
    <x v="0"/>
    <s v="Medium"/>
    <s v="Medium"/>
    <s v="October"/>
    <x v="9"/>
  </r>
  <r>
    <d v="2019-10-04T00:00:00"/>
    <x v="10"/>
    <x v="1"/>
    <n v="805780"/>
    <n v="1325000"/>
    <x v="0"/>
    <x v="0"/>
    <x v="0"/>
    <n v="2"/>
    <n v="900"/>
    <n v="1.0258995E-2"/>
    <x v="1"/>
    <n v="519220"/>
    <n v="1472.2221999999999"/>
    <x v="0"/>
    <s v="High"/>
    <s v="Medium"/>
    <s v="October"/>
    <x v="9"/>
  </r>
  <r>
    <d v="2019-10-05T00:00:00"/>
    <x v="10"/>
    <x v="4"/>
    <n v="341880"/>
    <n v="435000"/>
    <x v="0"/>
    <x v="0"/>
    <x v="0"/>
    <n v="3"/>
    <n v="1111.6589814177564"/>
    <n v="1.0258995E-2"/>
    <x v="2"/>
    <n v="93120"/>
    <n v="391.30709999999999"/>
    <x v="0"/>
    <s v="Medium"/>
    <s v="Medium"/>
    <s v="October"/>
    <x v="9"/>
  </r>
  <r>
    <d v="2019-10-06T00:00:00"/>
    <x v="10"/>
    <x v="5"/>
    <n v="464520"/>
    <n v="686500"/>
    <x v="0"/>
    <x v="0"/>
    <x v="0"/>
    <n v="1"/>
    <n v="954"/>
    <n v="1.0258995E-2"/>
    <x v="3"/>
    <n v="221980"/>
    <n v="719.60170000000005"/>
    <x v="0"/>
    <s v="High"/>
    <s v="Medium"/>
    <s v="October"/>
    <x v="9"/>
  </r>
  <r>
    <d v="2019-10-10T00:00:00"/>
    <x v="10"/>
    <x v="1"/>
    <n v="226660"/>
    <n v="255000"/>
    <x v="0"/>
    <x v="0"/>
    <x v="0"/>
    <n v="3"/>
    <n v="912"/>
    <n v="1.0258995E-2"/>
    <x v="2"/>
    <n v="28340"/>
    <n v="279.6053"/>
    <x v="0"/>
    <s v="Medium"/>
    <s v="Medium"/>
    <s v="October"/>
    <x v="9"/>
  </r>
  <r>
    <d v="2019-10-12T00:00:00"/>
    <x v="10"/>
    <x v="5"/>
    <n v="920500"/>
    <n v="1115000"/>
    <x v="0"/>
    <x v="0"/>
    <x v="0"/>
    <n v="2"/>
    <n v="1111.6589814177564"/>
    <n v="1.0258995E-2"/>
    <x v="1"/>
    <n v="194500"/>
    <n v="1003.0054"/>
    <x v="0"/>
    <s v="High"/>
    <s v="Medium"/>
    <s v="October"/>
    <x v="9"/>
  </r>
  <r>
    <d v="2019-10-13T00:00:00"/>
    <x v="10"/>
    <x v="6"/>
    <n v="239190"/>
    <n v="340000"/>
    <x v="0"/>
    <x v="0"/>
    <x v="0"/>
    <n v="3"/>
    <n v="1111.6589814177564"/>
    <n v="1.0258995E-2"/>
    <x v="1"/>
    <n v="100810"/>
    <n v="305.8492"/>
    <x v="0"/>
    <s v="Medium"/>
    <s v="Medium"/>
    <s v="October"/>
    <x v="9"/>
  </r>
  <r>
    <d v="2019-10-16T00:00:00"/>
    <x v="10"/>
    <x v="5"/>
    <n v="363440"/>
    <n v="690000"/>
    <x v="0"/>
    <x v="0"/>
    <x v="0"/>
    <n v="1"/>
    <n v="978"/>
    <n v="1.0258995E-2"/>
    <x v="1"/>
    <n v="326560"/>
    <n v="705.52149999999995"/>
    <x v="0"/>
    <s v="High"/>
    <s v="Medium"/>
    <s v="October"/>
    <x v="9"/>
  </r>
  <r>
    <d v="2019-10-17T00:00:00"/>
    <x v="10"/>
    <x v="6"/>
    <n v="250460"/>
    <n v="318000"/>
    <x v="0"/>
    <x v="0"/>
    <x v="0"/>
    <n v="3"/>
    <n v="963"/>
    <n v="1.0258995E-2"/>
    <x v="2"/>
    <n v="67540"/>
    <n v="330.21809999999999"/>
    <x v="0"/>
    <s v="Medium"/>
    <s v="Medium"/>
    <s v="October"/>
    <x v="9"/>
  </r>
  <r>
    <d v="2019-10-20T00:00:00"/>
    <x v="10"/>
    <x v="6"/>
    <n v="135380"/>
    <n v="205000"/>
    <x v="0"/>
    <x v="0"/>
    <x v="0"/>
    <n v="2"/>
    <n v="970"/>
    <n v="1.0258995E-2"/>
    <x v="1"/>
    <n v="69620"/>
    <n v="211.34020000000001"/>
    <x v="0"/>
    <s v="Medium"/>
    <s v="Medium"/>
    <s v="October"/>
    <x v="9"/>
  </r>
  <r>
    <d v="2019-10-23T00:00:00"/>
    <x v="10"/>
    <x v="1"/>
    <n v="358120"/>
    <n v="548000"/>
    <x v="0"/>
    <x v="0"/>
    <x v="0"/>
    <n v="3"/>
    <n v="933"/>
    <n v="1.0258995E-2"/>
    <x v="2"/>
    <n v="189880"/>
    <n v="587.35260000000005"/>
    <x v="0"/>
    <s v="Medium"/>
    <s v="Medium"/>
    <s v="October"/>
    <x v="9"/>
  </r>
  <r>
    <d v="2019-10-24T00:00:00"/>
    <x v="10"/>
    <x v="4"/>
    <n v="444584.20699999999"/>
    <n v="739500"/>
    <x v="0"/>
    <x v="0"/>
    <x v="0"/>
    <n v="3"/>
    <n v="998"/>
    <n v="1.0258995E-2"/>
    <x v="0"/>
    <n v="294915.79300000001"/>
    <n v="740.98199999999997"/>
    <x v="0"/>
    <s v="High"/>
    <s v="Medium"/>
    <s v="October"/>
    <x v="9"/>
  </r>
  <r>
    <d v="2019-10-25T00:00:00"/>
    <x v="10"/>
    <x v="6"/>
    <n v="147280"/>
    <n v="248000"/>
    <x v="1"/>
    <x v="1"/>
    <x v="1"/>
    <n v="3"/>
    <n v="1496"/>
    <n v="1.0258995E-2"/>
    <x v="0"/>
    <n v="100720"/>
    <n v="165.77539999999999"/>
    <x v="0"/>
    <s v="Medium"/>
    <s v="Large"/>
    <s v="October"/>
    <x v="9"/>
  </r>
  <r>
    <d v="2019-10-26T00:00:00"/>
    <x v="10"/>
    <x v="2"/>
    <n v="119220"/>
    <n v="258000"/>
    <x v="0"/>
    <x v="0"/>
    <x v="0"/>
    <n v="1"/>
    <n v="1089"/>
    <n v="1.0258995E-2"/>
    <x v="0"/>
    <n v="138780"/>
    <n v="236.91460000000001"/>
    <x v="0"/>
    <s v="Medium"/>
    <s v="Medium"/>
    <s v="October"/>
    <x v="9"/>
  </r>
  <r>
    <d v="2019-10-27T00:00:00"/>
    <x v="10"/>
    <x v="2"/>
    <n v="71520"/>
    <n v="60000"/>
    <x v="0"/>
    <x v="0"/>
    <x v="0"/>
    <n v="1"/>
    <n v="932"/>
    <n v="1.0258995E-2"/>
    <x v="2"/>
    <n v="-11520"/>
    <n v="64.377700000000004"/>
    <x v="1"/>
    <s v="Low"/>
    <s v="Medium"/>
    <s v="October"/>
    <x v="9"/>
  </r>
  <r>
    <d v="2019-10-30T00:00:00"/>
    <x v="10"/>
    <x v="4"/>
    <n v="308840"/>
    <n v="469000"/>
    <x v="0"/>
    <x v="0"/>
    <x v="0"/>
    <n v="1"/>
    <n v="1111.6589814177564"/>
    <n v="1.0258995E-2"/>
    <x v="1"/>
    <n v="160160"/>
    <n v="421.892"/>
    <x v="0"/>
    <s v="Medium"/>
    <s v="Medium"/>
    <s v="October"/>
    <x v="9"/>
  </r>
  <r>
    <d v="2019-11-01T00:00:00"/>
    <x v="10"/>
    <x v="3"/>
    <n v="689150"/>
    <n v="1250000"/>
    <x v="0"/>
    <x v="0"/>
    <x v="0"/>
    <n v="1"/>
    <n v="902"/>
    <n v="1.0258995E-2"/>
    <x v="3"/>
    <n v="560850"/>
    <n v="1385.8092999999999"/>
    <x v="0"/>
    <s v="High"/>
    <s v="Medium"/>
    <s v="November"/>
    <x v="10"/>
  </r>
  <r>
    <d v="2019-11-02T00:00:00"/>
    <x v="10"/>
    <x v="5"/>
    <n v="174090"/>
    <n v="259000"/>
    <x v="0"/>
    <x v="0"/>
    <x v="0"/>
    <n v="2"/>
    <n v="970"/>
    <n v="1.0258995E-2"/>
    <x v="2"/>
    <n v="84910"/>
    <n v="267.01029999999997"/>
    <x v="0"/>
    <s v="Medium"/>
    <s v="Medium"/>
    <s v="November"/>
    <x v="10"/>
  </r>
  <r>
    <d v="2019-11-03T00:00:00"/>
    <x v="10"/>
    <x v="5"/>
    <n v="444584.20699999999"/>
    <n v="1069500"/>
    <x v="0"/>
    <x v="0"/>
    <x v="0"/>
    <n v="3"/>
    <n v="1045"/>
    <n v="1.0258995E-2"/>
    <x v="2"/>
    <n v="624915.79299999995"/>
    <n v="1023.4450000000001"/>
    <x v="0"/>
    <s v="High"/>
    <s v="Medium"/>
    <s v="November"/>
    <x v="10"/>
  </r>
  <r>
    <d v="2019-11-09T00:00:00"/>
    <x v="10"/>
    <x v="2"/>
    <n v="103020"/>
    <n v="120000"/>
    <x v="0"/>
    <x v="0"/>
    <x v="0"/>
    <n v="1"/>
    <n v="956"/>
    <n v="1.0258995E-2"/>
    <x v="0"/>
    <n v="16980"/>
    <n v="125.523"/>
    <x v="0"/>
    <s v="Low"/>
    <s v="Medium"/>
    <s v="November"/>
    <x v="10"/>
  </r>
  <r>
    <d v="2019-11-13T00:00:00"/>
    <x v="10"/>
    <x v="2"/>
    <n v="147590"/>
    <n v="215400"/>
    <x v="1"/>
    <x v="1"/>
    <x v="1"/>
    <n v="4"/>
    <n v="1301"/>
    <n v="1.0258995E-2"/>
    <x v="1"/>
    <n v="67810"/>
    <n v="165.565"/>
    <x v="0"/>
    <s v="Medium"/>
    <s v="Large"/>
    <s v="November"/>
    <x v="10"/>
  </r>
  <r>
    <d v="2019-11-15T00:00:00"/>
    <x v="10"/>
    <x v="2"/>
    <n v="96560"/>
    <n v="97500"/>
    <x v="0"/>
    <x v="0"/>
    <x v="0"/>
    <n v="2"/>
    <n v="931"/>
    <n v="1.0258995E-2"/>
    <x v="2"/>
    <n v="940"/>
    <n v="104.7261"/>
    <x v="0"/>
    <s v="Low"/>
    <s v="Medium"/>
    <s v="November"/>
    <x v="10"/>
  </r>
  <r>
    <d v="2019-11-16T00:00:00"/>
    <x v="10"/>
    <x v="3"/>
    <n v="1093960"/>
    <n v="1970000"/>
    <x v="0"/>
    <x v="0"/>
    <x v="0"/>
    <n v="1"/>
    <n v="996"/>
    <n v="1.0258995E-2"/>
    <x v="0"/>
    <n v="876040"/>
    <n v="1977.9115999999999"/>
    <x v="0"/>
    <s v="High"/>
    <s v="Medium"/>
    <s v="November"/>
    <x v="10"/>
  </r>
  <r>
    <d v="2019-11-17T00:00:00"/>
    <x v="10"/>
    <x v="6"/>
    <n v="158830"/>
    <n v="270000"/>
    <x v="0"/>
    <x v="0"/>
    <x v="0"/>
    <n v="1"/>
    <n v="963"/>
    <n v="1.0258995E-2"/>
    <x v="1"/>
    <n v="111170"/>
    <n v="280.37380000000002"/>
    <x v="0"/>
    <s v="Medium"/>
    <s v="Medium"/>
    <s v="November"/>
    <x v="10"/>
  </r>
  <r>
    <d v="2019-11-20T00:00:00"/>
    <x v="10"/>
    <x v="1"/>
    <n v="398980"/>
    <n v="530000"/>
    <x v="0"/>
    <x v="0"/>
    <x v="0"/>
    <n v="3"/>
    <n v="947"/>
    <n v="1.0258995E-2"/>
    <x v="2"/>
    <n v="131020"/>
    <n v="559.66210000000001"/>
    <x v="0"/>
    <s v="Medium"/>
    <s v="Medium"/>
    <s v="November"/>
    <x v="10"/>
  </r>
  <r>
    <d v="2019-11-21T00:00:00"/>
    <x v="10"/>
    <x v="5"/>
    <n v="2092130"/>
    <n v="2900000"/>
    <x v="0"/>
    <x v="0"/>
    <x v="0"/>
    <n v="2"/>
    <n v="1098"/>
    <n v="1.0258995E-2"/>
    <x v="2"/>
    <n v="807870"/>
    <n v="2641.1658000000002"/>
    <x v="0"/>
    <s v="High"/>
    <s v="Medium"/>
    <s v="November"/>
    <x v="10"/>
  </r>
  <r>
    <d v="2019-11-27T00:00:00"/>
    <x v="10"/>
    <x v="2"/>
    <n v="101110"/>
    <n v="41000"/>
    <x v="1"/>
    <x v="1"/>
    <x v="1"/>
    <n v="2"/>
    <n v="1447"/>
    <n v="1.0258995E-2"/>
    <x v="3"/>
    <n v="-60110"/>
    <n v="28.334499999999998"/>
    <x v="1"/>
    <s v="Low"/>
    <s v="Large"/>
    <s v="November"/>
    <x v="10"/>
  </r>
  <r>
    <d v="2019-11-28T00:00:00"/>
    <x v="10"/>
    <x v="5"/>
    <n v="116800"/>
    <n v="60000"/>
    <x v="1"/>
    <x v="1"/>
    <x v="1"/>
    <n v="2"/>
    <n v="1427"/>
    <n v="1.0258995E-2"/>
    <x v="3"/>
    <n v="-56800"/>
    <n v="42.046300000000002"/>
    <x v="1"/>
    <s v="Low"/>
    <s v="Large"/>
    <s v="November"/>
    <x v="10"/>
  </r>
  <r>
    <d v="2019-11-30T00:00:00"/>
    <x v="10"/>
    <x v="1"/>
    <n v="222190"/>
    <n v="379000"/>
    <x v="0"/>
    <x v="0"/>
    <x v="0"/>
    <n v="2"/>
    <n v="1040"/>
    <n v="1.0258995E-2"/>
    <x v="2"/>
    <n v="156810"/>
    <n v="364.42309999999998"/>
    <x v="0"/>
    <s v="Medium"/>
    <s v="Medium"/>
    <s v="November"/>
    <x v="10"/>
  </r>
  <r>
    <d v="2019-12-01T00:00:00"/>
    <x v="10"/>
    <x v="2"/>
    <n v="444584.20699999999"/>
    <n v="117000"/>
    <x v="0"/>
    <x v="0"/>
    <x v="0"/>
    <n v="1"/>
    <n v="1111.6589814177564"/>
    <n v="1.0258995E-2"/>
    <x v="3"/>
    <n v="-327584.20699999999"/>
    <n v="105.24809999999999"/>
    <x v="1"/>
    <s v="Low"/>
    <s v="Medium"/>
    <s v="December"/>
    <x v="11"/>
  </r>
  <r>
    <d v="2019-12-04T00:00:00"/>
    <x v="10"/>
    <x v="6"/>
    <n v="122010"/>
    <n v="205000"/>
    <x v="0"/>
    <x v="0"/>
    <x v="0"/>
    <n v="3"/>
    <n v="930"/>
    <n v="1.0258995E-2"/>
    <x v="0"/>
    <n v="82990"/>
    <n v="220.43010000000001"/>
    <x v="0"/>
    <s v="Medium"/>
    <s v="Medium"/>
    <s v="December"/>
    <x v="11"/>
  </r>
  <r>
    <d v="2019-12-05T00:00:00"/>
    <x v="10"/>
    <x v="5"/>
    <n v="553490"/>
    <n v="610000"/>
    <x v="1"/>
    <x v="1"/>
    <x v="1"/>
    <n v="3"/>
    <n v="1256"/>
    <n v="1.0258995E-2"/>
    <x v="2"/>
    <n v="56510"/>
    <n v="485.66879999999998"/>
    <x v="0"/>
    <s v="High"/>
    <s v="Medium"/>
    <s v="December"/>
    <x v="11"/>
  </r>
  <r>
    <d v="2019-12-06T00:00:00"/>
    <x v="10"/>
    <x v="2"/>
    <n v="144450"/>
    <n v="279900"/>
    <x v="1"/>
    <x v="1"/>
    <x v="1"/>
    <n v="4"/>
    <n v="1270"/>
    <n v="1.0258995E-2"/>
    <x v="1"/>
    <n v="135450"/>
    <n v="220.3937"/>
    <x v="0"/>
    <s v="Medium"/>
    <s v="Medium"/>
    <s v="December"/>
    <x v="11"/>
  </r>
  <r>
    <d v="2019-12-07T00:00:00"/>
    <x v="10"/>
    <x v="4"/>
    <n v="4161570"/>
    <n v="5862500"/>
    <x v="0"/>
    <x v="0"/>
    <x v="0"/>
    <n v="2"/>
    <n v="1111.6589814177564"/>
    <n v="1.0258995E-2"/>
    <x v="2"/>
    <n v="1700930"/>
    <n v="5273.6496999999999"/>
    <x v="0"/>
    <s v="High"/>
    <s v="Medium"/>
    <s v="December"/>
    <x v="11"/>
  </r>
  <r>
    <d v="2019-12-08T00:00:00"/>
    <x v="10"/>
    <x v="4"/>
    <n v="444584.20699999999"/>
    <n v="1295000"/>
    <x v="0"/>
    <x v="0"/>
    <x v="0"/>
    <n v="3"/>
    <n v="911"/>
    <n v="1.0258995E-2"/>
    <x v="0"/>
    <n v="850415.79299999995"/>
    <n v="1421.5147999999999"/>
    <x v="0"/>
    <s v="High"/>
    <s v="Medium"/>
    <s v="December"/>
    <x v="11"/>
  </r>
  <r>
    <d v="2019-12-11T00:00:00"/>
    <x v="10"/>
    <x v="2"/>
    <n v="111390"/>
    <n v="198000"/>
    <x v="0"/>
    <x v="0"/>
    <x v="0"/>
    <n v="3"/>
    <n v="961"/>
    <n v="1.0258995E-2"/>
    <x v="1"/>
    <n v="86610"/>
    <n v="206.03540000000001"/>
    <x v="0"/>
    <s v="Low"/>
    <s v="Medium"/>
    <s v="December"/>
    <x v="11"/>
  </r>
  <r>
    <d v="2019-12-13T00:00:00"/>
    <x v="10"/>
    <x v="2"/>
    <n v="129610"/>
    <n v="89228"/>
    <x v="0"/>
    <x v="0"/>
    <x v="0"/>
    <n v="3"/>
    <n v="941"/>
    <n v="1.0258995E-2"/>
    <x v="2"/>
    <n v="-40382"/>
    <n v="94.822500000000005"/>
    <x v="1"/>
    <s v="Low"/>
    <s v="Medium"/>
    <s v="December"/>
    <x v="11"/>
  </r>
  <r>
    <d v="2019-12-14T00:00:00"/>
    <x v="10"/>
    <x v="2"/>
    <n v="121760"/>
    <n v="120000"/>
    <x v="2"/>
    <x v="2"/>
    <x v="2"/>
    <n v="4"/>
    <n v="2108"/>
    <n v="1.0258995E-2"/>
    <x v="1"/>
    <n v="-1760"/>
    <n v="56.926000000000002"/>
    <x v="1"/>
    <s v="Low"/>
    <s v="Large"/>
    <s v="December"/>
    <x v="11"/>
  </r>
  <r>
    <d v="2019-12-15T00:00:00"/>
    <x v="10"/>
    <x v="3"/>
    <n v="885640"/>
    <n v="1230000"/>
    <x v="0"/>
    <x v="0"/>
    <x v="0"/>
    <n v="2"/>
    <n v="952"/>
    <n v="1.0258995E-2"/>
    <x v="2"/>
    <n v="344360"/>
    <n v="1292.0168000000001"/>
    <x v="0"/>
    <s v="High"/>
    <s v="Medium"/>
    <s v="December"/>
    <x v="11"/>
  </r>
  <r>
    <d v="2019-12-18T00:00:00"/>
    <x v="10"/>
    <x v="2"/>
    <n v="444584.20699999999"/>
    <n v="84500"/>
    <x v="0"/>
    <x v="0"/>
    <x v="0"/>
    <n v="1"/>
    <n v="964"/>
    <n v="1.0258995E-2"/>
    <x v="0"/>
    <n v="-360084.20699999999"/>
    <n v="87.655600000000007"/>
    <x v="1"/>
    <s v="Low"/>
    <s v="Medium"/>
    <s v="December"/>
    <x v="11"/>
  </r>
  <r>
    <d v="2019-12-19T00:00:00"/>
    <x v="10"/>
    <x v="4"/>
    <n v="317660"/>
    <n v="360000"/>
    <x v="0"/>
    <x v="0"/>
    <x v="0"/>
    <n v="3"/>
    <n v="1111.6589814177564"/>
    <n v="1.0258995E-2"/>
    <x v="3"/>
    <n v="42340"/>
    <n v="323.84030000000001"/>
    <x v="0"/>
    <s v="Medium"/>
    <s v="Medium"/>
    <s v="December"/>
    <x v="11"/>
  </r>
  <r>
    <d v="2019-12-26T00:00:00"/>
    <x v="10"/>
    <x v="6"/>
    <n v="444584.20699999999"/>
    <n v="215000"/>
    <x v="0"/>
    <x v="0"/>
    <x v="0"/>
    <n v="2"/>
    <n v="1080"/>
    <n v="1.0258995E-2"/>
    <x v="2"/>
    <n v="-229584.20699999999"/>
    <n v="199.07409999999999"/>
    <x v="1"/>
    <s v="Medium"/>
    <s v="Medium"/>
    <s v="December"/>
    <x v="11"/>
  </r>
  <r>
    <d v="2019-12-29T00:00:00"/>
    <x v="10"/>
    <x v="3"/>
    <n v="4357640"/>
    <n v="5511000"/>
    <x v="0"/>
    <x v="0"/>
    <x v="0"/>
    <n v="1"/>
    <n v="1029"/>
    <n v="1.0258995E-2"/>
    <x v="1"/>
    <n v="1153360"/>
    <n v="5355.6850999999997"/>
    <x v="0"/>
    <s v="High"/>
    <s v="Medium"/>
    <s v="December"/>
    <x v="11"/>
  </r>
  <r>
    <d v="2020-01-02T00:00:00"/>
    <x v="11"/>
    <x v="2"/>
    <n v="116830"/>
    <n v="137550"/>
    <x v="0"/>
    <x v="0"/>
    <x v="0"/>
    <n v="1"/>
    <n v="1050"/>
    <n v="1.0254394999999999E-2"/>
    <x v="0"/>
    <n v="20720"/>
    <n v="131"/>
    <x v="0"/>
    <s v="Low"/>
    <s v="Medium"/>
    <s v="January"/>
    <x v="0"/>
  </r>
  <r>
    <d v="2020-01-03T00:00:00"/>
    <x v="11"/>
    <x v="3"/>
    <n v="663180"/>
    <n v="1010000"/>
    <x v="0"/>
    <x v="0"/>
    <x v="0"/>
    <n v="3"/>
    <n v="1111.6589814177564"/>
    <n v="1.0254394999999999E-2"/>
    <x v="0"/>
    <n v="346820"/>
    <n v="908.55200000000002"/>
    <x v="0"/>
    <s v="High"/>
    <s v="Medium"/>
    <s v="January"/>
    <x v="0"/>
  </r>
  <r>
    <d v="2020-01-05T00:00:00"/>
    <x v="11"/>
    <x v="4"/>
    <n v="265510"/>
    <n v="418000"/>
    <x v="0"/>
    <x v="0"/>
    <x v="0"/>
    <n v="1"/>
    <n v="1058"/>
    <n v="1.0254394999999999E-2"/>
    <x v="3"/>
    <n v="152490"/>
    <n v="395.08510000000001"/>
    <x v="0"/>
    <s v="Medium"/>
    <s v="Medium"/>
    <s v="January"/>
    <x v="0"/>
  </r>
  <r>
    <d v="2020-01-08T00:00:00"/>
    <x v="11"/>
    <x v="4"/>
    <n v="444584.20699999999"/>
    <n v="255000"/>
    <x v="0"/>
    <x v="0"/>
    <x v="0"/>
    <n v="1"/>
    <n v="927"/>
    <n v="1.0254394999999999E-2"/>
    <x v="2"/>
    <n v="-189584.20699999999"/>
    <n v="275.08089999999999"/>
    <x v="1"/>
    <s v="Medium"/>
    <s v="Medium"/>
    <s v="January"/>
    <x v="0"/>
  </r>
  <r>
    <d v="2020-01-09T00:00:00"/>
    <x v="11"/>
    <x v="2"/>
    <n v="120860"/>
    <n v="51000"/>
    <x v="0"/>
    <x v="0"/>
    <x v="0"/>
    <n v="2"/>
    <n v="1111.6589814177564"/>
    <n v="1.0254394999999999E-2"/>
    <x v="2"/>
    <n v="-69860"/>
    <n v="45.877400000000002"/>
    <x v="1"/>
    <s v="Low"/>
    <s v="Medium"/>
    <s v="January"/>
    <x v="0"/>
  </r>
  <r>
    <d v="2020-01-10T00:00:00"/>
    <x v="11"/>
    <x v="5"/>
    <n v="466120"/>
    <n v="617500"/>
    <x v="0"/>
    <x v="0"/>
    <x v="0"/>
    <n v="2"/>
    <n v="1012"/>
    <n v="1.0254394999999999E-2"/>
    <x v="1"/>
    <n v="151380"/>
    <n v="610.17790000000002"/>
    <x v="0"/>
    <s v="High"/>
    <s v="Medium"/>
    <s v="January"/>
    <x v="0"/>
  </r>
  <r>
    <d v="2020-01-16T00:00:00"/>
    <x v="11"/>
    <x v="2"/>
    <n v="105740"/>
    <n v="111000"/>
    <x v="1"/>
    <x v="1"/>
    <x v="1"/>
    <n v="2"/>
    <n v="1111.6589814177564"/>
    <n v="1.0254394999999999E-2"/>
    <x v="1"/>
    <n v="5260"/>
    <n v="99.850800000000007"/>
    <x v="0"/>
    <s v="Low"/>
    <s v="Medium"/>
    <s v="January"/>
    <x v="0"/>
  </r>
  <r>
    <d v="2020-01-17T00:00:00"/>
    <x v="11"/>
    <x v="4"/>
    <n v="316960"/>
    <n v="333247"/>
    <x v="0"/>
    <x v="0"/>
    <x v="0"/>
    <n v="3"/>
    <n v="985"/>
    <n v="1.0254394999999999E-2"/>
    <x v="3"/>
    <n v="16287"/>
    <n v="338.3218"/>
    <x v="0"/>
    <s v="Medium"/>
    <s v="Medium"/>
    <s v="January"/>
    <x v="0"/>
  </r>
  <r>
    <d v="2020-01-29T00:00:00"/>
    <x v="11"/>
    <x v="2"/>
    <n v="154310"/>
    <n v="210000"/>
    <x v="0"/>
    <x v="0"/>
    <x v="0"/>
    <n v="2"/>
    <n v="1111.6589814177564"/>
    <n v="1.0254394999999999E-2"/>
    <x v="3"/>
    <n v="55690"/>
    <n v="188.90690000000001"/>
    <x v="0"/>
    <s v="Medium"/>
    <s v="Medium"/>
    <s v="January"/>
    <x v="0"/>
  </r>
  <r>
    <d v="2020-01-31T00:00:00"/>
    <x v="11"/>
    <x v="3"/>
    <n v="2349830"/>
    <n v="4425000"/>
    <x v="0"/>
    <x v="0"/>
    <x v="0"/>
    <n v="2"/>
    <n v="1111.6589814177564"/>
    <n v="1.0254394999999999E-2"/>
    <x v="3"/>
    <n v="2075170"/>
    <n v="3980.5373"/>
    <x v="0"/>
    <s v="High"/>
    <s v="Medium"/>
    <s v="January"/>
    <x v="0"/>
  </r>
  <r>
    <d v="2020-02-01T00:00:00"/>
    <x v="11"/>
    <x v="4"/>
    <n v="444584.20699999999"/>
    <n v="1015000"/>
    <x v="0"/>
    <x v="0"/>
    <x v="0"/>
    <n v="1"/>
    <n v="1044"/>
    <n v="1.0254394999999999E-2"/>
    <x v="2"/>
    <n v="570415.79299999995"/>
    <n v="972.22220000000004"/>
    <x v="0"/>
    <s v="High"/>
    <s v="Medium"/>
    <s v="February"/>
    <x v="1"/>
  </r>
  <r>
    <d v="2020-02-06T00:00:00"/>
    <x v="11"/>
    <x v="2"/>
    <n v="70780"/>
    <n v="160000"/>
    <x v="1"/>
    <x v="1"/>
    <x v="1"/>
    <n v="3"/>
    <n v="1111.6589814177564"/>
    <n v="1.0254394999999999E-2"/>
    <x v="3"/>
    <n v="89220"/>
    <n v="143.929"/>
    <x v="0"/>
    <s v="Low"/>
    <s v="Medium"/>
    <s v="February"/>
    <x v="1"/>
  </r>
  <r>
    <d v="2020-02-09T00:00:00"/>
    <x v="11"/>
    <x v="2"/>
    <n v="138770"/>
    <n v="220000"/>
    <x v="0"/>
    <x v="0"/>
    <x v="0"/>
    <n v="2"/>
    <n v="912"/>
    <n v="1.0254394999999999E-2"/>
    <x v="0"/>
    <n v="81230"/>
    <n v="241.22810000000001"/>
    <x v="0"/>
    <s v="Medium"/>
    <s v="Medium"/>
    <s v="February"/>
    <x v="1"/>
  </r>
  <r>
    <d v="2020-02-12T00:00:00"/>
    <x v="11"/>
    <x v="4"/>
    <n v="354410"/>
    <n v="300000"/>
    <x v="0"/>
    <x v="0"/>
    <x v="0"/>
    <n v="3"/>
    <n v="1003"/>
    <n v="1.0254394999999999E-2"/>
    <x v="1"/>
    <n v="-54410"/>
    <n v="299.10270000000003"/>
    <x v="1"/>
    <s v="Medium"/>
    <s v="Medium"/>
    <s v="February"/>
    <x v="1"/>
  </r>
  <r>
    <d v="2020-02-15T00:00:00"/>
    <x v="11"/>
    <x v="5"/>
    <n v="444584.20699999999"/>
    <n v="98800"/>
    <x v="3"/>
    <x v="3"/>
    <x v="3"/>
    <n v="8"/>
    <n v="2495"/>
    <n v="1.0254394999999999E-2"/>
    <x v="3"/>
    <n v="-345784.20699999999"/>
    <n v="39.599200000000003"/>
    <x v="1"/>
    <s v="Low"/>
    <s v="Large"/>
    <s v="February"/>
    <x v="1"/>
  </r>
  <r>
    <d v="2020-02-20T00:00:00"/>
    <x v="11"/>
    <x v="3"/>
    <n v="1039500"/>
    <n v="1500000"/>
    <x v="0"/>
    <x v="0"/>
    <x v="0"/>
    <n v="2"/>
    <n v="1005"/>
    <n v="1.0254394999999999E-2"/>
    <x v="1"/>
    <n v="460500"/>
    <n v="1492.5373"/>
    <x v="0"/>
    <s v="High"/>
    <s v="Medium"/>
    <s v="February"/>
    <x v="1"/>
  </r>
  <r>
    <d v="2020-02-22T00:00:00"/>
    <x v="11"/>
    <x v="2"/>
    <n v="141820"/>
    <n v="200000"/>
    <x v="0"/>
    <x v="0"/>
    <x v="0"/>
    <n v="2"/>
    <n v="956"/>
    <n v="1.0254394999999999E-2"/>
    <x v="2"/>
    <n v="58180"/>
    <n v="209.20500000000001"/>
    <x v="0"/>
    <s v="Medium"/>
    <s v="Medium"/>
    <s v="February"/>
    <x v="1"/>
  </r>
  <r>
    <d v="2020-02-23T00:00:00"/>
    <x v="11"/>
    <x v="2"/>
    <n v="94360"/>
    <n v="90000"/>
    <x v="1"/>
    <x v="1"/>
    <x v="1"/>
    <n v="3"/>
    <n v="1200"/>
    <n v="1.0254394999999999E-2"/>
    <x v="0"/>
    <n v="-4360"/>
    <n v="75"/>
    <x v="1"/>
    <s v="Low"/>
    <s v="Medium"/>
    <s v="February"/>
    <x v="1"/>
  </r>
  <r>
    <d v="2020-02-26T00:00:00"/>
    <x v="11"/>
    <x v="4"/>
    <n v="207690"/>
    <n v="226700"/>
    <x v="0"/>
    <x v="0"/>
    <x v="0"/>
    <n v="1"/>
    <n v="931"/>
    <n v="1.0254394999999999E-2"/>
    <x v="0"/>
    <n v="19010"/>
    <n v="243.5016"/>
    <x v="0"/>
    <s v="Medium"/>
    <s v="Medium"/>
    <s v="February"/>
    <x v="1"/>
  </r>
  <r>
    <d v="2020-02-27T00:00:00"/>
    <x v="11"/>
    <x v="3"/>
    <n v="393400"/>
    <n v="755000"/>
    <x v="0"/>
    <x v="0"/>
    <x v="0"/>
    <n v="1"/>
    <n v="984"/>
    <n v="1.0254394999999999E-2"/>
    <x v="2"/>
    <n v="361600"/>
    <n v="767.27639999999997"/>
    <x v="0"/>
    <s v="High"/>
    <s v="Medium"/>
    <s v="February"/>
    <x v="1"/>
  </r>
  <r>
    <d v="2020-03-01T00:00:00"/>
    <x v="11"/>
    <x v="1"/>
    <n v="1975335"/>
    <n v="2800000"/>
    <x v="0"/>
    <x v="0"/>
    <x v="0"/>
    <n v="2"/>
    <n v="1091"/>
    <n v="1.0254394999999999E-2"/>
    <x v="1"/>
    <n v="824665"/>
    <n v="2566.4528"/>
    <x v="0"/>
    <s v="High"/>
    <s v="Medium"/>
    <s v="March"/>
    <x v="2"/>
  </r>
  <r>
    <d v="2020-03-02T00:00:00"/>
    <x v="11"/>
    <x v="2"/>
    <n v="104630"/>
    <n v="172000"/>
    <x v="0"/>
    <x v="0"/>
    <x v="0"/>
    <n v="2"/>
    <n v="919"/>
    <n v="1.0254394999999999E-2"/>
    <x v="2"/>
    <n v="67370"/>
    <n v="187.16"/>
    <x v="0"/>
    <s v="Low"/>
    <s v="Medium"/>
    <s v="March"/>
    <x v="2"/>
  </r>
  <r>
    <d v="2020-03-05T00:00:00"/>
    <x v="11"/>
    <x v="2"/>
    <n v="345690"/>
    <n v="675000"/>
    <x v="0"/>
    <x v="0"/>
    <x v="0"/>
    <n v="3"/>
    <n v="1024"/>
    <n v="1.0254394999999999E-2"/>
    <x v="1"/>
    <n v="329310"/>
    <n v="659.17970000000003"/>
    <x v="0"/>
    <s v="High"/>
    <s v="Medium"/>
    <s v="March"/>
    <x v="2"/>
  </r>
  <r>
    <d v="2020-03-06T00:00:00"/>
    <x v="11"/>
    <x v="3"/>
    <n v="444584.20699999999"/>
    <n v="2050000"/>
    <x v="0"/>
    <x v="0"/>
    <x v="0"/>
    <n v="3"/>
    <n v="953"/>
    <n v="1.0254394999999999E-2"/>
    <x v="2"/>
    <n v="1605415.7930000001"/>
    <n v="2151.1017999999999"/>
    <x v="0"/>
    <s v="High"/>
    <s v="Medium"/>
    <s v="March"/>
    <x v="2"/>
  </r>
  <r>
    <d v="2020-03-08T00:00:00"/>
    <x v="11"/>
    <x v="4"/>
    <n v="612080"/>
    <n v="1355000"/>
    <x v="0"/>
    <x v="0"/>
    <x v="0"/>
    <n v="3"/>
    <n v="921"/>
    <n v="1.0254394999999999E-2"/>
    <x v="3"/>
    <n v="742920"/>
    <n v="1471.2268999999999"/>
    <x v="0"/>
    <s v="High"/>
    <s v="Medium"/>
    <s v="March"/>
    <x v="2"/>
  </r>
  <r>
    <d v="2020-03-09T00:00:00"/>
    <x v="11"/>
    <x v="2"/>
    <n v="126690"/>
    <n v="250000"/>
    <x v="1"/>
    <x v="1"/>
    <x v="1"/>
    <n v="2"/>
    <n v="1111.6589814177564"/>
    <n v="1.0254394999999999E-2"/>
    <x v="2"/>
    <n v="123310"/>
    <n v="224.88910000000001"/>
    <x v="0"/>
    <s v="Medium"/>
    <s v="Medium"/>
    <s v="March"/>
    <x v="2"/>
  </r>
  <r>
    <d v="2020-03-12T00:00:00"/>
    <x v="11"/>
    <x v="1"/>
    <n v="489650"/>
    <n v="731000"/>
    <x v="0"/>
    <x v="0"/>
    <x v="0"/>
    <n v="1"/>
    <n v="950"/>
    <n v="1.0254394999999999E-2"/>
    <x v="1"/>
    <n v="241350"/>
    <n v="769.47370000000001"/>
    <x v="0"/>
    <s v="High"/>
    <s v="Medium"/>
    <s v="March"/>
    <x v="2"/>
  </r>
  <r>
    <d v="2020-03-19T00:00:00"/>
    <x v="11"/>
    <x v="2"/>
    <n v="148120"/>
    <n v="267000"/>
    <x v="0"/>
    <x v="0"/>
    <x v="0"/>
    <n v="3"/>
    <n v="1058"/>
    <n v="1.0254394999999999E-2"/>
    <x v="3"/>
    <n v="118880"/>
    <n v="252.3629"/>
    <x v="0"/>
    <s v="Medium"/>
    <s v="Medium"/>
    <s v="March"/>
    <x v="2"/>
  </r>
  <r>
    <d v="2020-03-21T00:00:00"/>
    <x v="11"/>
    <x v="2"/>
    <n v="94560"/>
    <n v="107500"/>
    <x v="0"/>
    <x v="0"/>
    <x v="0"/>
    <n v="2"/>
    <n v="991"/>
    <n v="1.0254394999999999E-2"/>
    <x v="0"/>
    <n v="12940"/>
    <n v="108.47629999999999"/>
    <x v="0"/>
    <s v="Low"/>
    <s v="Medium"/>
    <s v="March"/>
    <x v="2"/>
  </r>
  <r>
    <d v="2020-03-23T00:00:00"/>
    <x v="11"/>
    <x v="4"/>
    <n v="233310"/>
    <n v="260000"/>
    <x v="0"/>
    <x v="0"/>
    <x v="0"/>
    <n v="1"/>
    <n v="1086"/>
    <n v="1.0254394999999999E-2"/>
    <x v="1"/>
    <n v="26690"/>
    <n v="239.41069999999999"/>
    <x v="0"/>
    <s v="Medium"/>
    <s v="Medium"/>
    <s v="March"/>
    <x v="2"/>
  </r>
  <r>
    <d v="2020-03-27T00:00:00"/>
    <x v="11"/>
    <x v="2"/>
    <n v="444584.20699999999"/>
    <n v="135000"/>
    <x v="0"/>
    <x v="0"/>
    <x v="0"/>
    <n v="2"/>
    <n v="1057"/>
    <n v="1.0254394999999999E-2"/>
    <x v="2"/>
    <n v="-309584.20699999999"/>
    <n v="127.72"/>
    <x v="1"/>
    <s v="Low"/>
    <s v="Medium"/>
    <s v="March"/>
    <x v="2"/>
  </r>
  <r>
    <d v="2020-03-29T00:00:00"/>
    <x v="11"/>
    <x v="6"/>
    <n v="141820"/>
    <n v="269000"/>
    <x v="1"/>
    <x v="1"/>
    <x v="1"/>
    <n v="2"/>
    <n v="1372"/>
    <n v="1.0254394999999999E-2"/>
    <x v="3"/>
    <n v="127180"/>
    <n v="196.0641"/>
    <x v="0"/>
    <s v="Medium"/>
    <s v="Large"/>
    <s v="March"/>
    <x v="2"/>
  </r>
  <r>
    <d v="2020-04-02T00:00:00"/>
    <x v="11"/>
    <x v="6"/>
    <n v="155820"/>
    <n v="238000"/>
    <x v="0"/>
    <x v="0"/>
    <x v="0"/>
    <n v="1"/>
    <n v="949"/>
    <n v="1.0254394999999999E-2"/>
    <x v="1"/>
    <n v="82180"/>
    <n v="250.7903"/>
    <x v="0"/>
    <s v="Medium"/>
    <s v="Medium"/>
    <s v="April"/>
    <x v="3"/>
  </r>
  <r>
    <d v="2020-04-03T00:00:00"/>
    <x v="11"/>
    <x v="3"/>
    <n v="2007110"/>
    <n v="3500000"/>
    <x v="0"/>
    <x v="0"/>
    <x v="0"/>
    <n v="1"/>
    <n v="909"/>
    <n v="1.0254394999999999E-2"/>
    <x v="3"/>
    <n v="1492890"/>
    <n v="3850.3850000000002"/>
    <x v="0"/>
    <s v="High"/>
    <s v="Medium"/>
    <s v="April"/>
    <x v="3"/>
  </r>
  <r>
    <d v="2020-04-04T00:00:00"/>
    <x v="11"/>
    <x v="6"/>
    <n v="278600"/>
    <n v="432000"/>
    <x v="0"/>
    <x v="0"/>
    <x v="0"/>
    <n v="2"/>
    <n v="900"/>
    <n v="1.0254394999999999E-2"/>
    <x v="1"/>
    <n v="153400"/>
    <n v="480"/>
    <x v="0"/>
    <s v="Medium"/>
    <s v="Medium"/>
    <s v="April"/>
    <x v="3"/>
  </r>
  <r>
    <d v="2020-04-05T00:00:00"/>
    <x v="11"/>
    <x v="4"/>
    <n v="322770"/>
    <n v="310800"/>
    <x v="0"/>
    <x v="0"/>
    <x v="0"/>
    <n v="2"/>
    <n v="1012"/>
    <n v="1.0254394999999999E-2"/>
    <x v="1"/>
    <n v="-11970"/>
    <n v="307.1146"/>
    <x v="1"/>
    <s v="Medium"/>
    <s v="Medium"/>
    <s v="April"/>
    <x v="3"/>
  </r>
  <r>
    <d v="2020-04-06T00:00:00"/>
    <x v="11"/>
    <x v="1"/>
    <n v="511310"/>
    <n v="715000"/>
    <x v="0"/>
    <x v="0"/>
    <x v="0"/>
    <n v="3"/>
    <n v="1074"/>
    <n v="1.0254394999999999E-2"/>
    <x v="0"/>
    <n v="203690"/>
    <n v="665.73559999999998"/>
    <x v="0"/>
    <s v="High"/>
    <s v="Medium"/>
    <s v="April"/>
    <x v="3"/>
  </r>
  <r>
    <d v="2020-04-09T00:00:00"/>
    <x v="11"/>
    <x v="6"/>
    <n v="294840"/>
    <n v="525000"/>
    <x v="0"/>
    <x v="0"/>
    <x v="0"/>
    <n v="1"/>
    <n v="1028"/>
    <n v="1.0254394999999999E-2"/>
    <x v="3"/>
    <n v="230160"/>
    <n v="510.7004"/>
    <x v="0"/>
    <s v="Medium"/>
    <s v="Medium"/>
    <s v="April"/>
    <x v="3"/>
  </r>
  <r>
    <d v="2020-04-10T00:00:00"/>
    <x v="11"/>
    <x v="2"/>
    <n v="106310"/>
    <n v="161500"/>
    <x v="0"/>
    <x v="0"/>
    <x v="0"/>
    <n v="1"/>
    <n v="1031"/>
    <n v="1.0254394999999999E-2"/>
    <x v="1"/>
    <n v="55190"/>
    <n v="156.64400000000001"/>
    <x v="0"/>
    <s v="Low"/>
    <s v="Medium"/>
    <s v="April"/>
    <x v="3"/>
  </r>
  <r>
    <d v="2020-04-11T00:00:00"/>
    <x v="11"/>
    <x v="4"/>
    <n v="444584.20699999999"/>
    <n v="410000"/>
    <x v="0"/>
    <x v="0"/>
    <x v="0"/>
    <n v="2"/>
    <n v="1007"/>
    <n v="1.0254394999999999E-2"/>
    <x v="1"/>
    <n v="-34584.207000000002"/>
    <n v="407.15"/>
    <x v="1"/>
    <s v="Medium"/>
    <s v="Medium"/>
    <s v="April"/>
    <x v="3"/>
  </r>
  <r>
    <d v="2020-04-12T00:00:00"/>
    <x v="11"/>
    <x v="1"/>
    <n v="253720"/>
    <n v="310000"/>
    <x v="0"/>
    <x v="0"/>
    <x v="0"/>
    <n v="3"/>
    <n v="1111.6589814177564"/>
    <n v="1.0254394999999999E-2"/>
    <x v="3"/>
    <n v="56280"/>
    <n v="278.86250000000001"/>
    <x v="0"/>
    <s v="Medium"/>
    <s v="Medium"/>
    <s v="April"/>
    <x v="3"/>
  </r>
  <r>
    <d v="2020-04-13T00:00:00"/>
    <x v="11"/>
    <x v="1"/>
    <n v="783120"/>
    <n v="1006000"/>
    <x v="0"/>
    <x v="0"/>
    <x v="0"/>
    <n v="3"/>
    <n v="952"/>
    <n v="1.0254394999999999E-2"/>
    <x v="0"/>
    <n v="222880"/>
    <n v="1056.7227"/>
    <x v="0"/>
    <s v="High"/>
    <s v="Medium"/>
    <s v="April"/>
    <x v="3"/>
  </r>
  <r>
    <d v="2020-04-16T00:00:00"/>
    <x v="11"/>
    <x v="3"/>
    <n v="1323420"/>
    <n v="1795000"/>
    <x v="0"/>
    <x v="0"/>
    <x v="0"/>
    <n v="3"/>
    <n v="1030"/>
    <n v="1.0254394999999999E-2"/>
    <x v="1"/>
    <n v="471580"/>
    <n v="1742.7184"/>
    <x v="0"/>
    <s v="High"/>
    <s v="Medium"/>
    <s v="April"/>
    <x v="3"/>
  </r>
  <r>
    <d v="2020-04-17T00:00:00"/>
    <x v="11"/>
    <x v="2"/>
    <n v="111190"/>
    <n v="131200"/>
    <x v="1"/>
    <x v="1"/>
    <x v="1"/>
    <n v="3"/>
    <n v="1482"/>
    <n v="1.0254394999999999E-2"/>
    <x v="2"/>
    <n v="20010"/>
    <n v="88.528999999999996"/>
    <x v="0"/>
    <s v="Low"/>
    <s v="Large"/>
    <s v="April"/>
    <x v="3"/>
  </r>
  <r>
    <d v="2020-04-18T00:00:00"/>
    <x v="11"/>
    <x v="3"/>
    <n v="1360380"/>
    <n v="1925000"/>
    <x v="0"/>
    <x v="0"/>
    <x v="0"/>
    <n v="2"/>
    <n v="948"/>
    <n v="1.0254394999999999E-2"/>
    <x v="0"/>
    <n v="564620"/>
    <n v="2030.5907"/>
    <x v="0"/>
    <s v="High"/>
    <s v="Medium"/>
    <s v="April"/>
    <x v="3"/>
  </r>
  <r>
    <d v="2020-04-19T00:00:00"/>
    <x v="11"/>
    <x v="6"/>
    <n v="190960"/>
    <n v="147500"/>
    <x v="0"/>
    <x v="0"/>
    <x v="0"/>
    <n v="1"/>
    <n v="948"/>
    <n v="1.0254394999999999E-2"/>
    <x v="2"/>
    <n v="-43460"/>
    <n v="155.5907"/>
    <x v="1"/>
    <s v="Low"/>
    <s v="Medium"/>
    <s v="April"/>
    <x v="3"/>
  </r>
  <r>
    <d v="2020-04-23T00:00:00"/>
    <x v="11"/>
    <x v="6"/>
    <n v="157080"/>
    <n v="222549"/>
    <x v="0"/>
    <x v="0"/>
    <x v="0"/>
    <n v="2"/>
    <n v="1100"/>
    <n v="1.0254394999999999E-2"/>
    <x v="2"/>
    <n v="65469"/>
    <n v="202.31729999999999"/>
    <x v="0"/>
    <s v="Medium"/>
    <s v="Medium"/>
    <s v="April"/>
    <x v="3"/>
  </r>
  <r>
    <d v="2020-04-26T00:00:00"/>
    <x v="11"/>
    <x v="1"/>
    <n v="508120"/>
    <n v="999000"/>
    <x v="0"/>
    <x v="0"/>
    <x v="0"/>
    <n v="1"/>
    <n v="1090"/>
    <n v="1.0254394999999999E-2"/>
    <x v="1"/>
    <n v="490880"/>
    <n v="916.51379999999995"/>
    <x v="0"/>
    <s v="High"/>
    <s v="Medium"/>
    <s v="April"/>
    <x v="3"/>
  </r>
  <r>
    <d v="2020-04-27T00:00:00"/>
    <x v="11"/>
    <x v="4"/>
    <n v="444584.20699999999"/>
    <n v="1470000"/>
    <x v="0"/>
    <x v="0"/>
    <x v="0"/>
    <n v="2"/>
    <n v="1111.6589814177564"/>
    <n v="1.0254394999999999E-2"/>
    <x v="1"/>
    <n v="1025415.7929999999"/>
    <n v="1322.348"/>
    <x v="0"/>
    <s v="High"/>
    <s v="Medium"/>
    <s v="April"/>
    <x v="3"/>
  </r>
  <r>
    <d v="2020-04-30T00:00:00"/>
    <x v="11"/>
    <x v="3"/>
    <n v="866320"/>
    <n v="1225000"/>
    <x v="0"/>
    <x v="0"/>
    <x v="0"/>
    <n v="1"/>
    <n v="1096"/>
    <n v="1.0254394999999999E-2"/>
    <x v="0"/>
    <n v="358680"/>
    <n v="1117.7007000000001"/>
    <x v="0"/>
    <s v="High"/>
    <s v="Medium"/>
    <s v="April"/>
    <x v="3"/>
  </r>
  <r>
    <d v="2020-05-01T00:00:00"/>
    <x v="11"/>
    <x v="2"/>
    <n v="306460"/>
    <n v="300000"/>
    <x v="0"/>
    <x v="0"/>
    <x v="0"/>
    <n v="3"/>
    <n v="1057"/>
    <n v="1.0254394999999999E-2"/>
    <x v="0"/>
    <n v="-6460"/>
    <n v="283.82209999999998"/>
    <x v="1"/>
    <s v="Medium"/>
    <s v="Medium"/>
    <s v="May"/>
    <x v="4"/>
  </r>
  <r>
    <d v="2020-05-02T00:00:00"/>
    <x v="11"/>
    <x v="6"/>
    <n v="116480"/>
    <n v="200000"/>
    <x v="0"/>
    <x v="0"/>
    <x v="0"/>
    <n v="3"/>
    <n v="1009"/>
    <n v="1.0254394999999999E-2"/>
    <x v="0"/>
    <n v="83520"/>
    <n v="198.21610000000001"/>
    <x v="0"/>
    <s v="Medium"/>
    <s v="Medium"/>
    <s v="May"/>
    <x v="4"/>
  </r>
  <r>
    <d v="2020-05-03T00:00:00"/>
    <x v="11"/>
    <x v="2"/>
    <n v="157240"/>
    <n v="195600"/>
    <x v="0"/>
    <x v="0"/>
    <x v="0"/>
    <n v="2"/>
    <n v="1111.6589814177564"/>
    <n v="1.0254394999999999E-2"/>
    <x v="2"/>
    <n v="38360"/>
    <n v="175.95320000000001"/>
    <x v="0"/>
    <s v="Low"/>
    <s v="Medium"/>
    <s v="May"/>
    <x v="4"/>
  </r>
  <r>
    <d v="2020-05-04T00:00:00"/>
    <x v="11"/>
    <x v="5"/>
    <n v="178430"/>
    <n v="275000"/>
    <x v="0"/>
    <x v="0"/>
    <x v="0"/>
    <n v="1"/>
    <n v="1111.6589814177564"/>
    <n v="1.0254394999999999E-2"/>
    <x v="2"/>
    <n v="96570"/>
    <n v="247.37799999999999"/>
    <x v="0"/>
    <s v="Medium"/>
    <s v="Medium"/>
    <s v="May"/>
    <x v="4"/>
  </r>
  <r>
    <d v="2020-05-07T00:00:00"/>
    <x v="11"/>
    <x v="2"/>
    <n v="280760"/>
    <n v="180000"/>
    <x v="0"/>
    <x v="0"/>
    <x v="0"/>
    <n v="3"/>
    <n v="906"/>
    <n v="1.0254394999999999E-2"/>
    <x v="2"/>
    <n v="-100760"/>
    <n v="198.6755"/>
    <x v="1"/>
    <s v="Low"/>
    <s v="Medium"/>
    <s v="May"/>
    <x v="4"/>
  </r>
  <r>
    <d v="2020-05-08T00:00:00"/>
    <x v="11"/>
    <x v="1"/>
    <n v="208710"/>
    <n v="425500"/>
    <x v="1"/>
    <x v="1"/>
    <x v="1"/>
    <n v="3"/>
    <n v="1223"/>
    <n v="1.0254394999999999E-2"/>
    <x v="3"/>
    <n v="216790"/>
    <n v="347.91500000000002"/>
    <x v="0"/>
    <s v="Medium"/>
    <s v="Medium"/>
    <s v="May"/>
    <x v="4"/>
  </r>
  <r>
    <d v="2020-05-09T00:00:00"/>
    <x v="11"/>
    <x v="4"/>
    <n v="344960"/>
    <n v="625000"/>
    <x v="0"/>
    <x v="0"/>
    <x v="0"/>
    <n v="1"/>
    <n v="1084"/>
    <n v="1.0254394999999999E-2"/>
    <x v="0"/>
    <n v="280040"/>
    <n v="576.56830000000002"/>
    <x v="0"/>
    <s v="High"/>
    <s v="Medium"/>
    <s v="May"/>
    <x v="4"/>
  </r>
  <r>
    <d v="2020-05-10T00:00:00"/>
    <x v="11"/>
    <x v="1"/>
    <n v="262440"/>
    <n v="426500"/>
    <x v="0"/>
    <x v="0"/>
    <x v="0"/>
    <n v="1"/>
    <n v="948"/>
    <n v="1.0254394999999999E-2"/>
    <x v="0"/>
    <n v="164060"/>
    <n v="449.89449999999999"/>
    <x v="0"/>
    <s v="Medium"/>
    <s v="Medium"/>
    <s v="May"/>
    <x v="4"/>
  </r>
  <r>
    <d v="2020-05-14T00:00:00"/>
    <x v="11"/>
    <x v="1"/>
    <n v="515760"/>
    <n v="665000"/>
    <x v="0"/>
    <x v="0"/>
    <x v="0"/>
    <n v="1"/>
    <n v="1111.6589814177564"/>
    <n v="1.0254394999999999E-2"/>
    <x v="2"/>
    <n v="149240"/>
    <n v="598.20500000000004"/>
    <x v="0"/>
    <s v="High"/>
    <s v="Medium"/>
    <s v="May"/>
    <x v="4"/>
  </r>
  <r>
    <d v="2020-05-15T00:00:00"/>
    <x v="11"/>
    <x v="3"/>
    <n v="1128190"/>
    <n v="1865000"/>
    <x v="0"/>
    <x v="0"/>
    <x v="0"/>
    <n v="1"/>
    <n v="987"/>
    <n v="1.0254394999999999E-2"/>
    <x v="2"/>
    <n v="736810"/>
    <n v="1889.5643"/>
    <x v="0"/>
    <s v="High"/>
    <s v="Medium"/>
    <s v="May"/>
    <x v="4"/>
  </r>
  <r>
    <d v="2020-05-16T00:00:00"/>
    <x v="11"/>
    <x v="1"/>
    <n v="335480"/>
    <n v="600000"/>
    <x v="0"/>
    <x v="0"/>
    <x v="0"/>
    <n v="2"/>
    <n v="928"/>
    <n v="1.0254394999999999E-2"/>
    <x v="1"/>
    <n v="264520"/>
    <n v="646.55169999999998"/>
    <x v="0"/>
    <s v="High"/>
    <s v="Medium"/>
    <s v="May"/>
    <x v="4"/>
  </r>
  <r>
    <d v="2020-05-17T00:00:00"/>
    <x v="11"/>
    <x v="2"/>
    <n v="106120"/>
    <n v="167000"/>
    <x v="0"/>
    <x v="0"/>
    <x v="0"/>
    <n v="3"/>
    <n v="934"/>
    <n v="1.0254394999999999E-2"/>
    <x v="3"/>
    <n v="60880"/>
    <n v="178.80090000000001"/>
    <x v="0"/>
    <s v="Low"/>
    <s v="Medium"/>
    <s v="May"/>
    <x v="4"/>
  </r>
  <r>
    <d v="2020-05-18T00:00:00"/>
    <x v="11"/>
    <x v="3"/>
    <n v="3642380"/>
    <n v="4250000"/>
    <x v="0"/>
    <x v="0"/>
    <x v="0"/>
    <n v="2"/>
    <n v="916"/>
    <n v="1.0254394999999999E-2"/>
    <x v="3"/>
    <n v="607620"/>
    <n v="4639.7380000000003"/>
    <x v="0"/>
    <s v="High"/>
    <s v="Medium"/>
    <s v="May"/>
    <x v="4"/>
  </r>
  <r>
    <d v="2020-05-21T00:00:00"/>
    <x v="11"/>
    <x v="2"/>
    <n v="159310"/>
    <n v="240000"/>
    <x v="2"/>
    <x v="2"/>
    <x v="2"/>
    <n v="5"/>
    <n v="2053"/>
    <n v="1.0254394999999999E-2"/>
    <x v="2"/>
    <n v="80690"/>
    <n v="116.9021"/>
    <x v="0"/>
    <s v="Medium"/>
    <s v="Large"/>
    <s v="May"/>
    <x v="4"/>
  </r>
  <r>
    <d v="2020-05-22T00:00:00"/>
    <x v="11"/>
    <x v="3"/>
    <n v="1224230"/>
    <n v="2495000"/>
    <x v="0"/>
    <x v="0"/>
    <x v="0"/>
    <n v="2"/>
    <n v="956"/>
    <n v="1.0254394999999999E-2"/>
    <x v="2"/>
    <n v="1270770"/>
    <n v="2609.8326000000002"/>
    <x v="0"/>
    <s v="High"/>
    <s v="Medium"/>
    <s v="May"/>
    <x v="4"/>
  </r>
  <r>
    <d v="2020-05-23T00:00:00"/>
    <x v="11"/>
    <x v="4"/>
    <n v="354690"/>
    <n v="695000"/>
    <x v="0"/>
    <x v="0"/>
    <x v="0"/>
    <n v="1"/>
    <n v="1111.6589814177564"/>
    <n v="1.0254394999999999E-2"/>
    <x v="2"/>
    <n v="340310"/>
    <n v="625.19169999999997"/>
    <x v="0"/>
    <s v="High"/>
    <s v="Medium"/>
    <s v="May"/>
    <x v="4"/>
  </r>
  <r>
    <d v="2020-05-25T00:00:00"/>
    <x v="11"/>
    <x v="2"/>
    <n v="88830"/>
    <n v="165000"/>
    <x v="0"/>
    <x v="0"/>
    <x v="0"/>
    <n v="1"/>
    <n v="1017"/>
    <n v="1.0254394999999999E-2"/>
    <x v="0"/>
    <n v="76170"/>
    <n v="162.24189999999999"/>
    <x v="0"/>
    <s v="Low"/>
    <s v="Medium"/>
    <s v="May"/>
    <x v="4"/>
  </r>
  <r>
    <d v="2020-05-29T00:00:00"/>
    <x v="11"/>
    <x v="1"/>
    <n v="362800"/>
    <n v="595000"/>
    <x v="0"/>
    <x v="0"/>
    <x v="0"/>
    <n v="1"/>
    <n v="1089"/>
    <n v="1.0254394999999999E-2"/>
    <x v="0"/>
    <n v="232200"/>
    <n v="546.37279999999998"/>
    <x v="0"/>
    <s v="Medium"/>
    <s v="Medium"/>
    <s v="May"/>
    <x v="4"/>
  </r>
  <r>
    <d v="2020-05-30T00:00:00"/>
    <x v="11"/>
    <x v="6"/>
    <n v="309820"/>
    <n v="385000"/>
    <x v="0"/>
    <x v="0"/>
    <x v="0"/>
    <n v="3"/>
    <n v="962"/>
    <n v="1.0254394999999999E-2"/>
    <x v="3"/>
    <n v="75180"/>
    <n v="400.2079"/>
    <x v="0"/>
    <s v="Medium"/>
    <s v="Medium"/>
    <s v="May"/>
    <x v="4"/>
  </r>
  <r>
    <d v="2020-06-01T00:00:00"/>
    <x v="11"/>
    <x v="3"/>
    <n v="444584.20699999999"/>
    <n v="1075000"/>
    <x v="0"/>
    <x v="0"/>
    <x v="0"/>
    <n v="2"/>
    <n v="1024"/>
    <n v="1.0254394999999999E-2"/>
    <x v="1"/>
    <n v="630415.79299999995"/>
    <n v="1049.8046999999999"/>
    <x v="0"/>
    <s v="High"/>
    <s v="Medium"/>
    <s v="June"/>
    <x v="5"/>
  </r>
  <r>
    <d v="2020-06-04T00:00:00"/>
    <x v="11"/>
    <x v="6"/>
    <n v="186060"/>
    <n v="263000"/>
    <x v="0"/>
    <x v="0"/>
    <x v="0"/>
    <n v="2"/>
    <n v="911"/>
    <n v="1.0254394999999999E-2"/>
    <x v="0"/>
    <n v="76940"/>
    <n v="288.69369999999998"/>
    <x v="0"/>
    <s v="Medium"/>
    <s v="Medium"/>
    <s v="June"/>
    <x v="5"/>
  </r>
  <r>
    <d v="2020-06-05T00:00:00"/>
    <x v="11"/>
    <x v="4"/>
    <n v="310240"/>
    <n v="655000"/>
    <x v="0"/>
    <x v="0"/>
    <x v="0"/>
    <n v="2"/>
    <n v="917"/>
    <n v="1.0254394999999999E-2"/>
    <x v="2"/>
    <n v="344760"/>
    <n v="714.28570000000002"/>
    <x v="0"/>
    <s v="High"/>
    <s v="Medium"/>
    <s v="June"/>
    <x v="5"/>
  </r>
  <r>
    <d v="2020-06-07T00:00:00"/>
    <x v="11"/>
    <x v="1"/>
    <n v="269750"/>
    <n v="406000"/>
    <x v="0"/>
    <x v="0"/>
    <x v="0"/>
    <n v="2"/>
    <n v="1111.6589814177564"/>
    <n v="1.0254394999999999E-2"/>
    <x v="0"/>
    <n v="136250"/>
    <n v="365.2199"/>
    <x v="0"/>
    <s v="Medium"/>
    <s v="Medium"/>
    <s v="June"/>
    <x v="5"/>
  </r>
  <r>
    <d v="2020-06-08T00:00:00"/>
    <x v="11"/>
    <x v="2"/>
    <n v="444584.20699999999"/>
    <n v="163200"/>
    <x v="0"/>
    <x v="0"/>
    <x v="0"/>
    <n v="2"/>
    <n v="906"/>
    <n v="1.0254394999999999E-2"/>
    <x v="0"/>
    <n v="-281384.20699999999"/>
    <n v="180.13249999999999"/>
    <x v="1"/>
    <s v="Low"/>
    <s v="Medium"/>
    <s v="June"/>
    <x v="5"/>
  </r>
  <r>
    <d v="2020-06-11T00:00:00"/>
    <x v="11"/>
    <x v="4"/>
    <n v="310380"/>
    <n v="535000"/>
    <x v="0"/>
    <x v="0"/>
    <x v="0"/>
    <n v="2"/>
    <n v="904"/>
    <n v="1.0254394999999999E-2"/>
    <x v="0"/>
    <n v="224620"/>
    <n v="591.81420000000003"/>
    <x v="0"/>
    <s v="Medium"/>
    <s v="Medium"/>
    <s v="June"/>
    <x v="5"/>
  </r>
  <r>
    <d v="2020-06-13T00:00:00"/>
    <x v="11"/>
    <x v="6"/>
    <n v="157150"/>
    <n v="255000"/>
    <x v="0"/>
    <x v="0"/>
    <x v="0"/>
    <n v="3"/>
    <n v="950"/>
    <n v="1.0254394999999999E-2"/>
    <x v="1"/>
    <n v="97850"/>
    <n v="268.42110000000002"/>
    <x v="0"/>
    <s v="Medium"/>
    <s v="Medium"/>
    <s v="June"/>
    <x v="5"/>
  </r>
  <r>
    <d v="2020-06-14T00:00:00"/>
    <x v="11"/>
    <x v="6"/>
    <n v="149800"/>
    <n v="250000"/>
    <x v="0"/>
    <x v="0"/>
    <x v="0"/>
    <n v="1"/>
    <n v="959"/>
    <n v="1.0254394999999999E-2"/>
    <x v="1"/>
    <n v="100200"/>
    <n v="260.68819999999999"/>
    <x v="0"/>
    <s v="Medium"/>
    <s v="Medium"/>
    <s v="June"/>
    <x v="5"/>
  </r>
  <r>
    <d v="2020-06-15T00:00:00"/>
    <x v="11"/>
    <x v="1"/>
    <n v="286690"/>
    <n v="414000"/>
    <x v="0"/>
    <x v="0"/>
    <x v="0"/>
    <n v="1"/>
    <n v="903"/>
    <n v="1.0254394999999999E-2"/>
    <x v="3"/>
    <n v="127310"/>
    <n v="458.47179999999997"/>
    <x v="0"/>
    <s v="Medium"/>
    <s v="Medium"/>
    <s v="June"/>
    <x v="5"/>
  </r>
  <r>
    <d v="2020-06-19T00:00:00"/>
    <x v="11"/>
    <x v="2"/>
    <n v="206520"/>
    <n v="405000"/>
    <x v="2"/>
    <x v="2"/>
    <x v="2"/>
    <n v="6"/>
    <n v="2177"/>
    <n v="1.0254394999999999E-2"/>
    <x v="2"/>
    <n v="198480"/>
    <n v="186.03579999999999"/>
    <x v="0"/>
    <s v="Medium"/>
    <s v="Large"/>
    <s v="June"/>
    <x v="5"/>
  </r>
  <r>
    <d v="2020-06-20T00:00:00"/>
    <x v="11"/>
    <x v="4"/>
    <n v="336700"/>
    <n v="495000"/>
    <x v="0"/>
    <x v="0"/>
    <x v="0"/>
    <n v="1"/>
    <n v="968"/>
    <n v="1.0254394999999999E-2"/>
    <x v="3"/>
    <n v="158300"/>
    <n v="511.36360000000002"/>
    <x v="0"/>
    <s v="Medium"/>
    <s v="Medium"/>
    <s v="June"/>
    <x v="5"/>
  </r>
  <r>
    <d v="2020-06-21T00:00:00"/>
    <x v="11"/>
    <x v="6"/>
    <n v="216650"/>
    <n v="329900"/>
    <x v="0"/>
    <x v="0"/>
    <x v="0"/>
    <n v="3"/>
    <n v="1060"/>
    <n v="1.0254394999999999E-2"/>
    <x v="3"/>
    <n v="113250"/>
    <n v="311.22640000000001"/>
    <x v="0"/>
    <s v="Medium"/>
    <s v="Medium"/>
    <s v="June"/>
    <x v="5"/>
  </r>
  <r>
    <d v="2020-06-22T00:00:00"/>
    <x v="11"/>
    <x v="3"/>
    <n v="444584.20699999999"/>
    <n v="572500"/>
    <x v="0"/>
    <x v="0"/>
    <x v="0"/>
    <n v="1"/>
    <n v="920"/>
    <n v="1.0254394999999999E-2"/>
    <x v="1"/>
    <n v="127915.79300000001"/>
    <n v="622.2826"/>
    <x v="0"/>
    <s v="Medium"/>
    <s v="Medium"/>
    <s v="June"/>
    <x v="5"/>
  </r>
  <r>
    <d v="2020-06-25T00:00:00"/>
    <x v="11"/>
    <x v="6"/>
    <n v="260120"/>
    <n v="430000"/>
    <x v="0"/>
    <x v="0"/>
    <x v="0"/>
    <n v="3"/>
    <n v="1051"/>
    <n v="1.0254394999999999E-2"/>
    <x v="2"/>
    <n v="169880"/>
    <n v="409.13420000000002"/>
    <x v="0"/>
    <s v="Medium"/>
    <s v="Medium"/>
    <s v="June"/>
    <x v="5"/>
  </r>
  <r>
    <d v="2020-06-26T00:00:00"/>
    <x v="11"/>
    <x v="1"/>
    <n v="326630"/>
    <n v="531611"/>
    <x v="0"/>
    <x v="0"/>
    <x v="0"/>
    <n v="2"/>
    <n v="1111.6589814177564"/>
    <n v="1.0254394999999999E-2"/>
    <x v="3"/>
    <n v="204981"/>
    <n v="478.21409999999997"/>
    <x v="0"/>
    <s v="Medium"/>
    <s v="Medium"/>
    <s v="June"/>
    <x v="5"/>
  </r>
  <r>
    <d v="2020-06-27T00:00:00"/>
    <x v="11"/>
    <x v="1"/>
    <n v="252950"/>
    <n v="360000"/>
    <x v="0"/>
    <x v="0"/>
    <x v="0"/>
    <n v="2"/>
    <n v="909"/>
    <n v="1.0254394999999999E-2"/>
    <x v="2"/>
    <n v="107050"/>
    <n v="396.03960000000001"/>
    <x v="0"/>
    <s v="Medium"/>
    <s v="Medium"/>
    <s v="June"/>
    <x v="5"/>
  </r>
  <r>
    <d v="2020-06-28T00:00:00"/>
    <x v="11"/>
    <x v="5"/>
    <n v="524370"/>
    <n v="775000"/>
    <x v="0"/>
    <x v="0"/>
    <x v="0"/>
    <n v="2"/>
    <n v="1020"/>
    <n v="1.0254394999999999E-2"/>
    <x v="1"/>
    <n v="250630"/>
    <n v="759.8039"/>
    <x v="0"/>
    <s v="High"/>
    <s v="Medium"/>
    <s v="June"/>
    <x v="5"/>
  </r>
  <r>
    <d v="2020-06-29T00:00:00"/>
    <x v="11"/>
    <x v="6"/>
    <n v="209020"/>
    <n v="309900"/>
    <x v="0"/>
    <x v="0"/>
    <x v="0"/>
    <n v="2"/>
    <n v="1099"/>
    <n v="1.0254394999999999E-2"/>
    <x v="2"/>
    <n v="100880"/>
    <n v="281.98360000000002"/>
    <x v="0"/>
    <s v="Medium"/>
    <s v="Medium"/>
    <s v="June"/>
    <x v="5"/>
  </r>
  <r>
    <d v="2020-07-02T00:00:00"/>
    <x v="11"/>
    <x v="6"/>
    <n v="151200"/>
    <n v="265000"/>
    <x v="0"/>
    <x v="0"/>
    <x v="0"/>
    <n v="3"/>
    <n v="924"/>
    <n v="1.0254394999999999E-2"/>
    <x v="1"/>
    <n v="113800"/>
    <n v="286.79649999999998"/>
    <x v="0"/>
    <s v="Medium"/>
    <s v="Medium"/>
    <s v="July"/>
    <x v="6"/>
  </r>
  <r>
    <d v="2020-07-03T00:00:00"/>
    <x v="11"/>
    <x v="6"/>
    <n v="251930"/>
    <n v="435000"/>
    <x v="0"/>
    <x v="0"/>
    <x v="0"/>
    <n v="3"/>
    <n v="958"/>
    <n v="1.0254394999999999E-2"/>
    <x v="2"/>
    <n v="183070"/>
    <n v="454.07100000000003"/>
    <x v="0"/>
    <s v="Medium"/>
    <s v="Medium"/>
    <s v="July"/>
    <x v="6"/>
  </r>
  <r>
    <d v="2020-07-05T00:00:00"/>
    <x v="11"/>
    <x v="4"/>
    <n v="825160"/>
    <n v="1075500"/>
    <x v="0"/>
    <x v="0"/>
    <x v="0"/>
    <n v="3"/>
    <n v="1071"/>
    <n v="1.0254394999999999E-2"/>
    <x v="1"/>
    <n v="250340"/>
    <n v="1004.2017"/>
    <x v="0"/>
    <s v="High"/>
    <s v="Medium"/>
    <s v="July"/>
    <x v="6"/>
  </r>
  <r>
    <d v="2020-07-06T00:00:00"/>
    <x v="11"/>
    <x v="3"/>
    <n v="2688070"/>
    <n v="5230000"/>
    <x v="0"/>
    <x v="0"/>
    <x v="0"/>
    <n v="3"/>
    <n v="1086"/>
    <n v="1.0254394999999999E-2"/>
    <x v="3"/>
    <n v="2541930"/>
    <n v="4815.8379000000004"/>
    <x v="0"/>
    <s v="High"/>
    <s v="Medium"/>
    <s v="July"/>
    <x v="6"/>
  </r>
  <r>
    <d v="2020-07-07T00:00:00"/>
    <x v="11"/>
    <x v="3"/>
    <n v="1531040"/>
    <n v="1760000"/>
    <x v="0"/>
    <x v="0"/>
    <x v="0"/>
    <n v="3"/>
    <n v="1080"/>
    <n v="1.0254394999999999E-2"/>
    <x v="3"/>
    <n v="228960"/>
    <n v="1629.6296"/>
    <x v="0"/>
    <s v="High"/>
    <s v="Medium"/>
    <s v="July"/>
    <x v="6"/>
  </r>
  <r>
    <d v="2020-07-12T00:00:00"/>
    <x v="11"/>
    <x v="3"/>
    <n v="1139390"/>
    <n v="1892500"/>
    <x v="0"/>
    <x v="0"/>
    <x v="0"/>
    <n v="1"/>
    <n v="975"/>
    <n v="1.0254394999999999E-2"/>
    <x v="2"/>
    <n v="753110"/>
    <n v="1941.0255999999999"/>
    <x v="0"/>
    <s v="High"/>
    <s v="Medium"/>
    <s v="July"/>
    <x v="6"/>
  </r>
  <r>
    <d v="2020-07-13T00:00:00"/>
    <x v="11"/>
    <x v="5"/>
    <n v="2668190"/>
    <n v="4500000"/>
    <x v="0"/>
    <x v="0"/>
    <x v="0"/>
    <n v="1"/>
    <n v="927"/>
    <n v="1.0254394999999999E-2"/>
    <x v="0"/>
    <n v="1831810"/>
    <n v="4854.3689000000004"/>
    <x v="0"/>
    <s v="High"/>
    <s v="Medium"/>
    <s v="July"/>
    <x v="6"/>
  </r>
  <r>
    <d v="2020-07-16T00:00:00"/>
    <x v="11"/>
    <x v="3"/>
    <n v="383810"/>
    <n v="750000"/>
    <x v="0"/>
    <x v="0"/>
    <x v="0"/>
    <n v="1"/>
    <n v="1045"/>
    <n v="1.0254394999999999E-2"/>
    <x v="2"/>
    <n v="366190"/>
    <n v="717.70330000000001"/>
    <x v="0"/>
    <s v="High"/>
    <s v="Medium"/>
    <s v="July"/>
    <x v="6"/>
  </r>
  <r>
    <d v="2020-07-19T00:00:00"/>
    <x v="11"/>
    <x v="5"/>
    <n v="293500"/>
    <n v="440000"/>
    <x v="0"/>
    <x v="0"/>
    <x v="0"/>
    <n v="1"/>
    <n v="1111.6589814177564"/>
    <n v="1.0254394999999999E-2"/>
    <x v="0"/>
    <n v="146500"/>
    <n v="395.8048"/>
    <x v="0"/>
    <s v="Medium"/>
    <s v="Medium"/>
    <s v="July"/>
    <x v="6"/>
  </r>
  <r>
    <d v="2020-07-20T00:00:00"/>
    <x v="11"/>
    <x v="1"/>
    <n v="237800"/>
    <n v="475000"/>
    <x v="1"/>
    <x v="1"/>
    <x v="1"/>
    <n v="3"/>
    <n v="1306"/>
    <n v="1.0254394999999999E-2"/>
    <x v="0"/>
    <n v="237200"/>
    <n v="363.70600000000002"/>
    <x v="0"/>
    <s v="Medium"/>
    <s v="Large"/>
    <s v="July"/>
    <x v="6"/>
  </r>
  <r>
    <d v="2020-07-23T00:00:00"/>
    <x v="11"/>
    <x v="4"/>
    <n v="247520"/>
    <n v="385000"/>
    <x v="0"/>
    <x v="0"/>
    <x v="0"/>
    <n v="2"/>
    <n v="1111.6589814177564"/>
    <n v="1.0254394999999999E-2"/>
    <x v="3"/>
    <n v="137480"/>
    <n v="346.32920000000001"/>
    <x v="0"/>
    <s v="Medium"/>
    <s v="Medium"/>
    <s v="July"/>
    <x v="6"/>
  </r>
  <r>
    <d v="2020-07-24T00:00:00"/>
    <x v="11"/>
    <x v="4"/>
    <n v="482510"/>
    <n v="695000"/>
    <x v="0"/>
    <x v="0"/>
    <x v="0"/>
    <n v="1"/>
    <n v="1111.6589814177564"/>
    <n v="1.0254394999999999E-2"/>
    <x v="3"/>
    <n v="212490"/>
    <n v="625.19169999999997"/>
    <x v="0"/>
    <s v="High"/>
    <s v="Medium"/>
    <s v="July"/>
    <x v="6"/>
  </r>
  <r>
    <d v="2020-07-26T00:00:00"/>
    <x v="11"/>
    <x v="2"/>
    <n v="81680"/>
    <n v="102375"/>
    <x v="0"/>
    <x v="0"/>
    <x v="0"/>
    <n v="2"/>
    <n v="907"/>
    <n v="1.0254394999999999E-2"/>
    <x v="2"/>
    <n v="20695"/>
    <n v="112.8721"/>
    <x v="0"/>
    <s v="Low"/>
    <s v="Medium"/>
    <s v="July"/>
    <x v="6"/>
  </r>
  <r>
    <d v="2020-07-30T00:00:00"/>
    <x v="11"/>
    <x v="4"/>
    <n v="420490"/>
    <n v="470000"/>
    <x v="0"/>
    <x v="0"/>
    <x v="0"/>
    <n v="2"/>
    <n v="1111.6589814177564"/>
    <n v="1.0254394999999999E-2"/>
    <x v="2"/>
    <n v="49510"/>
    <n v="422.79149999999998"/>
    <x v="0"/>
    <s v="Medium"/>
    <s v="Medium"/>
    <s v="July"/>
    <x v="6"/>
  </r>
  <r>
    <d v="2020-07-31T00:00:00"/>
    <x v="11"/>
    <x v="4"/>
    <n v="882000"/>
    <n v="1450000"/>
    <x v="0"/>
    <x v="0"/>
    <x v="0"/>
    <n v="3"/>
    <n v="969"/>
    <n v="1.0254394999999999E-2"/>
    <x v="3"/>
    <n v="568000"/>
    <n v="1496.3879999999999"/>
    <x v="0"/>
    <s v="High"/>
    <s v="Medium"/>
    <s v="July"/>
    <x v="6"/>
  </r>
  <r>
    <d v="2020-08-01T00:00:00"/>
    <x v="11"/>
    <x v="4"/>
    <n v="349370"/>
    <n v="555000"/>
    <x v="0"/>
    <x v="0"/>
    <x v="0"/>
    <n v="3"/>
    <n v="922"/>
    <n v="1.0254394999999999E-2"/>
    <x v="3"/>
    <n v="205630"/>
    <n v="601.95230000000004"/>
    <x v="0"/>
    <s v="Medium"/>
    <s v="Medium"/>
    <s v="August"/>
    <x v="7"/>
  </r>
  <r>
    <d v="2020-08-02T00:00:00"/>
    <x v="11"/>
    <x v="2"/>
    <n v="107360"/>
    <n v="150000"/>
    <x v="1"/>
    <x v="1"/>
    <x v="1"/>
    <n v="3"/>
    <n v="1376"/>
    <n v="1.0254394999999999E-2"/>
    <x v="2"/>
    <n v="42640"/>
    <n v="109.0116"/>
    <x v="0"/>
    <s v="Low"/>
    <s v="Large"/>
    <s v="August"/>
    <x v="7"/>
  </r>
  <r>
    <d v="2020-08-07T00:00:00"/>
    <x v="11"/>
    <x v="1"/>
    <n v="329630"/>
    <n v="301000"/>
    <x v="0"/>
    <x v="0"/>
    <x v="0"/>
    <n v="1"/>
    <n v="1061"/>
    <n v="1.0254394999999999E-2"/>
    <x v="3"/>
    <n v="-28630"/>
    <n v="283.69459999999998"/>
    <x v="1"/>
    <s v="Medium"/>
    <s v="Medium"/>
    <s v="August"/>
    <x v="7"/>
  </r>
  <r>
    <d v="2020-08-08T00:00:00"/>
    <x v="11"/>
    <x v="4"/>
    <n v="1186990"/>
    <n v="1700000"/>
    <x v="0"/>
    <x v="0"/>
    <x v="0"/>
    <n v="2"/>
    <n v="935"/>
    <n v="1.0254394999999999E-2"/>
    <x v="3"/>
    <n v="513010"/>
    <n v="1818.1818000000001"/>
    <x v="0"/>
    <s v="High"/>
    <s v="Medium"/>
    <s v="August"/>
    <x v="7"/>
  </r>
  <r>
    <d v="2020-08-13T00:00:00"/>
    <x v="11"/>
    <x v="5"/>
    <n v="828730"/>
    <n v="949500"/>
    <x v="0"/>
    <x v="0"/>
    <x v="0"/>
    <n v="3"/>
    <n v="1038"/>
    <n v="1.0254394999999999E-2"/>
    <x v="2"/>
    <n v="120770"/>
    <n v="914.73990000000003"/>
    <x v="0"/>
    <s v="High"/>
    <s v="Medium"/>
    <s v="August"/>
    <x v="7"/>
  </r>
  <r>
    <d v="2020-08-14T00:00:00"/>
    <x v="11"/>
    <x v="6"/>
    <n v="119910"/>
    <n v="162000"/>
    <x v="0"/>
    <x v="0"/>
    <x v="0"/>
    <n v="3"/>
    <n v="1038"/>
    <n v="1.0254394999999999E-2"/>
    <x v="1"/>
    <n v="42090"/>
    <n v="156.0694"/>
    <x v="0"/>
    <s v="Low"/>
    <s v="Medium"/>
    <s v="August"/>
    <x v="7"/>
  </r>
  <r>
    <d v="2020-08-15T00:00:00"/>
    <x v="11"/>
    <x v="2"/>
    <n v="256210"/>
    <n v="245286"/>
    <x v="0"/>
    <x v="0"/>
    <x v="0"/>
    <n v="3"/>
    <n v="1030"/>
    <n v="1.0254394999999999E-2"/>
    <x v="3"/>
    <n v="-10924"/>
    <n v="238.14169999999999"/>
    <x v="1"/>
    <s v="Medium"/>
    <s v="Medium"/>
    <s v="August"/>
    <x v="7"/>
  </r>
  <r>
    <d v="2020-08-16T00:00:00"/>
    <x v="11"/>
    <x v="6"/>
    <n v="444584.20699999999"/>
    <n v="300000"/>
    <x v="0"/>
    <x v="0"/>
    <x v="0"/>
    <n v="3"/>
    <n v="1035"/>
    <n v="1.0254394999999999E-2"/>
    <x v="2"/>
    <n v="-144584.20699999999"/>
    <n v="289.85509999999999"/>
    <x v="1"/>
    <s v="Medium"/>
    <s v="Medium"/>
    <s v="August"/>
    <x v="7"/>
  </r>
  <r>
    <d v="2020-08-20T00:00:00"/>
    <x v="11"/>
    <x v="6"/>
    <n v="167440"/>
    <n v="260000"/>
    <x v="0"/>
    <x v="0"/>
    <x v="0"/>
    <n v="1"/>
    <n v="1084"/>
    <n v="1.0254394999999999E-2"/>
    <x v="1"/>
    <n v="92560"/>
    <n v="239.85239999999999"/>
    <x v="0"/>
    <s v="Medium"/>
    <s v="Medium"/>
    <s v="August"/>
    <x v="7"/>
  </r>
  <r>
    <d v="2020-08-24T00:00:00"/>
    <x v="11"/>
    <x v="6"/>
    <n v="167580"/>
    <n v="220000"/>
    <x v="0"/>
    <x v="0"/>
    <x v="0"/>
    <n v="2"/>
    <n v="1031"/>
    <n v="1.0254394999999999E-2"/>
    <x v="0"/>
    <n v="52420"/>
    <n v="213.38509999999999"/>
    <x v="0"/>
    <s v="Medium"/>
    <s v="Medium"/>
    <s v="August"/>
    <x v="7"/>
  </r>
  <r>
    <d v="2020-08-28T00:00:00"/>
    <x v="11"/>
    <x v="2"/>
    <n v="96680"/>
    <n v="135000"/>
    <x v="0"/>
    <x v="0"/>
    <x v="0"/>
    <n v="3"/>
    <n v="1111.6589814177564"/>
    <n v="1.0254394999999999E-2"/>
    <x v="0"/>
    <n v="38320"/>
    <n v="121.4401"/>
    <x v="0"/>
    <s v="Low"/>
    <s v="Medium"/>
    <s v="August"/>
    <x v="7"/>
  </r>
  <r>
    <d v="2020-08-29T00:00:00"/>
    <x v="11"/>
    <x v="1"/>
    <n v="224640"/>
    <n v="499000"/>
    <x v="1"/>
    <x v="1"/>
    <x v="1"/>
    <n v="3"/>
    <n v="1111.6589814177564"/>
    <n v="1.0254394999999999E-2"/>
    <x v="3"/>
    <n v="274360"/>
    <n v="448.87869999999998"/>
    <x v="0"/>
    <s v="Medium"/>
    <s v="Medium"/>
    <s v="August"/>
    <x v="7"/>
  </r>
  <r>
    <d v="2020-08-30T00:00:00"/>
    <x v="11"/>
    <x v="3"/>
    <n v="1913870"/>
    <n v="1700000"/>
    <x v="0"/>
    <x v="0"/>
    <x v="0"/>
    <n v="3"/>
    <n v="1050"/>
    <n v="1.0254394999999999E-2"/>
    <x v="2"/>
    <n v="-213870"/>
    <n v="1619.0476000000001"/>
    <x v="1"/>
    <s v="High"/>
    <s v="Medium"/>
    <s v="August"/>
    <x v="7"/>
  </r>
  <r>
    <d v="2020-09-04T00:00:00"/>
    <x v="11"/>
    <x v="4"/>
    <n v="207200"/>
    <n v="289900"/>
    <x v="0"/>
    <x v="0"/>
    <x v="0"/>
    <n v="1"/>
    <n v="954"/>
    <n v="1.0254394999999999E-2"/>
    <x v="1"/>
    <n v="82700"/>
    <n v="303.8784"/>
    <x v="0"/>
    <s v="Medium"/>
    <s v="Medium"/>
    <s v="September"/>
    <x v="8"/>
  </r>
  <r>
    <d v="2020-09-05T00:00:00"/>
    <x v="11"/>
    <x v="6"/>
    <n v="323890"/>
    <n v="548000"/>
    <x v="0"/>
    <x v="0"/>
    <x v="0"/>
    <n v="3"/>
    <n v="1057"/>
    <n v="1.0254394999999999E-2"/>
    <x v="0"/>
    <n v="224110"/>
    <n v="518.44839999999999"/>
    <x v="0"/>
    <s v="Medium"/>
    <s v="Medium"/>
    <s v="September"/>
    <x v="8"/>
  </r>
  <r>
    <d v="2020-09-06T00:00:00"/>
    <x v="11"/>
    <x v="1"/>
    <n v="200980"/>
    <n v="425000"/>
    <x v="2"/>
    <x v="2"/>
    <x v="2"/>
    <n v="4"/>
    <n v="1812"/>
    <n v="1.0254394999999999E-2"/>
    <x v="0"/>
    <n v="224020"/>
    <n v="234.54750000000001"/>
    <x v="0"/>
    <s v="Medium"/>
    <s v="Large"/>
    <s v="September"/>
    <x v="8"/>
  </r>
  <r>
    <d v="2020-09-07T00:00:00"/>
    <x v="11"/>
    <x v="3"/>
    <n v="444584.20699999999"/>
    <n v="2775000"/>
    <x v="0"/>
    <x v="0"/>
    <x v="0"/>
    <n v="1"/>
    <n v="1100"/>
    <n v="1.0254394999999999E-2"/>
    <x v="0"/>
    <n v="2330415.7930000001"/>
    <n v="2522.7273"/>
    <x v="0"/>
    <s v="High"/>
    <s v="Medium"/>
    <s v="September"/>
    <x v="8"/>
  </r>
  <r>
    <d v="2020-09-10T00:00:00"/>
    <x v="11"/>
    <x v="6"/>
    <n v="207830"/>
    <n v="259000"/>
    <x v="0"/>
    <x v="0"/>
    <x v="0"/>
    <n v="3"/>
    <n v="1073"/>
    <n v="1.0254394999999999E-2"/>
    <x v="0"/>
    <n v="51170"/>
    <n v="241.3793"/>
    <x v="0"/>
    <s v="Medium"/>
    <s v="Medium"/>
    <s v="September"/>
    <x v="8"/>
  </r>
  <r>
    <d v="2020-09-11T00:00:00"/>
    <x v="11"/>
    <x v="2"/>
    <n v="444584.20699999999"/>
    <n v="220000"/>
    <x v="0"/>
    <x v="0"/>
    <x v="0"/>
    <n v="2"/>
    <n v="1062"/>
    <n v="1.0254394999999999E-2"/>
    <x v="3"/>
    <n v="-224584.20699999999"/>
    <n v="207.15629999999999"/>
    <x v="1"/>
    <s v="Medium"/>
    <s v="Medium"/>
    <s v="September"/>
    <x v="8"/>
  </r>
  <r>
    <d v="2020-09-13T00:00:00"/>
    <x v="11"/>
    <x v="6"/>
    <n v="137060"/>
    <n v="240000"/>
    <x v="0"/>
    <x v="0"/>
    <x v="0"/>
    <n v="2"/>
    <n v="1111.6589814177564"/>
    <n v="1.0254394999999999E-2"/>
    <x v="3"/>
    <n v="102940"/>
    <n v="215.89349999999999"/>
    <x v="0"/>
    <s v="Medium"/>
    <s v="Medium"/>
    <s v="September"/>
    <x v="8"/>
  </r>
  <r>
    <d v="2020-09-15T00:00:00"/>
    <x v="11"/>
    <x v="3"/>
    <n v="1485120"/>
    <n v="1700000"/>
    <x v="0"/>
    <x v="0"/>
    <x v="0"/>
    <n v="3"/>
    <n v="903"/>
    <n v="1.0254394999999999E-2"/>
    <x v="1"/>
    <n v="214880"/>
    <n v="1882.6134999999999"/>
    <x v="0"/>
    <s v="High"/>
    <s v="Medium"/>
    <s v="September"/>
    <x v="8"/>
  </r>
  <r>
    <d v="2020-09-17T00:00:00"/>
    <x v="11"/>
    <x v="4"/>
    <n v="260190"/>
    <n v="284701"/>
    <x v="0"/>
    <x v="0"/>
    <x v="0"/>
    <n v="3"/>
    <n v="953"/>
    <n v="1.0254394999999999E-2"/>
    <x v="1"/>
    <n v="24511"/>
    <n v="298.74189999999999"/>
    <x v="0"/>
    <s v="Medium"/>
    <s v="Medium"/>
    <s v="September"/>
    <x v="8"/>
  </r>
  <r>
    <d v="2020-09-19T00:00:00"/>
    <x v="11"/>
    <x v="2"/>
    <n v="329840"/>
    <n v="674933"/>
    <x v="0"/>
    <x v="0"/>
    <x v="0"/>
    <n v="3"/>
    <n v="1069"/>
    <n v="1.0254394999999999E-2"/>
    <x v="2"/>
    <n v="345093"/>
    <n v="631.36860000000001"/>
    <x v="0"/>
    <s v="High"/>
    <s v="Medium"/>
    <s v="September"/>
    <x v="8"/>
  </r>
  <r>
    <d v="2020-09-20T00:00:00"/>
    <x v="11"/>
    <x v="1"/>
    <n v="444584.20699999999"/>
    <n v="390000"/>
    <x v="1"/>
    <x v="1"/>
    <x v="1"/>
    <n v="3"/>
    <n v="1243"/>
    <n v="1.0254394999999999E-2"/>
    <x v="1"/>
    <n v="-54584.207000000002"/>
    <n v="313.75700000000001"/>
    <x v="1"/>
    <s v="Medium"/>
    <s v="Medium"/>
    <s v="September"/>
    <x v="8"/>
  </r>
  <r>
    <d v="2020-09-21T00:00:00"/>
    <x v="11"/>
    <x v="2"/>
    <n v="116810"/>
    <n v="116600"/>
    <x v="1"/>
    <x v="1"/>
    <x v="1"/>
    <n v="2"/>
    <n v="1392"/>
    <n v="1.0254394999999999E-2"/>
    <x v="2"/>
    <n v="-210"/>
    <n v="83.764399999999995"/>
    <x v="1"/>
    <s v="Low"/>
    <s v="Large"/>
    <s v="September"/>
    <x v="8"/>
  </r>
  <r>
    <d v="2020-09-24T00:00:00"/>
    <x v="11"/>
    <x v="6"/>
    <n v="322700"/>
    <n v="426000"/>
    <x v="0"/>
    <x v="0"/>
    <x v="0"/>
    <n v="1"/>
    <n v="1111.6589814177564"/>
    <n v="1.0254394999999999E-2"/>
    <x v="0"/>
    <n v="103300"/>
    <n v="383.21100000000001"/>
    <x v="0"/>
    <s v="Medium"/>
    <s v="Medium"/>
    <s v="September"/>
    <x v="8"/>
  </r>
  <r>
    <d v="2020-09-26T00:00:00"/>
    <x v="11"/>
    <x v="4"/>
    <n v="234430"/>
    <n v="350000"/>
    <x v="0"/>
    <x v="0"/>
    <x v="0"/>
    <n v="1"/>
    <n v="959"/>
    <n v="1.0254394999999999E-2"/>
    <x v="3"/>
    <n v="115570"/>
    <n v="364.96350000000001"/>
    <x v="0"/>
    <s v="Medium"/>
    <s v="Medium"/>
    <s v="September"/>
    <x v="8"/>
  </r>
  <r>
    <d v="2020-09-27T00:00:00"/>
    <x v="11"/>
    <x v="6"/>
    <n v="261310"/>
    <n v="407500"/>
    <x v="0"/>
    <x v="0"/>
    <x v="0"/>
    <n v="2"/>
    <n v="907"/>
    <n v="1.0254394999999999E-2"/>
    <x v="0"/>
    <n v="146190"/>
    <n v="449.28339999999997"/>
    <x v="0"/>
    <s v="Medium"/>
    <s v="Medium"/>
    <s v="September"/>
    <x v="8"/>
  </r>
  <r>
    <d v="2020-10-02T00:00:00"/>
    <x v="11"/>
    <x v="5"/>
    <n v="131070"/>
    <n v="270000"/>
    <x v="3"/>
    <x v="3"/>
    <x v="3"/>
    <n v="6"/>
    <n v="2945"/>
    <n v="1.0254394999999999E-2"/>
    <x v="3"/>
    <n v="138930"/>
    <n v="91.680800000000005"/>
    <x v="0"/>
    <s v="Medium"/>
    <s v="Large"/>
    <s v="October"/>
    <x v="9"/>
  </r>
  <r>
    <d v="2020-10-03T00:00:00"/>
    <x v="11"/>
    <x v="7"/>
    <n v="279450"/>
    <n v="500000"/>
    <x v="1"/>
    <x v="1"/>
    <x v="1"/>
    <n v="4"/>
    <n v="1473"/>
    <n v="1.0254394999999999E-2"/>
    <x v="3"/>
    <n v="220550"/>
    <n v="339.44330000000002"/>
    <x v="0"/>
    <s v="Medium"/>
    <s v="Large"/>
    <s v="October"/>
    <x v="9"/>
  </r>
  <r>
    <d v="2020-10-04T00:00:00"/>
    <x v="11"/>
    <x v="7"/>
    <n v="246320"/>
    <n v="257000"/>
    <x v="0"/>
    <x v="0"/>
    <x v="0"/>
    <n v="1"/>
    <n v="1090"/>
    <n v="1.0254394999999999E-2"/>
    <x v="2"/>
    <n v="10680"/>
    <n v="235.77979999999999"/>
    <x v="0"/>
    <s v="Medium"/>
    <s v="Medium"/>
    <s v="October"/>
    <x v="9"/>
  </r>
  <r>
    <d v="2020-10-09T00:00:00"/>
    <x v="11"/>
    <x v="2"/>
    <n v="444584.20699999999"/>
    <n v="280000"/>
    <x v="1"/>
    <x v="1"/>
    <x v="1"/>
    <n v="2"/>
    <n v="1111.6589814177564"/>
    <n v="1.0254394999999999E-2"/>
    <x v="3"/>
    <n v="-164584.20699999999"/>
    <n v="251.8758"/>
    <x v="1"/>
    <s v="Medium"/>
    <s v="Medium"/>
    <s v="October"/>
    <x v="9"/>
  </r>
  <r>
    <d v="2020-10-10T00:00:00"/>
    <x v="11"/>
    <x v="3"/>
    <n v="218890"/>
    <n v="399900"/>
    <x v="0"/>
    <x v="0"/>
    <x v="0"/>
    <n v="1"/>
    <n v="903"/>
    <n v="1.0254394999999999E-2"/>
    <x v="3"/>
    <n v="181010"/>
    <n v="442.8571"/>
    <x v="0"/>
    <s v="Medium"/>
    <s v="Medium"/>
    <s v="October"/>
    <x v="9"/>
  </r>
  <r>
    <d v="2020-10-11T00:00:00"/>
    <x v="11"/>
    <x v="5"/>
    <n v="444584.20699999999"/>
    <n v="253400"/>
    <x v="0"/>
    <x v="0"/>
    <x v="0"/>
    <n v="1"/>
    <n v="1032"/>
    <n v="1.0254394999999999E-2"/>
    <x v="1"/>
    <n v="-191184.20699999999"/>
    <n v="245.54259999999999"/>
    <x v="1"/>
    <s v="Medium"/>
    <s v="Medium"/>
    <s v="October"/>
    <x v="9"/>
  </r>
  <r>
    <d v="2020-10-15T00:00:00"/>
    <x v="11"/>
    <x v="5"/>
    <n v="37140"/>
    <n v="117500"/>
    <x v="2"/>
    <x v="2"/>
    <x v="2"/>
    <n v="4"/>
    <n v="1111.6589814177564"/>
    <n v="1.0254394999999999E-2"/>
    <x v="3"/>
    <n v="80360"/>
    <n v="105.6979"/>
    <x v="0"/>
    <s v="Low"/>
    <s v="Medium"/>
    <s v="October"/>
    <x v="9"/>
  </r>
  <r>
    <d v="2020-10-16T00:00:00"/>
    <x v="11"/>
    <x v="7"/>
    <n v="275500"/>
    <n v="453000"/>
    <x v="0"/>
    <x v="0"/>
    <x v="0"/>
    <n v="3"/>
    <n v="1030"/>
    <n v="1.0254394999999999E-2"/>
    <x v="2"/>
    <n v="177500"/>
    <n v="439.80579999999998"/>
    <x v="0"/>
    <s v="Medium"/>
    <s v="Medium"/>
    <s v="October"/>
    <x v="9"/>
  </r>
  <r>
    <d v="2020-10-18T00:00:00"/>
    <x v="11"/>
    <x v="5"/>
    <n v="136290"/>
    <n v="180000"/>
    <x v="0"/>
    <x v="0"/>
    <x v="0"/>
    <n v="2"/>
    <n v="1059"/>
    <n v="1.0254394999999999E-2"/>
    <x v="3"/>
    <n v="43710"/>
    <n v="169.9717"/>
    <x v="0"/>
    <s v="Low"/>
    <s v="Medium"/>
    <s v="October"/>
    <x v="9"/>
  </r>
  <r>
    <d v="2020-10-22T00:00:00"/>
    <x v="11"/>
    <x v="2"/>
    <n v="121220"/>
    <n v="230000"/>
    <x v="0"/>
    <x v="0"/>
    <x v="0"/>
    <n v="2"/>
    <n v="1111.6589814177564"/>
    <n v="1.0254394999999999E-2"/>
    <x v="1"/>
    <n v="108780"/>
    <n v="206.898"/>
    <x v="0"/>
    <s v="Medium"/>
    <s v="Medium"/>
    <s v="October"/>
    <x v="9"/>
  </r>
  <r>
    <d v="2020-10-23T00:00:00"/>
    <x v="11"/>
    <x v="4"/>
    <n v="315560"/>
    <n v="485000"/>
    <x v="1"/>
    <x v="1"/>
    <x v="1"/>
    <n v="4"/>
    <n v="1256"/>
    <n v="1.0254394999999999E-2"/>
    <x v="3"/>
    <n v="169440"/>
    <n v="386.1465"/>
    <x v="0"/>
    <s v="Medium"/>
    <s v="Medium"/>
    <s v="October"/>
    <x v="9"/>
  </r>
  <r>
    <d v="2020-10-24T00:00:00"/>
    <x v="11"/>
    <x v="5"/>
    <n v="518490"/>
    <n v="735000"/>
    <x v="0"/>
    <x v="0"/>
    <x v="0"/>
    <n v="2"/>
    <n v="981"/>
    <n v="1.0254394999999999E-2"/>
    <x v="0"/>
    <n v="216510"/>
    <n v="749.2355"/>
    <x v="0"/>
    <s v="High"/>
    <s v="Medium"/>
    <s v="October"/>
    <x v="9"/>
  </r>
  <r>
    <d v="2020-10-25T00:00:00"/>
    <x v="11"/>
    <x v="4"/>
    <n v="384510"/>
    <n v="470000"/>
    <x v="0"/>
    <x v="0"/>
    <x v="0"/>
    <n v="2"/>
    <n v="951"/>
    <n v="1.0254394999999999E-2"/>
    <x v="1"/>
    <n v="85490"/>
    <n v="494.21660000000003"/>
    <x v="0"/>
    <s v="Medium"/>
    <s v="Medium"/>
    <s v="October"/>
    <x v="9"/>
  </r>
  <r>
    <d v="2020-10-26T00:00:00"/>
    <x v="11"/>
    <x v="2"/>
    <n v="136480"/>
    <n v="317500"/>
    <x v="0"/>
    <x v="0"/>
    <x v="0"/>
    <n v="2"/>
    <n v="987"/>
    <n v="1.0254394999999999E-2"/>
    <x v="1"/>
    <n v="181020"/>
    <n v="321.68189999999998"/>
    <x v="0"/>
    <s v="Medium"/>
    <s v="Medium"/>
    <s v="October"/>
    <x v="9"/>
  </r>
  <r>
    <d v="2020-10-29T00:00:00"/>
    <x v="11"/>
    <x v="6"/>
    <n v="158620"/>
    <n v="260000"/>
    <x v="0"/>
    <x v="0"/>
    <x v="0"/>
    <n v="1"/>
    <n v="1027"/>
    <n v="1.0254394999999999E-2"/>
    <x v="0"/>
    <n v="101380"/>
    <n v="253.16460000000001"/>
    <x v="0"/>
    <s v="Medium"/>
    <s v="Medium"/>
    <s v="October"/>
    <x v="9"/>
  </r>
  <r>
    <d v="2020-10-30T00:00:00"/>
    <x v="11"/>
    <x v="3"/>
    <n v="781410"/>
    <n v="1275000"/>
    <x v="0"/>
    <x v="0"/>
    <x v="0"/>
    <n v="2"/>
    <n v="1063"/>
    <n v="1.0254394999999999E-2"/>
    <x v="2"/>
    <n v="493590"/>
    <n v="1199.4356"/>
    <x v="0"/>
    <s v="High"/>
    <s v="Medium"/>
    <s v="October"/>
    <x v="9"/>
  </r>
  <r>
    <d v="2020-10-31T00:00:00"/>
    <x v="11"/>
    <x v="2"/>
    <n v="185480"/>
    <n v="212533"/>
    <x v="0"/>
    <x v="0"/>
    <x v="0"/>
    <n v="3"/>
    <n v="977"/>
    <n v="1.0254394999999999E-2"/>
    <x v="0"/>
    <n v="27053"/>
    <n v="217.53630000000001"/>
    <x v="0"/>
    <s v="Medium"/>
    <s v="Medium"/>
    <s v="October"/>
    <x v="9"/>
  </r>
  <r>
    <d v="2020-11-02T00:00:00"/>
    <x v="11"/>
    <x v="2"/>
    <n v="156960"/>
    <n v="170000"/>
    <x v="0"/>
    <x v="0"/>
    <x v="0"/>
    <n v="3"/>
    <n v="1075"/>
    <n v="1.0254394999999999E-2"/>
    <x v="3"/>
    <n v="13040"/>
    <n v="158.1395"/>
    <x v="0"/>
    <s v="Low"/>
    <s v="Medium"/>
    <s v="November"/>
    <x v="10"/>
  </r>
  <r>
    <d v="2020-11-05T00:00:00"/>
    <x v="11"/>
    <x v="6"/>
    <n v="134680"/>
    <n v="178000"/>
    <x v="0"/>
    <x v="0"/>
    <x v="0"/>
    <n v="3"/>
    <n v="1029"/>
    <n v="1.0254394999999999E-2"/>
    <x v="1"/>
    <n v="43320"/>
    <n v="172.98349999999999"/>
    <x v="0"/>
    <s v="Low"/>
    <s v="Medium"/>
    <s v="November"/>
    <x v="10"/>
  </r>
  <r>
    <d v="2020-11-06T00:00:00"/>
    <x v="11"/>
    <x v="4"/>
    <n v="283500"/>
    <n v="445500"/>
    <x v="0"/>
    <x v="0"/>
    <x v="0"/>
    <n v="3"/>
    <n v="1041"/>
    <n v="1.0254394999999999E-2"/>
    <x v="2"/>
    <n v="162000"/>
    <n v="427.95389999999998"/>
    <x v="0"/>
    <s v="Medium"/>
    <s v="Medium"/>
    <s v="November"/>
    <x v="10"/>
  </r>
  <r>
    <d v="2020-11-07T00:00:00"/>
    <x v="11"/>
    <x v="5"/>
    <n v="444584.20699999999"/>
    <n v="445000"/>
    <x v="0"/>
    <x v="0"/>
    <x v="0"/>
    <n v="2"/>
    <n v="1085"/>
    <n v="1.0254394999999999E-2"/>
    <x v="2"/>
    <n v="415.79300000000001"/>
    <n v="410.13819999999998"/>
    <x v="0"/>
    <s v="Medium"/>
    <s v="Medium"/>
    <s v="November"/>
    <x v="10"/>
  </r>
  <r>
    <d v="2020-11-08T00:00:00"/>
    <x v="11"/>
    <x v="2"/>
    <n v="113970"/>
    <n v="113000"/>
    <x v="1"/>
    <x v="1"/>
    <x v="1"/>
    <n v="3"/>
    <n v="1456"/>
    <n v="1.0254394999999999E-2"/>
    <x v="2"/>
    <n v="-970"/>
    <n v="77.609899999999996"/>
    <x v="1"/>
    <s v="Low"/>
    <s v="Large"/>
    <s v="November"/>
    <x v="10"/>
  </r>
  <r>
    <d v="2020-11-09T00:00:00"/>
    <x v="11"/>
    <x v="0"/>
    <n v="444584.20699999999"/>
    <n v="102000"/>
    <x v="0"/>
    <x v="0"/>
    <x v="0"/>
    <n v="3"/>
    <n v="1024"/>
    <n v="1.0254394999999999E-2"/>
    <x v="1"/>
    <n v="-342584.20699999999"/>
    <n v="99.609399999999994"/>
    <x v="1"/>
    <s v="Low"/>
    <s v="Medium"/>
    <s v="November"/>
    <x v="10"/>
  </r>
  <r>
    <d v="2020-11-13T00:00:00"/>
    <x v="11"/>
    <x v="6"/>
    <n v="102340"/>
    <n v="169900"/>
    <x v="0"/>
    <x v="0"/>
    <x v="0"/>
    <n v="3"/>
    <n v="926"/>
    <n v="1.0254394999999999E-2"/>
    <x v="3"/>
    <n v="67560"/>
    <n v="183.47730000000001"/>
    <x v="0"/>
    <s v="Low"/>
    <s v="Medium"/>
    <s v="November"/>
    <x v="10"/>
  </r>
  <r>
    <d v="2020-11-14T00:00:00"/>
    <x v="11"/>
    <x v="6"/>
    <n v="157080"/>
    <n v="250000"/>
    <x v="0"/>
    <x v="0"/>
    <x v="0"/>
    <n v="2"/>
    <n v="1088"/>
    <n v="1.0254394999999999E-2"/>
    <x v="2"/>
    <n v="92920"/>
    <n v="229.77940000000001"/>
    <x v="0"/>
    <s v="Medium"/>
    <s v="Medium"/>
    <s v="November"/>
    <x v="10"/>
  </r>
  <r>
    <d v="2020-11-15T00:00:00"/>
    <x v="11"/>
    <x v="4"/>
    <n v="415520"/>
    <n v="445000"/>
    <x v="0"/>
    <x v="0"/>
    <x v="0"/>
    <n v="1"/>
    <n v="1004"/>
    <n v="1.0254394999999999E-2"/>
    <x v="0"/>
    <n v="29480"/>
    <n v="443.22710000000001"/>
    <x v="0"/>
    <s v="Medium"/>
    <s v="Medium"/>
    <s v="November"/>
    <x v="10"/>
  </r>
  <r>
    <d v="2020-11-16T00:00:00"/>
    <x v="11"/>
    <x v="2"/>
    <n v="95200"/>
    <n v="135555"/>
    <x v="1"/>
    <x v="1"/>
    <x v="1"/>
    <n v="3"/>
    <n v="1216"/>
    <n v="1.0254394999999999E-2"/>
    <x v="1"/>
    <n v="40355"/>
    <n v="111.47620000000001"/>
    <x v="0"/>
    <s v="Low"/>
    <s v="Medium"/>
    <s v="November"/>
    <x v="10"/>
  </r>
  <r>
    <d v="2020-11-19T00:00:00"/>
    <x v="11"/>
    <x v="6"/>
    <n v="131600"/>
    <n v="217000"/>
    <x v="0"/>
    <x v="0"/>
    <x v="0"/>
    <n v="2"/>
    <n v="1061"/>
    <n v="1.0254394999999999E-2"/>
    <x v="2"/>
    <n v="85400"/>
    <n v="204.524"/>
    <x v="0"/>
    <s v="Medium"/>
    <s v="Medium"/>
    <s v="November"/>
    <x v="10"/>
  </r>
  <r>
    <d v="2020-11-20T00:00:00"/>
    <x v="11"/>
    <x v="6"/>
    <n v="258370"/>
    <n v="369000"/>
    <x v="0"/>
    <x v="0"/>
    <x v="0"/>
    <n v="1"/>
    <n v="1088"/>
    <n v="1.0254394999999999E-2"/>
    <x v="0"/>
    <n v="110630"/>
    <n v="339.15440000000001"/>
    <x v="0"/>
    <s v="Medium"/>
    <s v="Medium"/>
    <s v="November"/>
    <x v="10"/>
  </r>
  <r>
    <d v="2020-11-21T00:00:00"/>
    <x v="11"/>
    <x v="5"/>
    <n v="183570"/>
    <n v="215000"/>
    <x v="0"/>
    <x v="0"/>
    <x v="0"/>
    <n v="2"/>
    <n v="1040"/>
    <n v="1.0254394999999999E-2"/>
    <x v="1"/>
    <n v="31430"/>
    <n v="206.73079999999999"/>
    <x v="0"/>
    <s v="Medium"/>
    <s v="Medium"/>
    <s v="November"/>
    <x v="10"/>
  </r>
  <r>
    <d v="2020-11-27T00:00:00"/>
    <x v="11"/>
    <x v="2"/>
    <n v="75890"/>
    <n v="134000"/>
    <x v="0"/>
    <x v="0"/>
    <x v="0"/>
    <n v="3"/>
    <n v="1042"/>
    <n v="1.0254394999999999E-2"/>
    <x v="2"/>
    <n v="58110"/>
    <n v="128.59880000000001"/>
    <x v="0"/>
    <s v="Low"/>
    <s v="Medium"/>
    <s v="November"/>
    <x v="10"/>
  </r>
  <r>
    <d v="2020-11-28T00:00:00"/>
    <x v="11"/>
    <x v="5"/>
    <n v="444584.20699999999"/>
    <n v="269900"/>
    <x v="0"/>
    <x v="0"/>
    <x v="0"/>
    <n v="1"/>
    <n v="1065"/>
    <n v="1.0254394999999999E-2"/>
    <x v="0"/>
    <n v="-174684.20699999999"/>
    <n v="253.4272"/>
    <x v="1"/>
    <s v="Medium"/>
    <s v="Medium"/>
    <s v="November"/>
    <x v="10"/>
  </r>
  <r>
    <d v="2020-11-29T00:00:00"/>
    <x v="11"/>
    <x v="2"/>
    <n v="103200"/>
    <n v="180500"/>
    <x v="1"/>
    <x v="1"/>
    <x v="1"/>
    <n v="3"/>
    <n v="1258"/>
    <n v="1.0254394999999999E-2"/>
    <x v="1"/>
    <n v="77300"/>
    <n v="143.48169999999999"/>
    <x v="0"/>
    <s v="Low"/>
    <s v="Medium"/>
    <s v="November"/>
    <x v="10"/>
  </r>
  <r>
    <d v="2020-11-30T00:00:00"/>
    <x v="11"/>
    <x v="0"/>
    <n v="73960"/>
    <n v="118750"/>
    <x v="0"/>
    <x v="0"/>
    <x v="0"/>
    <n v="1"/>
    <n v="1074"/>
    <n v="1.0254394999999999E-2"/>
    <x v="2"/>
    <n v="44790"/>
    <n v="110.568"/>
    <x v="0"/>
    <s v="Low"/>
    <s v="Medium"/>
    <s v="November"/>
    <x v="10"/>
  </r>
  <r>
    <d v="2020-12-03T00:00:00"/>
    <x v="11"/>
    <x v="2"/>
    <n v="80060"/>
    <n v="107000"/>
    <x v="0"/>
    <x v="0"/>
    <x v="0"/>
    <n v="3"/>
    <n v="1089"/>
    <n v="1.0254394999999999E-2"/>
    <x v="2"/>
    <n v="26940"/>
    <n v="98.255300000000005"/>
    <x v="0"/>
    <s v="Low"/>
    <s v="Medium"/>
    <s v="December"/>
    <x v="11"/>
  </r>
  <r>
    <d v="2020-12-04T00:00:00"/>
    <x v="11"/>
    <x v="5"/>
    <n v="924420"/>
    <n v="1275000"/>
    <x v="0"/>
    <x v="0"/>
    <x v="0"/>
    <n v="2"/>
    <n v="945"/>
    <n v="1.0254394999999999E-2"/>
    <x v="3"/>
    <n v="350580"/>
    <n v="1349.2063000000001"/>
    <x v="0"/>
    <s v="High"/>
    <s v="Medium"/>
    <s v="December"/>
    <x v="11"/>
  </r>
  <r>
    <d v="2020-12-05T00:00:00"/>
    <x v="11"/>
    <x v="0"/>
    <n v="76200"/>
    <n v="138000"/>
    <x v="0"/>
    <x v="0"/>
    <x v="0"/>
    <n v="1"/>
    <n v="1007"/>
    <n v="1.0254394999999999E-2"/>
    <x v="3"/>
    <n v="61800"/>
    <n v="137.04069999999999"/>
    <x v="0"/>
    <s v="Low"/>
    <s v="Medium"/>
    <s v="December"/>
    <x v="11"/>
  </r>
  <r>
    <d v="2020-12-06T00:00:00"/>
    <x v="11"/>
    <x v="2"/>
    <n v="99800"/>
    <n v="215000"/>
    <x v="1"/>
    <x v="1"/>
    <x v="1"/>
    <n v="3"/>
    <n v="1111.6589814177564"/>
    <n v="1.0254394999999999E-2"/>
    <x v="1"/>
    <n v="115200"/>
    <n v="193.40459999999999"/>
    <x v="0"/>
    <s v="Medium"/>
    <s v="Medium"/>
    <s v="December"/>
    <x v="11"/>
  </r>
  <r>
    <d v="2020-12-07T00:00:00"/>
    <x v="11"/>
    <x v="3"/>
    <n v="2127440"/>
    <n v="3600000"/>
    <x v="0"/>
    <x v="0"/>
    <x v="0"/>
    <n v="2"/>
    <n v="1111.6589814177564"/>
    <n v="1.0254394999999999E-2"/>
    <x v="1"/>
    <n v="1472560"/>
    <n v="3238.4032000000002"/>
    <x v="0"/>
    <s v="High"/>
    <s v="Medium"/>
    <s v="December"/>
    <x v="11"/>
  </r>
  <r>
    <d v="2020-12-10T00:00:00"/>
    <x v="11"/>
    <x v="7"/>
    <n v="523840"/>
    <n v="665000"/>
    <x v="0"/>
    <x v="0"/>
    <x v="0"/>
    <n v="1"/>
    <n v="1021"/>
    <n v="1.0254394999999999E-2"/>
    <x v="1"/>
    <n v="141160"/>
    <n v="651.32219999999995"/>
    <x v="0"/>
    <s v="High"/>
    <s v="Medium"/>
    <s v="December"/>
    <x v="11"/>
  </r>
  <r>
    <d v="2020-12-11T00:00:00"/>
    <x v="11"/>
    <x v="3"/>
    <n v="879830"/>
    <n v="975000"/>
    <x v="0"/>
    <x v="0"/>
    <x v="0"/>
    <n v="2"/>
    <n v="1028"/>
    <n v="1.0254394999999999E-2"/>
    <x v="0"/>
    <n v="95170"/>
    <n v="948.44359999999995"/>
    <x v="0"/>
    <s v="High"/>
    <s v="Medium"/>
    <s v="December"/>
    <x v="11"/>
  </r>
  <r>
    <d v="2020-12-12T00:00:00"/>
    <x v="11"/>
    <x v="7"/>
    <n v="444584.20699999999"/>
    <n v="560000"/>
    <x v="1"/>
    <x v="1"/>
    <x v="1"/>
    <n v="2"/>
    <n v="1280"/>
    <n v="1.0254394999999999E-2"/>
    <x v="3"/>
    <n v="115415.79300000001"/>
    <n v="437.5"/>
    <x v="0"/>
    <s v="Medium"/>
    <s v="Medium"/>
    <s v="December"/>
    <x v="11"/>
  </r>
  <r>
    <d v="2020-12-17T00:00:00"/>
    <x v="11"/>
    <x v="3"/>
    <n v="1218700"/>
    <n v="1395000"/>
    <x v="0"/>
    <x v="0"/>
    <x v="0"/>
    <n v="2"/>
    <n v="961"/>
    <n v="1.0254394999999999E-2"/>
    <x v="3"/>
    <n v="176300"/>
    <n v="1451.6129000000001"/>
    <x v="0"/>
    <s v="High"/>
    <s v="Medium"/>
    <s v="December"/>
    <x v="11"/>
  </r>
  <r>
    <d v="2020-12-18T00:00:00"/>
    <x v="11"/>
    <x v="6"/>
    <n v="171990"/>
    <n v="190000"/>
    <x v="0"/>
    <x v="0"/>
    <x v="0"/>
    <n v="2"/>
    <n v="1092"/>
    <n v="1.0254394999999999E-2"/>
    <x v="3"/>
    <n v="18010"/>
    <n v="173.99270000000001"/>
    <x v="0"/>
    <s v="Low"/>
    <s v="Medium"/>
    <s v="December"/>
    <x v="11"/>
  </r>
  <r>
    <d v="2020-12-19T00:00:00"/>
    <x v="11"/>
    <x v="2"/>
    <n v="85920"/>
    <n v="205000"/>
    <x v="1"/>
    <x v="1"/>
    <x v="1"/>
    <n v="3"/>
    <n v="1250"/>
    <n v="1.0254394999999999E-2"/>
    <x v="0"/>
    <n v="119080"/>
    <n v="164"/>
    <x v="0"/>
    <s v="Medium"/>
    <s v="Medium"/>
    <s v="December"/>
    <x v="11"/>
  </r>
  <r>
    <d v="2020-12-20T00:00:00"/>
    <x v="11"/>
    <x v="2"/>
    <n v="106930"/>
    <n v="163000"/>
    <x v="0"/>
    <x v="0"/>
    <x v="0"/>
    <n v="1"/>
    <n v="965"/>
    <n v="1.0254394999999999E-2"/>
    <x v="1"/>
    <n v="56070"/>
    <n v="168.9119"/>
    <x v="0"/>
    <s v="Low"/>
    <s v="Medium"/>
    <s v="December"/>
    <x v="11"/>
  </r>
  <r>
    <d v="2020-12-21T00:00:00"/>
    <x v="11"/>
    <x v="7"/>
    <n v="604830"/>
    <n v="650000"/>
    <x v="0"/>
    <x v="0"/>
    <x v="0"/>
    <n v="2"/>
    <n v="1070"/>
    <n v="1.0254394999999999E-2"/>
    <x v="0"/>
    <n v="45170"/>
    <n v="607.47659999999996"/>
    <x v="0"/>
    <s v="High"/>
    <s v="Medium"/>
    <s v="December"/>
    <x v="11"/>
  </r>
  <r>
    <d v="2020-12-24T00:00:00"/>
    <x v="11"/>
    <x v="6"/>
    <n v="444584.20699999999"/>
    <n v="380000"/>
    <x v="0"/>
    <x v="0"/>
    <x v="0"/>
    <n v="2"/>
    <n v="1068"/>
    <n v="1.0254394999999999E-2"/>
    <x v="2"/>
    <n v="-64584.207000000002"/>
    <n v="355.80520000000001"/>
    <x v="1"/>
    <s v="Medium"/>
    <s v="Medium"/>
    <s v="December"/>
    <x v="11"/>
  </r>
  <r>
    <d v="2020-12-26T00:00:00"/>
    <x v="11"/>
    <x v="5"/>
    <n v="167160"/>
    <n v="269000"/>
    <x v="0"/>
    <x v="0"/>
    <x v="0"/>
    <n v="2"/>
    <n v="1097"/>
    <n v="1.0254394999999999E-2"/>
    <x v="3"/>
    <n v="101840"/>
    <n v="245.21420000000001"/>
    <x v="0"/>
    <s v="Medium"/>
    <s v="Medium"/>
    <s v="December"/>
    <x v="11"/>
  </r>
  <r>
    <d v="2020-12-28T00:00:00"/>
    <x v="11"/>
    <x v="4"/>
    <n v="158550"/>
    <n v="205000"/>
    <x v="0"/>
    <x v="0"/>
    <x v="0"/>
    <n v="1"/>
    <n v="926"/>
    <n v="1.0254394999999999E-2"/>
    <x v="3"/>
    <n v="46450"/>
    <n v="221.38229999999999"/>
    <x v="0"/>
    <s v="Medium"/>
    <s v="Medium"/>
    <s v="December"/>
    <x v="11"/>
  </r>
  <r>
    <d v="2021-01-04T00:00:00"/>
    <x v="12"/>
    <x v="0"/>
    <n v="444584.20699999999"/>
    <n v="125000"/>
    <x v="0"/>
    <x v="0"/>
    <x v="0"/>
    <n v="1"/>
    <n v="935"/>
    <n v="1.0234955E-2"/>
    <x v="2"/>
    <n v="-319584.20699999999"/>
    <n v="133.68979999999999"/>
    <x v="1"/>
    <s v="Low"/>
    <s v="Medium"/>
    <s v="January"/>
    <x v="0"/>
  </r>
  <r>
    <d v="2021-01-07T00:00:00"/>
    <x v="12"/>
    <x v="0"/>
    <n v="108580"/>
    <n v="81000"/>
    <x v="0"/>
    <x v="0"/>
    <x v="0"/>
    <n v="1"/>
    <n v="1111.6589814177564"/>
    <n v="1.0234955E-2"/>
    <x v="2"/>
    <n v="-27580"/>
    <n v="72.864099999999993"/>
    <x v="1"/>
    <s v="Low"/>
    <s v="Medium"/>
    <s v="January"/>
    <x v="0"/>
  </r>
  <r>
    <d v="2021-01-08T00:00:00"/>
    <x v="12"/>
    <x v="6"/>
    <n v="375060"/>
    <n v="610000"/>
    <x v="0"/>
    <x v="0"/>
    <x v="0"/>
    <n v="2"/>
    <n v="934"/>
    <n v="1.0234955E-2"/>
    <x v="1"/>
    <n v="234940"/>
    <n v="653.10490000000004"/>
    <x v="0"/>
    <s v="High"/>
    <s v="Medium"/>
    <s v="January"/>
    <x v="0"/>
  </r>
  <r>
    <d v="2021-01-10T00:00:00"/>
    <x v="12"/>
    <x v="5"/>
    <n v="540190"/>
    <n v="750000"/>
    <x v="1"/>
    <x v="1"/>
    <x v="1"/>
    <n v="3"/>
    <n v="1466"/>
    <n v="1.0234955E-2"/>
    <x v="2"/>
    <n v="209810"/>
    <n v="511.59620000000001"/>
    <x v="0"/>
    <s v="High"/>
    <s v="Large"/>
    <s v="January"/>
    <x v="0"/>
  </r>
  <r>
    <d v="2021-01-11T00:00:00"/>
    <x v="12"/>
    <x v="2"/>
    <n v="444584.20699999999"/>
    <n v="35000"/>
    <x v="0"/>
    <x v="0"/>
    <x v="0"/>
    <n v="3"/>
    <n v="1077"/>
    <n v="1.0234955E-2"/>
    <x v="3"/>
    <n v="-409584.20699999999"/>
    <n v="32.497700000000002"/>
    <x v="1"/>
    <s v="Low"/>
    <s v="Medium"/>
    <s v="January"/>
    <x v="0"/>
  </r>
  <r>
    <d v="2021-01-16T00:00:00"/>
    <x v="12"/>
    <x v="6"/>
    <n v="293510"/>
    <n v="386500"/>
    <x v="1"/>
    <x v="1"/>
    <x v="1"/>
    <n v="3"/>
    <n v="1410"/>
    <n v="1.0234955E-2"/>
    <x v="1"/>
    <n v="92990"/>
    <n v="274.11349999999999"/>
    <x v="0"/>
    <s v="Medium"/>
    <s v="Large"/>
    <s v="January"/>
    <x v="0"/>
  </r>
  <r>
    <d v="2021-01-17T00:00:00"/>
    <x v="12"/>
    <x v="0"/>
    <n v="80290"/>
    <n v="30000"/>
    <x v="0"/>
    <x v="0"/>
    <x v="0"/>
    <n v="2"/>
    <n v="951"/>
    <n v="1.0234955E-2"/>
    <x v="2"/>
    <n v="-50290"/>
    <n v="31.5457"/>
    <x v="1"/>
    <s v="Low"/>
    <s v="Medium"/>
    <s v="January"/>
    <x v="0"/>
  </r>
  <r>
    <d v="2021-01-18T00:00:00"/>
    <x v="12"/>
    <x v="7"/>
    <n v="267880"/>
    <n v="423150"/>
    <x v="0"/>
    <x v="0"/>
    <x v="0"/>
    <n v="3"/>
    <n v="1037"/>
    <n v="1.0234955E-2"/>
    <x v="3"/>
    <n v="155270"/>
    <n v="408.0521"/>
    <x v="0"/>
    <s v="Medium"/>
    <s v="Medium"/>
    <s v="January"/>
    <x v="0"/>
  </r>
  <r>
    <d v="2021-01-22T00:00:00"/>
    <x v="12"/>
    <x v="2"/>
    <n v="99360"/>
    <n v="130000"/>
    <x v="1"/>
    <x v="1"/>
    <x v="1"/>
    <n v="2"/>
    <n v="1308"/>
    <n v="1.0234955E-2"/>
    <x v="0"/>
    <n v="30640"/>
    <n v="99.388400000000004"/>
    <x v="0"/>
    <s v="Low"/>
    <s v="Large"/>
    <s v="January"/>
    <x v="0"/>
  </r>
  <r>
    <d v="2021-01-23T00:00:00"/>
    <x v="12"/>
    <x v="7"/>
    <n v="181090"/>
    <n v="2140000"/>
    <x v="0"/>
    <x v="0"/>
    <x v="0"/>
    <n v="2"/>
    <n v="1041"/>
    <n v="1.0234955E-2"/>
    <x v="2"/>
    <n v="1958910"/>
    <n v="2055.7157000000002"/>
    <x v="0"/>
    <s v="High"/>
    <s v="Medium"/>
    <s v="January"/>
    <x v="0"/>
  </r>
  <r>
    <d v="2021-01-24T00:00:00"/>
    <x v="12"/>
    <x v="2"/>
    <n v="74100"/>
    <n v="10800"/>
    <x v="0"/>
    <x v="0"/>
    <x v="0"/>
    <n v="2"/>
    <n v="999"/>
    <n v="1.0234955E-2"/>
    <x v="2"/>
    <n v="-63300"/>
    <n v="10.8108"/>
    <x v="1"/>
    <s v="Low"/>
    <s v="Medium"/>
    <s v="January"/>
    <x v="0"/>
  </r>
  <r>
    <d v="2021-01-25T00:00:00"/>
    <x v="12"/>
    <x v="6"/>
    <n v="162540"/>
    <n v="196000"/>
    <x v="0"/>
    <x v="0"/>
    <x v="0"/>
    <n v="2"/>
    <n v="904"/>
    <n v="1.0234955E-2"/>
    <x v="2"/>
    <n v="33460"/>
    <n v="216.8142"/>
    <x v="0"/>
    <s v="Low"/>
    <s v="Medium"/>
    <s v="January"/>
    <x v="0"/>
  </r>
  <r>
    <d v="2021-01-28T00:00:00"/>
    <x v="12"/>
    <x v="2"/>
    <n v="120710"/>
    <n v="230000"/>
    <x v="1"/>
    <x v="1"/>
    <x v="1"/>
    <n v="4"/>
    <n v="1431"/>
    <n v="1.0234955E-2"/>
    <x v="0"/>
    <n v="109290"/>
    <n v="160.7268"/>
    <x v="0"/>
    <s v="Medium"/>
    <s v="Large"/>
    <s v="January"/>
    <x v="0"/>
  </r>
  <r>
    <d v="2021-01-29T00:00:00"/>
    <x v="12"/>
    <x v="7"/>
    <n v="535690"/>
    <n v="630000"/>
    <x v="0"/>
    <x v="0"/>
    <x v="0"/>
    <n v="1"/>
    <n v="906"/>
    <n v="1.0234955E-2"/>
    <x v="0"/>
    <n v="94310"/>
    <n v="695.36419999999998"/>
    <x v="0"/>
    <s v="High"/>
    <s v="Medium"/>
    <s v="January"/>
    <x v="0"/>
  </r>
  <r>
    <d v="2021-01-31T00:00:00"/>
    <x v="12"/>
    <x v="2"/>
    <n v="444584.20699999999"/>
    <n v="85000"/>
    <x v="0"/>
    <x v="0"/>
    <x v="0"/>
    <n v="3"/>
    <n v="1011"/>
    <n v="1.0234955E-2"/>
    <x v="0"/>
    <n v="-359584.20699999999"/>
    <n v="84.075199999999995"/>
    <x v="1"/>
    <s v="Low"/>
    <s v="Medium"/>
    <s v="January"/>
    <x v="0"/>
  </r>
  <r>
    <d v="2021-02-04T00:00:00"/>
    <x v="12"/>
    <x v="5"/>
    <n v="2080190"/>
    <n v="3400000"/>
    <x v="0"/>
    <x v="0"/>
    <x v="0"/>
    <n v="3"/>
    <n v="1015"/>
    <n v="1.0234955E-2"/>
    <x v="1"/>
    <n v="1319810"/>
    <n v="3349.7537000000002"/>
    <x v="0"/>
    <s v="High"/>
    <s v="Medium"/>
    <s v="February"/>
    <x v="1"/>
  </r>
  <r>
    <d v="2021-02-05T00:00:00"/>
    <x v="12"/>
    <x v="2"/>
    <n v="134710"/>
    <n v="202000"/>
    <x v="2"/>
    <x v="2"/>
    <x v="2"/>
    <n v="6"/>
    <n v="1997"/>
    <n v="1.0234955E-2"/>
    <x v="3"/>
    <n v="67290"/>
    <n v="101.15170000000001"/>
    <x v="0"/>
    <s v="Medium"/>
    <s v="Large"/>
    <s v="February"/>
    <x v="1"/>
  </r>
  <r>
    <d v="2021-02-06T00:00:00"/>
    <x v="12"/>
    <x v="0"/>
    <n v="47310"/>
    <n v="53000"/>
    <x v="0"/>
    <x v="0"/>
    <x v="0"/>
    <n v="1"/>
    <n v="1062"/>
    <n v="1.0234955E-2"/>
    <x v="1"/>
    <n v="5690"/>
    <n v="49.905799999999999"/>
    <x v="0"/>
    <s v="Low"/>
    <s v="Medium"/>
    <s v="February"/>
    <x v="1"/>
  </r>
  <r>
    <d v="2021-02-07T00:00:00"/>
    <x v="12"/>
    <x v="2"/>
    <n v="91370"/>
    <n v="76000"/>
    <x v="0"/>
    <x v="0"/>
    <x v="0"/>
    <n v="1"/>
    <n v="1111.6589814177564"/>
    <n v="1.0234955E-2"/>
    <x v="1"/>
    <n v="-15370"/>
    <n v="68.366299999999995"/>
    <x v="1"/>
    <s v="Low"/>
    <s v="Medium"/>
    <s v="February"/>
    <x v="1"/>
  </r>
  <r>
    <d v="2021-02-08T00:00:00"/>
    <x v="12"/>
    <x v="0"/>
    <n v="83360"/>
    <n v="110500"/>
    <x v="1"/>
    <x v="1"/>
    <x v="1"/>
    <n v="3"/>
    <n v="1441"/>
    <n v="1.0234955E-2"/>
    <x v="0"/>
    <n v="27140"/>
    <n v="76.682900000000004"/>
    <x v="0"/>
    <s v="Low"/>
    <s v="Large"/>
    <s v="February"/>
    <x v="1"/>
  </r>
  <r>
    <d v="2021-02-11T00:00:00"/>
    <x v="12"/>
    <x v="2"/>
    <n v="396920"/>
    <n v="350000"/>
    <x v="0"/>
    <x v="0"/>
    <x v="0"/>
    <n v="3"/>
    <n v="1002"/>
    <n v="1.0234955E-2"/>
    <x v="1"/>
    <n v="-46920"/>
    <n v="349.3014"/>
    <x v="1"/>
    <s v="Medium"/>
    <s v="Medium"/>
    <s v="February"/>
    <x v="1"/>
  </r>
  <r>
    <d v="2021-02-13T00:00:00"/>
    <x v="12"/>
    <x v="3"/>
    <n v="444584.20699999999"/>
    <n v="1545000"/>
    <x v="0"/>
    <x v="0"/>
    <x v="0"/>
    <n v="1"/>
    <n v="1031"/>
    <n v="1.0234955E-2"/>
    <x v="0"/>
    <n v="1100415.7930000001"/>
    <n v="1498.5451"/>
    <x v="0"/>
    <s v="High"/>
    <s v="Medium"/>
    <s v="February"/>
    <x v="1"/>
  </r>
  <r>
    <d v="2021-02-19T00:00:00"/>
    <x v="12"/>
    <x v="2"/>
    <n v="170180"/>
    <n v="340000"/>
    <x v="1"/>
    <x v="1"/>
    <x v="1"/>
    <n v="3"/>
    <n v="1293"/>
    <n v="1.0234955E-2"/>
    <x v="1"/>
    <n v="169820"/>
    <n v="262.95440000000002"/>
    <x v="0"/>
    <s v="Medium"/>
    <s v="Medium"/>
    <s v="February"/>
    <x v="1"/>
  </r>
  <r>
    <d v="2021-02-20T00:00:00"/>
    <x v="12"/>
    <x v="2"/>
    <n v="122270"/>
    <n v="375000"/>
    <x v="1"/>
    <x v="1"/>
    <x v="1"/>
    <n v="4"/>
    <n v="1371"/>
    <n v="1.0234955E-2"/>
    <x v="0"/>
    <n v="252730"/>
    <n v="273.52300000000002"/>
    <x v="0"/>
    <s v="Medium"/>
    <s v="Large"/>
    <s v="February"/>
    <x v="1"/>
  </r>
  <r>
    <d v="2021-02-25T00:00:00"/>
    <x v="12"/>
    <x v="5"/>
    <n v="1856330"/>
    <n v="2340146"/>
    <x v="0"/>
    <x v="0"/>
    <x v="0"/>
    <n v="1"/>
    <n v="978"/>
    <n v="1.0234955E-2"/>
    <x v="1"/>
    <n v="483816"/>
    <n v="2392.7873"/>
    <x v="0"/>
    <s v="High"/>
    <s v="Medium"/>
    <s v="February"/>
    <x v="1"/>
  </r>
  <r>
    <d v="2021-02-26T00:00:00"/>
    <x v="12"/>
    <x v="4"/>
    <n v="280350"/>
    <n v="415000"/>
    <x v="0"/>
    <x v="0"/>
    <x v="0"/>
    <n v="2"/>
    <n v="1065"/>
    <n v="1.0234955E-2"/>
    <x v="2"/>
    <n v="134650"/>
    <n v="389.67140000000001"/>
    <x v="0"/>
    <s v="Medium"/>
    <s v="Medium"/>
    <s v="February"/>
    <x v="1"/>
  </r>
  <r>
    <d v="2021-02-27T00:00:00"/>
    <x v="12"/>
    <x v="2"/>
    <n v="740010"/>
    <n v="770000"/>
    <x v="0"/>
    <x v="0"/>
    <x v="0"/>
    <n v="1"/>
    <n v="1111.6589814177564"/>
    <n v="1.0234955E-2"/>
    <x v="2"/>
    <n v="29990"/>
    <n v="692.6585"/>
    <x v="0"/>
    <s v="High"/>
    <s v="Medium"/>
    <s v="February"/>
    <x v="1"/>
  </r>
  <r>
    <d v="2021-02-28T00:00:00"/>
    <x v="12"/>
    <x v="0"/>
    <n v="56070"/>
    <n v="70000"/>
    <x v="0"/>
    <x v="0"/>
    <x v="0"/>
    <n v="2"/>
    <n v="1078"/>
    <n v="1.0234955E-2"/>
    <x v="1"/>
    <n v="13930"/>
    <n v="64.935100000000006"/>
    <x v="0"/>
    <s v="Low"/>
    <s v="Medium"/>
    <s v="February"/>
    <x v="1"/>
  </r>
  <r>
    <d v="2021-03-01T00:00:00"/>
    <x v="12"/>
    <x v="5"/>
    <n v="75740"/>
    <n v="45000"/>
    <x v="0"/>
    <x v="0"/>
    <x v="0"/>
    <n v="3"/>
    <n v="911"/>
    <n v="1.0234955E-2"/>
    <x v="2"/>
    <n v="-30740"/>
    <n v="49.396299999999997"/>
    <x v="1"/>
    <s v="Low"/>
    <s v="Medium"/>
    <s v="March"/>
    <x v="2"/>
  </r>
  <r>
    <d v="2021-03-04T00:00:00"/>
    <x v="12"/>
    <x v="4"/>
    <n v="1037750"/>
    <n v="1325000"/>
    <x v="0"/>
    <x v="0"/>
    <x v="0"/>
    <n v="3"/>
    <n v="903"/>
    <n v="1.0234955E-2"/>
    <x v="0"/>
    <n v="287250"/>
    <n v="1467.3311000000001"/>
    <x v="0"/>
    <s v="High"/>
    <s v="Medium"/>
    <s v="March"/>
    <x v="2"/>
  </r>
  <r>
    <d v="2021-03-05T00:00:00"/>
    <x v="12"/>
    <x v="2"/>
    <n v="101920"/>
    <n v="190550"/>
    <x v="0"/>
    <x v="0"/>
    <x v="0"/>
    <n v="1"/>
    <n v="966"/>
    <n v="1.0234955E-2"/>
    <x v="0"/>
    <n v="88630"/>
    <n v="197.2567"/>
    <x v="0"/>
    <s v="Low"/>
    <s v="Medium"/>
    <s v="March"/>
    <x v="2"/>
  </r>
  <r>
    <d v="2021-03-06T00:00:00"/>
    <x v="12"/>
    <x v="0"/>
    <n v="112920"/>
    <n v="227501"/>
    <x v="0"/>
    <x v="0"/>
    <x v="0"/>
    <n v="1"/>
    <n v="1038"/>
    <n v="1.0234955E-2"/>
    <x v="0"/>
    <n v="114581"/>
    <n v="219.17240000000001"/>
    <x v="0"/>
    <s v="Medium"/>
    <s v="Medium"/>
    <s v="March"/>
    <x v="2"/>
  </r>
  <r>
    <d v="2021-03-07T00:00:00"/>
    <x v="12"/>
    <x v="2"/>
    <n v="100760"/>
    <n v="21000"/>
    <x v="0"/>
    <x v="0"/>
    <x v="0"/>
    <n v="1"/>
    <n v="1020"/>
    <n v="1.0234955E-2"/>
    <x v="2"/>
    <n v="-79760"/>
    <n v="20.588200000000001"/>
    <x v="1"/>
    <s v="Low"/>
    <s v="Medium"/>
    <s v="March"/>
    <x v="2"/>
  </r>
  <r>
    <d v="2021-03-08T00:00:00"/>
    <x v="12"/>
    <x v="3"/>
    <n v="323400"/>
    <n v="725000"/>
    <x v="1"/>
    <x v="1"/>
    <x v="1"/>
    <n v="2"/>
    <n v="1358"/>
    <n v="1.0234955E-2"/>
    <x v="0"/>
    <n v="401600"/>
    <n v="533.87329999999997"/>
    <x v="0"/>
    <s v="High"/>
    <s v="Large"/>
    <s v="March"/>
    <x v="2"/>
  </r>
  <r>
    <d v="2021-03-11T00:00:00"/>
    <x v="12"/>
    <x v="5"/>
    <n v="78770"/>
    <n v="145900"/>
    <x v="0"/>
    <x v="0"/>
    <x v="0"/>
    <n v="3"/>
    <n v="956"/>
    <n v="1.0234955E-2"/>
    <x v="3"/>
    <n v="67130"/>
    <n v="152.61510000000001"/>
    <x v="0"/>
    <s v="Low"/>
    <s v="Medium"/>
    <s v="March"/>
    <x v="2"/>
  </r>
  <r>
    <d v="2021-03-12T00:00:00"/>
    <x v="12"/>
    <x v="0"/>
    <n v="444584.20699999999"/>
    <n v="10000"/>
    <x v="0"/>
    <x v="0"/>
    <x v="0"/>
    <n v="3"/>
    <n v="932"/>
    <n v="1.0234955E-2"/>
    <x v="1"/>
    <n v="-434584.20699999999"/>
    <n v="10.7296"/>
    <x v="1"/>
    <s v="Low"/>
    <s v="Medium"/>
    <s v="March"/>
    <x v="2"/>
  </r>
  <r>
    <d v="2021-03-13T00:00:00"/>
    <x v="12"/>
    <x v="0"/>
    <n v="90020"/>
    <n v="106000"/>
    <x v="0"/>
    <x v="0"/>
    <x v="0"/>
    <n v="3"/>
    <n v="1111.6589814177564"/>
    <n v="1.0234955E-2"/>
    <x v="1"/>
    <n v="15980"/>
    <n v="95.352999999999994"/>
    <x v="0"/>
    <s v="Low"/>
    <s v="Medium"/>
    <s v="March"/>
    <x v="2"/>
  </r>
  <r>
    <d v="2021-03-15T00:00:00"/>
    <x v="12"/>
    <x v="4"/>
    <n v="393540"/>
    <n v="375000"/>
    <x v="0"/>
    <x v="0"/>
    <x v="0"/>
    <n v="3"/>
    <n v="1111.6589814177564"/>
    <n v="1.0234955E-2"/>
    <x v="0"/>
    <n v="-18540"/>
    <n v="337.33370000000002"/>
    <x v="1"/>
    <s v="Medium"/>
    <s v="Medium"/>
    <s v="March"/>
    <x v="2"/>
  </r>
  <r>
    <d v="2021-03-18T00:00:00"/>
    <x v="12"/>
    <x v="6"/>
    <n v="101080"/>
    <n v="127500"/>
    <x v="0"/>
    <x v="0"/>
    <x v="0"/>
    <n v="1"/>
    <n v="1067"/>
    <n v="1.0234955E-2"/>
    <x v="3"/>
    <n v="26420"/>
    <n v="119.4939"/>
    <x v="0"/>
    <s v="Low"/>
    <s v="Medium"/>
    <s v="March"/>
    <x v="2"/>
  </r>
  <r>
    <d v="2021-03-19T00:00:00"/>
    <x v="12"/>
    <x v="4"/>
    <n v="444584.20699999999"/>
    <n v="425000"/>
    <x v="0"/>
    <x v="0"/>
    <x v="0"/>
    <n v="3"/>
    <n v="976"/>
    <n v="1.0234955E-2"/>
    <x v="2"/>
    <n v="-19584.206999999999"/>
    <n v="435.45080000000002"/>
    <x v="1"/>
    <s v="Medium"/>
    <s v="Medium"/>
    <s v="March"/>
    <x v="2"/>
  </r>
  <r>
    <d v="2021-03-21T00:00:00"/>
    <x v="12"/>
    <x v="0"/>
    <n v="178740"/>
    <n v="260000"/>
    <x v="0"/>
    <x v="0"/>
    <x v="0"/>
    <n v="3"/>
    <n v="1032"/>
    <n v="1.0234955E-2"/>
    <x v="2"/>
    <n v="81260"/>
    <n v="251.93799999999999"/>
    <x v="0"/>
    <s v="Medium"/>
    <s v="Medium"/>
    <s v="March"/>
    <x v="2"/>
  </r>
  <r>
    <d v="2021-03-22T00:00:00"/>
    <x v="12"/>
    <x v="2"/>
    <n v="136490"/>
    <n v="283500"/>
    <x v="0"/>
    <x v="0"/>
    <x v="0"/>
    <n v="1"/>
    <n v="973"/>
    <n v="1.0234955E-2"/>
    <x v="2"/>
    <n v="147010"/>
    <n v="291.36689999999999"/>
    <x v="0"/>
    <s v="Medium"/>
    <s v="Medium"/>
    <s v="March"/>
    <x v="2"/>
  </r>
  <r>
    <d v="2021-03-25T00:00:00"/>
    <x v="12"/>
    <x v="3"/>
    <n v="2624230"/>
    <n v="3850000"/>
    <x v="0"/>
    <x v="0"/>
    <x v="0"/>
    <n v="1"/>
    <n v="991"/>
    <n v="1.0234955E-2"/>
    <x v="0"/>
    <n v="1225770"/>
    <n v="3884.9647"/>
    <x v="0"/>
    <s v="High"/>
    <s v="Medium"/>
    <s v="March"/>
    <x v="2"/>
  </r>
  <r>
    <d v="2021-03-27T00:00:00"/>
    <x v="12"/>
    <x v="7"/>
    <n v="444584.20699999999"/>
    <n v="599000"/>
    <x v="0"/>
    <x v="0"/>
    <x v="0"/>
    <n v="1"/>
    <n v="914"/>
    <n v="1.0234955E-2"/>
    <x v="3"/>
    <n v="154415.79300000001"/>
    <n v="655.36109999999996"/>
    <x v="0"/>
    <s v="Medium"/>
    <s v="Medium"/>
    <s v="March"/>
    <x v="2"/>
  </r>
  <r>
    <d v="2021-03-28T00:00:00"/>
    <x v="12"/>
    <x v="0"/>
    <n v="35160"/>
    <n v="32000"/>
    <x v="0"/>
    <x v="0"/>
    <x v="0"/>
    <n v="3"/>
    <n v="1097"/>
    <n v="1.0234955E-2"/>
    <x v="0"/>
    <n v="-3160"/>
    <n v="29.170500000000001"/>
    <x v="1"/>
    <s v="Low"/>
    <s v="Medium"/>
    <s v="March"/>
    <x v="2"/>
  </r>
  <r>
    <d v="2021-03-29T00:00:00"/>
    <x v="12"/>
    <x v="7"/>
    <n v="256180"/>
    <n v="512500"/>
    <x v="0"/>
    <x v="0"/>
    <x v="0"/>
    <n v="3"/>
    <n v="1013"/>
    <n v="1.0234955E-2"/>
    <x v="0"/>
    <n v="256320"/>
    <n v="505.923"/>
    <x v="0"/>
    <s v="Medium"/>
    <s v="Medium"/>
    <s v="March"/>
    <x v="2"/>
  </r>
  <r>
    <d v="2021-04-01T00:00:00"/>
    <x v="12"/>
    <x v="2"/>
    <n v="103010"/>
    <n v="205000"/>
    <x v="1"/>
    <x v="1"/>
    <x v="1"/>
    <n v="4"/>
    <n v="1249"/>
    <n v="1.0234955E-2"/>
    <x v="1"/>
    <n v="101990"/>
    <n v="164.13130000000001"/>
    <x v="0"/>
    <s v="Medium"/>
    <s v="Medium"/>
    <s v="April"/>
    <x v="3"/>
  </r>
  <r>
    <d v="2021-04-02T00:00:00"/>
    <x v="12"/>
    <x v="5"/>
    <n v="310060"/>
    <n v="530000"/>
    <x v="0"/>
    <x v="0"/>
    <x v="0"/>
    <n v="1"/>
    <n v="952"/>
    <n v="1.0234955E-2"/>
    <x v="0"/>
    <n v="219940"/>
    <n v="556.72270000000003"/>
    <x v="0"/>
    <s v="Medium"/>
    <s v="Medium"/>
    <s v="April"/>
    <x v="3"/>
  </r>
  <r>
    <d v="2021-04-03T00:00:00"/>
    <x v="12"/>
    <x v="5"/>
    <n v="163930"/>
    <n v="90000"/>
    <x v="0"/>
    <x v="0"/>
    <x v="0"/>
    <n v="3"/>
    <n v="1015"/>
    <n v="1.0234955E-2"/>
    <x v="1"/>
    <n v="-73930"/>
    <n v="88.67"/>
    <x v="1"/>
    <s v="Low"/>
    <s v="Medium"/>
    <s v="April"/>
    <x v="3"/>
  </r>
  <r>
    <d v="2021-04-04T00:00:00"/>
    <x v="12"/>
    <x v="2"/>
    <n v="127170"/>
    <n v="355000"/>
    <x v="1"/>
    <x v="1"/>
    <x v="1"/>
    <n v="3"/>
    <n v="1346"/>
    <n v="1.0234955E-2"/>
    <x v="1"/>
    <n v="227830"/>
    <n v="263.74439999999998"/>
    <x v="0"/>
    <s v="Medium"/>
    <s v="Large"/>
    <s v="April"/>
    <x v="3"/>
  </r>
  <r>
    <d v="2021-04-05T00:00:00"/>
    <x v="12"/>
    <x v="0"/>
    <n v="68340"/>
    <n v="35000"/>
    <x v="0"/>
    <x v="0"/>
    <x v="0"/>
    <n v="1"/>
    <n v="969"/>
    <n v="1.0234955E-2"/>
    <x v="3"/>
    <n v="-33340"/>
    <n v="36.119700000000002"/>
    <x v="1"/>
    <s v="Low"/>
    <s v="Medium"/>
    <s v="April"/>
    <x v="3"/>
  </r>
  <r>
    <d v="2021-04-09T00:00:00"/>
    <x v="12"/>
    <x v="2"/>
    <n v="103350"/>
    <n v="250000"/>
    <x v="0"/>
    <x v="0"/>
    <x v="0"/>
    <n v="1"/>
    <n v="1066"/>
    <n v="1.0234955E-2"/>
    <x v="2"/>
    <n v="146650"/>
    <n v="234.52160000000001"/>
    <x v="0"/>
    <s v="Medium"/>
    <s v="Medium"/>
    <s v="April"/>
    <x v="3"/>
  </r>
  <r>
    <d v="2021-04-11T00:00:00"/>
    <x v="12"/>
    <x v="7"/>
    <n v="444584.20699999999"/>
    <n v="550000"/>
    <x v="3"/>
    <x v="3"/>
    <x v="3"/>
    <n v="7"/>
    <n v="2412"/>
    <n v="1.0234955E-2"/>
    <x v="2"/>
    <n v="105415.79300000001"/>
    <n v="228.0265"/>
    <x v="0"/>
    <s v="Medium"/>
    <s v="Large"/>
    <s v="April"/>
    <x v="3"/>
  </r>
  <r>
    <d v="2021-04-15T00:00:00"/>
    <x v="12"/>
    <x v="0"/>
    <n v="95580"/>
    <n v="145000"/>
    <x v="2"/>
    <x v="2"/>
    <x v="2"/>
    <n v="5"/>
    <n v="2166"/>
    <n v="1.0234955E-2"/>
    <x v="1"/>
    <n v="49420"/>
    <n v="66.943700000000007"/>
    <x v="0"/>
    <s v="Low"/>
    <s v="Large"/>
    <s v="April"/>
    <x v="3"/>
  </r>
  <r>
    <d v="2021-04-16T00:00:00"/>
    <x v="12"/>
    <x v="4"/>
    <n v="846020"/>
    <n v="1670000"/>
    <x v="0"/>
    <x v="0"/>
    <x v="0"/>
    <n v="1"/>
    <n v="977"/>
    <n v="1.0234955E-2"/>
    <x v="0"/>
    <n v="823980"/>
    <n v="1709.3142"/>
    <x v="0"/>
    <s v="High"/>
    <s v="Medium"/>
    <s v="April"/>
    <x v="3"/>
  </r>
  <r>
    <d v="2021-04-17T00:00:00"/>
    <x v="12"/>
    <x v="2"/>
    <n v="90890"/>
    <n v="208000"/>
    <x v="0"/>
    <x v="0"/>
    <x v="0"/>
    <n v="3"/>
    <n v="941"/>
    <n v="1.0234955E-2"/>
    <x v="3"/>
    <n v="117110"/>
    <n v="221.04140000000001"/>
    <x v="0"/>
    <s v="Medium"/>
    <s v="Medium"/>
    <s v="April"/>
    <x v="3"/>
  </r>
  <r>
    <d v="2021-04-18T00:00:00"/>
    <x v="12"/>
    <x v="7"/>
    <n v="559110"/>
    <n v="889000"/>
    <x v="0"/>
    <x v="0"/>
    <x v="0"/>
    <n v="3"/>
    <n v="1041"/>
    <n v="1.0234955E-2"/>
    <x v="3"/>
    <n v="329890"/>
    <n v="853.98659999999995"/>
    <x v="0"/>
    <s v="High"/>
    <s v="Medium"/>
    <s v="April"/>
    <x v="3"/>
  </r>
  <r>
    <d v="2021-04-23T00:00:00"/>
    <x v="12"/>
    <x v="2"/>
    <n v="133310"/>
    <n v="223125"/>
    <x v="1"/>
    <x v="1"/>
    <x v="1"/>
    <n v="2"/>
    <n v="1222"/>
    <n v="1.0234955E-2"/>
    <x v="0"/>
    <n v="89815"/>
    <n v="182.59"/>
    <x v="0"/>
    <s v="Medium"/>
    <s v="Medium"/>
    <s v="April"/>
    <x v="3"/>
  </r>
  <r>
    <d v="2021-04-25T00:00:00"/>
    <x v="12"/>
    <x v="2"/>
    <n v="80510"/>
    <n v="195000"/>
    <x v="0"/>
    <x v="0"/>
    <x v="0"/>
    <n v="1"/>
    <n v="1100"/>
    <n v="1.0234955E-2"/>
    <x v="2"/>
    <n v="114490"/>
    <n v="177.27269999999999"/>
    <x v="0"/>
    <s v="Low"/>
    <s v="Medium"/>
    <s v="April"/>
    <x v="3"/>
  </r>
  <r>
    <d v="2021-04-26T00:00:00"/>
    <x v="12"/>
    <x v="4"/>
    <n v="2890790"/>
    <n v="3000000"/>
    <x v="0"/>
    <x v="0"/>
    <x v="0"/>
    <n v="3"/>
    <n v="985"/>
    <n v="1.0234955E-2"/>
    <x v="2"/>
    <n v="109210"/>
    <n v="3045.6853000000001"/>
    <x v="0"/>
    <s v="High"/>
    <s v="Medium"/>
    <s v="April"/>
    <x v="3"/>
  </r>
  <r>
    <d v="2021-04-30T00:00:00"/>
    <x v="12"/>
    <x v="3"/>
    <n v="5958120"/>
    <n v="9400000"/>
    <x v="0"/>
    <x v="0"/>
    <x v="0"/>
    <n v="3"/>
    <n v="1080"/>
    <n v="1.0234955E-2"/>
    <x v="2"/>
    <n v="3441880"/>
    <n v="8703.7037"/>
    <x v="0"/>
    <s v="High"/>
    <s v="Medium"/>
    <s v="April"/>
    <x v="3"/>
  </r>
  <r>
    <d v="2021-05-01T00:00:00"/>
    <x v="12"/>
    <x v="2"/>
    <n v="123490"/>
    <n v="180000"/>
    <x v="0"/>
    <x v="0"/>
    <x v="0"/>
    <n v="1"/>
    <n v="1035"/>
    <n v="1.0234955E-2"/>
    <x v="0"/>
    <n v="56510"/>
    <n v="173.91300000000001"/>
    <x v="0"/>
    <s v="Low"/>
    <s v="Medium"/>
    <s v="May"/>
    <x v="4"/>
  </r>
  <r>
    <d v="2021-05-02T00:00:00"/>
    <x v="12"/>
    <x v="3"/>
    <n v="992040"/>
    <n v="1275000"/>
    <x v="0"/>
    <x v="0"/>
    <x v="0"/>
    <n v="1"/>
    <n v="904"/>
    <n v="1.0234955E-2"/>
    <x v="0"/>
    <n v="282960"/>
    <n v="1410.3982000000001"/>
    <x v="0"/>
    <s v="High"/>
    <s v="Medium"/>
    <s v="May"/>
    <x v="4"/>
  </r>
  <r>
    <d v="2021-05-03T00:00:00"/>
    <x v="12"/>
    <x v="0"/>
    <n v="65540"/>
    <n v="135000"/>
    <x v="0"/>
    <x v="0"/>
    <x v="0"/>
    <n v="1"/>
    <n v="981"/>
    <n v="1.0234955E-2"/>
    <x v="0"/>
    <n v="69460"/>
    <n v="137.6147"/>
    <x v="0"/>
    <s v="Low"/>
    <s v="Medium"/>
    <s v="May"/>
    <x v="4"/>
  </r>
  <r>
    <d v="2021-05-06T00:00:00"/>
    <x v="12"/>
    <x v="0"/>
    <n v="133000"/>
    <n v="163500"/>
    <x v="0"/>
    <x v="0"/>
    <x v="0"/>
    <n v="2"/>
    <n v="945"/>
    <n v="1.0234955E-2"/>
    <x v="0"/>
    <n v="30500"/>
    <n v="173.01589999999999"/>
    <x v="0"/>
    <s v="Low"/>
    <s v="Medium"/>
    <s v="May"/>
    <x v="4"/>
  </r>
  <r>
    <d v="2021-05-08T00:00:00"/>
    <x v="12"/>
    <x v="3"/>
    <n v="801920"/>
    <n v="1165000"/>
    <x v="0"/>
    <x v="0"/>
    <x v="0"/>
    <n v="2"/>
    <n v="937"/>
    <n v="1.0234955E-2"/>
    <x v="0"/>
    <n v="363080"/>
    <n v="1243.3298"/>
    <x v="0"/>
    <s v="High"/>
    <s v="Medium"/>
    <s v="May"/>
    <x v="4"/>
  </r>
  <r>
    <d v="2021-05-10T00:00:00"/>
    <x v="12"/>
    <x v="4"/>
    <n v="306670"/>
    <n v="398000"/>
    <x v="0"/>
    <x v="0"/>
    <x v="0"/>
    <n v="1"/>
    <n v="967"/>
    <n v="1.0234955E-2"/>
    <x v="0"/>
    <n v="91330"/>
    <n v="411.5822"/>
    <x v="0"/>
    <s v="Medium"/>
    <s v="Medium"/>
    <s v="May"/>
    <x v="4"/>
  </r>
  <r>
    <d v="2021-05-13T00:00:00"/>
    <x v="12"/>
    <x v="2"/>
    <n v="127430"/>
    <n v="250000"/>
    <x v="2"/>
    <x v="2"/>
    <x v="2"/>
    <n v="6"/>
    <n v="2103"/>
    <n v="1.0234955E-2"/>
    <x v="1"/>
    <n v="122570"/>
    <n v="118.87779999999999"/>
    <x v="0"/>
    <s v="Medium"/>
    <s v="Large"/>
    <s v="May"/>
    <x v="4"/>
  </r>
  <r>
    <d v="2021-05-14T00:00:00"/>
    <x v="12"/>
    <x v="6"/>
    <n v="559650"/>
    <n v="835000"/>
    <x v="0"/>
    <x v="0"/>
    <x v="0"/>
    <n v="3"/>
    <n v="1111.6589814177564"/>
    <n v="1.0234955E-2"/>
    <x v="1"/>
    <n v="275350"/>
    <n v="751.12959999999998"/>
    <x v="0"/>
    <s v="High"/>
    <s v="Medium"/>
    <s v="May"/>
    <x v="4"/>
  </r>
  <r>
    <d v="2021-05-16T00:00:00"/>
    <x v="12"/>
    <x v="5"/>
    <n v="126770"/>
    <n v="222000"/>
    <x v="0"/>
    <x v="0"/>
    <x v="0"/>
    <n v="2"/>
    <n v="1036"/>
    <n v="1.0234955E-2"/>
    <x v="3"/>
    <n v="95230"/>
    <n v="214.28569999999999"/>
    <x v="0"/>
    <s v="Medium"/>
    <s v="Medium"/>
    <s v="May"/>
    <x v="4"/>
  </r>
  <r>
    <d v="2021-05-20T00:00:00"/>
    <x v="12"/>
    <x v="2"/>
    <n v="444584.20699999999"/>
    <n v="165000"/>
    <x v="0"/>
    <x v="0"/>
    <x v="0"/>
    <n v="2"/>
    <n v="974"/>
    <n v="1.0234955E-2"/>
    <x v="0"/>
    <n v="-279584.20699999999"/>
    <n v="169.40450000000001"/>
    <x v="1"/>
    <s v="Low"/>
    <s v="Medium"/>
    <s v="May"/>
    <x v="4"/>
  </r>
  <r>
    <d v="2021-05-21T00:00:00"/>
    <x v="12"/>
    <x v="7"/>
    <n v="297890"/>
    <n v="395000"/>
    <x v="0"/>
    <x v="0"/>
    <x v="0"/>
    <n v="3"/>
    <n v="980"/>
    <n v="1.0234955E-2"/>
    <x v="1"/>
    <n v="97110"/>
    <n v="403.06119999999999"/>
    <x v="0"/>
    <s v="Medium"/>
    <s v="Medium"/>
    <s v="May"/>
    <x v="4"/>
  </r>
  <r>
    <d v="2021-05-22T00:00:00"/>
    <x v="12"/>
    <x v="5"/>
    <n v="1204000"/>
    <n v="2120000"/>
    <x v="0"/>
    <x v="0"/>
    <x v="0"/>
    <n v="3"/>
    <n v="1111.6589814177564"/>
    <n v="1.0234955E-2"/>
    <x v="0"/>
    <n v="916000"/>
    <n v="1907.0597"/>
    <x v="0"/>
    <s v="High"/>
    <s v="Medium"/>
    <s v="May"/>
    <x v="4"/>
  </r>
  <r>
    <d v="2021-05-23T00:00:00"/>
    <x v="12"/>
    <x v="3"/>
    <n v="3303300"/>
    <n v="3500000"/>
    <x v="0"/>
    <x v="0"/>
    <x v="0"/>
    <n v="2"/>
    <n v="1097"/>
    <n v="1.0234955E-2"/>
    <x v="2"/>
    <n v="196700"/>
    <n v="3190.5196000000001"/>
    <x v="0"/>
    <s v="High"/>
    <s v="Medium"/>
    <s v="May"/>
    <x v="4"/>
  </r>
  <r>
    <d v="2021-05-24T00:00:00"/>
    <x v="12"/>
    <x v="3"/>
    <n v="666190"/>
    <n v="870000"/>
    <x v="0"/>
    <x v="0"/>
    <x v="0"/>
    <n v="1"/>
    <n v="1062"/>
    <n v="1.0234955E-2"/>
    <x v="3"/>
    <n v="203810"/>
    <n v="819.20899999999995"/>
    <x v="0"/>
    <s v="High"/>
    <s v="Medium"/>
    <s v="May"/>
    <x v="4"/>
  </r>
  <r>
    <d v="2021-05-28T00:00:00"/>
    <x v="12"/>
    <x v="6"/>
    <n v="149730"/>
    <n v="237000"/>
    <x v="0"/>
    <x v="0"/>
    <x v="0"/>
    <n v="1"/>
    <n v="991"/>
    <n v="1.0234955E-2"/>
    <x v="3"/>
    <n v="87270"/>
    <n v="239.1524"/>
    <x v="0"/>
    <s v="Medium"/>
    <s v="Medium"/>
    <s v="May"/>
    <x v="4"/>
  </r>
  <r>
    <d v="2021-05-30T00:00:00"/>
    <x v="12"/>
    <x v="7"/>
    <n v="399360"/>
    <n v="492000"/>
    <x v="0"/>
    <x v="0"/>
    <x v="0"/>
    <n v="3"/>
    <n v="971"/>
    <n v="1.0234955E-2"/>
    <x v="1"/>
    <n v="92640"/>
    <n v="506.69409999999999"/>
    <x v="0"/>
    <s v="Medium"/>
    <s v="Medium"/>
    <s v="May"/>
    <x v="4"/>
  </r>
  <r>
    <d v="2021-05-31T00:00:00"/>
    <x v="12"/>
    <x v="4"/>
    <n v="306950"/>
    <n v="592000"/>
    <x v="0"/>
    <x v="0"/>
    <x v="0"/>
    <n v="3"/>
    <n v="1111.6589814177564"/>
    <n v="1.0234955E-2"/>
    <x v="1"/>
    <n v="285050"/>
    <n v="532.53740000000005"/>
    <x v="0"/>
    <s v="Medium"/>
    <s v="Medium"/>
    <s v="May"/>
    <x v="4"/>
  </r>
  <r>
    <d v="2021-06-02T00:00:00"/>
    <x v="12"/>
    <x v="0"/>
    <n v="71870"/>
    <n v="130000"/>
    <x v="0"/>
    <x v="0"/>
    <x v="0"/>
    <n v="2"/>
    <n v="1059"/>
    <n v="1.0234955E-2"/>
    <x v="3"/>
    <n v="58130"/>
    <n v="122.7573"/>
    <x v="0"/>
    <s v="Low"/>
    <s v="Medium"/>
    <s v="June"/>
    <x v="5"/>
  </r>
  <r>
    <d v="2021-06-03T00:00:00"/>
    <x v="12"/>
    <x v="0"/>
    <n v="92140"/>
    <n v="210000"/>
    <x v="3"/>
    <x v="3"/>
    <x v="3"/>
    <n v="6"/>
    <n v="2506"/>
    <n v="1.0234955E-2"/>
    <x v="2"/>
    <n v="117860"/>
    <n v="83.798900000000003"/>
    <x v="0"/>
    <s v="Medium"/>
    <s v="Large"/>
    <s v="June"/>
    <x v="5"/>
  </r>
  <r>
    <d v="2021-06-04T00:00:00"/>
    <x v="12"/>
    <x v="7"/>
    <n v="633100"/>
    <n v="845000"/>
    <x v="0"/>
    <x v="0"/>
    <x v="0"/>
    <n v="1"/>
    <n v="931"/>
    <n v="1.0234955E-2"/>
    <x v="0"/>
    <n v="211900"/>
    <n v="907.62620000000004"/>
    <x v="0"/>
    <s v="High"/>
    <s v="Medium"/>
    <s v="June"/>
    <x v="5"/>
  </r>
  <r>
    <d v="2021-06-05T00:00:00"/>
    <x v="12"/>
    <x v="4"/>
    <n v="444220"/>
    <n v="900000"/>
    <x v="0"/>
    <x v="0"/>
    <x v="0"/>
    <n v="1"/>
    <n v="1083"/>
    <n v="1.0234955E-2"/>
    <x v="3"/>
    <n v="455780"/>
    <n v="831.0249"/>
    <x v="0"/>
    <s v="High"/>
    <s v="Medium"/>
    <s v="June"/>
    <x v="5"/>
  </r>
  <r>
    <d v="2021-06-07T00:00:00"/>
    <x v="12"/>
    <x v="5"/>
    <n v="612920"/>
    <n v="875000"/>
    <x v="0"/>
    <x v="0"/>
    <x v="0"/>
    <n v="3"/>
    <n v="1111.6589814177564"/>
    <n v="1.0234955E-2"/>
    <x v="3"/>
    <n v="262080"/>
    <n v="787.11189999999999"/>
    <x v="0"/>
    <s v="High"/>
    <s v="Medium"/>
    <s v="June"/>
    <x v="5"/>
  </r>
  <r>
    <d v="2021-06-10T00:00:00"/>
    <x v="12"/>
    <x v="5"/>
    <n v="145450"/>
    <n v="268000"/>
    <x v="0"/>
    <x v="0"/>
    <x v="0"/>
    <n v="1"/>
    <n v="1096"/>
    <n v="1.0234955E-2"/>
    <x v="2"/>
    <n v="122550"/>
    <n v="244.52549999999999"/>
    <x v="0"/>
    <s v="Medium"/>
    <s v="Medium"/>
    <s v="June"/>
    <x v="5"/>
  </r>
  <r>
    <d v="2021-06-11T00:00:00"/>
    <x v="12"/>
    <x v="7"/>
    <n v="444584.20699999999"/>
    <n v="530000"/>
    <x v="0"/>
    <x v="0"/>
    <x v="0"/>
    <n v="3"/>
    <n v="952"/>
    <n v="1.0234955E-2"/>
    <x v="2"/>
    <n v="85415.793000000005"/>
    <n v="556.72270000000003"/>
    <x v="0"/>
    <s v="Medium"/>
    <s v="Medium"/>
    <s v="June"/>
    <x v="5"/>
  </r>
  <r>
    <d v="2021-06-13T00:00:00"/>
    <x v="12"/>
    <x v="2"/>
    <n v="100340"/>
    <n v="180000"/>
    <x v="0"/>
    <x v="0"/>
    <x v="0"/>
    <n v="1"/>
    <n v="1111.6589814177564"/>
    <n v="1.0234955E-2"/>
    <x v="0"/>
    <n v="79660"/>
    <n v="161.92019999999999"/>
    <x v="0"/>
    <s v="Low"/>
    <s v="Medium"/>
    <s v="June"/>
    <x v="5"/>
  </r>
  <r>
    <d v="2021-06-14T00:00:00"/>
    <x v="12"/>
    <x v="3"/>
    <n v="2973810"/>
    <n v="6600000"/>
    <x v="0"/>
    <x v="0"/>
    <x v="0"/>
    <n v="2"/>
    <n v="903"/>
    <n v="1.0234955E-2"/>
    <x v="1"/>
    <n v="3626190"/>
    <n v="7308.9700999999995"/>
    <x v="0"/>
    <s v="High"/>
    <s v="Medium"/>
    <s v="June"/>
    <x v="5"/>
  </r>
  <r>
    <d v="2021-06-17T00:00:00"/>
    <x v="12"/>
    <x v="5"/>
    <n v="88800"/>
    <n v="230000"/>
    <x v="1"/>
    <x v="1"/>
    <x v="1"/>
    <n v="4"/>
    <n v="1476"/>
    <n v="1.0234955E-2"/>
    <x v="0"/>
    <n v="141200"/>
    <n v="155.82660000000001"/>
    <x v="0"/>
    <s v="Medium"/>
    <s v="Large"/>
    <s v="June"/>
    <x v="5"/>
  </r>
  <r>
    <d v="2021-06-18T00:00:00"/>
    <x v="12"/>
    <x v="2"/>
    <n v="83430"/>
    <n v="160000"/>
    <x v="0"/>
    <x v="0"/>
    <x v="0"/>
    <n v="2"/>
    <n v="968"/>
    <n v="1.0234955E-2"/>
    <x v="3"/>
    <n v="76570"/>
    <n v="165.2893"/>
    <x v="0"/>
    <s v="Low"/>
    <s v="Medium"/>
    <s v="June"/>
    <x v="5"/>
  </r>
  <r>
    <d v="2021-06-19T00:00:00"/>
    <x v="12"/>
    <x v="7"/>
    <n v="416690"/>
    <n v="675000"/>
    <x v="0"/>
    <x v="0"/>
    <x v="0"/>
    <n v="3"/>
    <n v="1111.6589814177564"/>
    <n v="1.0234955E-2"/>
    <x v="1"/>
    <n v="258310"/>
    <n v="607.20060000000001"/>
    <x v="0"/>
    <s v="High"/>
    <s v="Medium"/>
    <s v="June"/>
    <x v="5"/>
  </r>
  <r>
    <d v="2021-06-21T00:00:00"/>
    <x v="12"/>
    <x v="0"/>
    <n v="114720"/>
    <n v="152000"/>
    <x v="0"/>
    <x v="0"/>
    <x v="0"/>
    <n v="2"/>
    <n v="991"/>
    <n v="1.0234955E-2"/>
    <x v="0"/>
    <n v="37280"/>
    <n v="153.38040000000001"/>
    <x v="0"/>
    <s v="Low"/>
    <s v="Medium"/>
    <s v="June"/>
    <x v="5"/>
  </r>
  <r>
    <d v="2021-06-24T00:00:00"/>
    <x v="12"/>
    <x v="6"/>
    <n v="145180"/>
    <n v="230000"/>
    <x v="1"/>
    <x v="1"/>
    <x v="1"/>
    <n v="3"/>
    <n v="1347"/>
    <n v="1.0234955E-2"/>
    <x v="2"/>
    <n v="84820"/>
    <n v="170.74979999999999"/>
    <x v="0"/>
    <s v="Medium"/>
    <s v="Large"/>
    <s v="June"/>
    <x v="5"/>
  </r>
  <r>
    <d v="2021-06-25T00:00:00"/>
    <x v="12"/>
    <x v="4"/>
    <n v="307160"/>
    <n v="485000"/>
    <x v="0"/>
    <x v="0"/>
    <x v="0"/>
    <n v="2"/>
    <n v="954"/>
    <n v="1.0234955E-2"/>
    <x v="0"/>
    <n v="177840"/>
    <n v="508.38569999999999"/>
    <x v="0"/>
    <s v="Medium"/>
    <s v="Medium"/>
    <s v="June"/>
    <x v="5"/>
  </r>
  <r>
    <d v="2021-06-26T00:00:00"/>
    <x v="12"/>
    <x v="3"/>
    <n v="2059750"/>
    <n v="2940000"/>
    <x v="0"/>
    <x v="0"/>
    <x v="0"/>
    <n v="1"/>
    <n v="981"/>
    <n v="1.0234955E-2"/>
    <x v="0"/>
    <n v="880250"/>
    <n v="2996.9418999999998"/>
    <x v="0"/>
    <s v="High"/>
    <s v="Medium"/>
    <s v="June"/>
    <x v="5"/>
  </r>
  <r>
    <d v="2021-06-27T00:00:00"/>
    <x v="12"/>
    <x v="3"/>
    <n v="910420"/>
    <n v="1165000"/>
    <x v="0"/>
    <x v="0"/>
    <x v="0"/>
    <n v="1"/>
    <n v="1096"/>
    <n v="1.0234955E-2"/>
    <x v="2"/>
    <n v="254580"/>
    <n v="1062.9562000000001"/>
    <x v="0"/>
    <s v="High"/>
    <s v="Medium"/>
    <s v="June"/>
    <x v="5"/>
  </r>
  <r>
    <d v="2021-06-28T00:00:00"/>
    <x v="12"/>
    <x v="2"/>
    <n v="158760"/>
    <n v="220000"/>
    <x v="0"/>
    <x v="0"/>
    <x v="0"/>
    <n v="2"/>
    <n v="1005"/>
    <n v="1.0234955E-2"/>
    <x v="2"/>
    <n v="61240"/>
    <n v="218.90549999999999"/>
    <x v="0"/>
    <s v="Medium"/>
    <s v="Medium"/>
    <s v="June"/>
    <x v="5"/>
  </r>
  <r>
    <d v="2021-07-02T00:00:00"/>
    <x v="12"/>
    <x v="6"/>
    <n v="148820"/>
    <n v="327000"/>
    <x v="0"/>
    <x v="0"/>
    <x v="0"/>
    <n v="3"/>
    <n v="1080"/>
    <n v="1.0234955E-2"/>
    <x v="2"/>
    <n v="178180"/>
    <n v="302.77780000000001"/>
    <x v="0"/>
    <s v="Medium"/>
    <s v="Medium"/>
    <s v="July"/>
    <x v="6"/>
  </r>
  <r>
    <d v="2021-07-03T00:00:00"/>
    <x v="12"/>
    <x v="2"/>
    <n v="208240"/>
    <n v="505000"/>
    <x v="2"/>
    <x v="2"/>
    <x v="2"/>
    <n v="5"/>
    <n v="2163"/>
    <n v="1.0234955E-2"/>
    <x v="3"/>
    <n v="296760"/>
    <n v="233.47200000000001"/>
    <x v="0"/>
    <s v="Medium"/>
    <s v="Large"/>
    <s v="July"/>
    <x v="6"/>
  </r>
  <r>
    <d v="2021-07-05T00:00:00"/>
    <x v="12"/>
    <x v="3"/>
    <n v="469070"/>
    <n v="927000"/>
    <x v="0"/>
    <x v="0"/>
    <x v="0"/>
    <n v="2"/>
    <n v="1059"/>
    <n v="1.0234955E-2"/>
    <x v="2"/>
    <n v="457930"/>
    <n v="875.35410000000002"/>
    <x v="0"/>
    <s v="High"/>
    <s v="Medium"/>
    <s v="July"/>
    <x v="6"/>
  </r>
  <r>
    <d v="2021-07-08T00:00:00"/>
    <x v="12"/>
    <x v="5"/>
    <n v="444584.20699999999"/>
    <n v="410000"/>
    <x v="2"/>
    <x v="2"/>
    <x v="2"/>
    <n v="5"/>
    <n v="2103"/>
    <n v="1.0234955E-2"/>
    <x v="2"/>
    <n v="-34584.207000000002"/>
    <n v="194.95959999999999"/>
    <x v="1"/>
    <s v="Medium"/>
    <s v="Large"/>
    <s v="July"/>
    <x v="6"/>
  </r>
  <r>
    <d v="2021-07-10T00:00:00"/>
    <x v="12"/>
    <x v="0"/>
    <n v="20140"/>
    <n v="73000"/>
    <x v="2"/>
    <x v="2"/>
    <x v="2"/>
    <n v="5"/>
    <n v="2067"/>
    <n v="1.0234955E-2"/>
    <x v="2"/>
    <n v="52860"/>
    <n v="35.316899999999997"/>
    <x v="0"/>
    <s v="Low"/>
    <s v="Large"/>
    <s v="July"/>
    <x v="6"/>
  </r>
  <r>
    <d v="2021-07-11T00:00:00"/>
    <x v="12"/>
    <x v="5"/>
    <n v="271740"/>
    <n v="412000"/>
    <x v="0"/>
    <x v="0"/>
    <x v="0"/>
    <n v="2"/>
    <n v="937"/>
    <n v="1.0234955E-2"/>
    <x v="3"/>
    <n v="140260"/>
    <n v="439.70119999999997"/>
    <x v="0"/>
    <s v="Medium"/>
    <s v="Medium"/>
    <s v="July"/>
    <x v="6"/>
  </r>
  <r>
    <d v="2021-07-12T00:00:00"/>
    <x v="12"/>
    <x v="4"/>
    <n v="355670"/>
    <n v="630000"/>
    <x v="0"/>
    <x v="0"/>
    <x v="0"/>
    <n v="1"/>
    <n v="1074"/>
    <n v="1.0234955E-2"/>
    <x v="3"/>
    <n v="274330"/>
    <n v="586.59220000000005"/>
    <x v="0"/>
    <s v="High"/>
    <s v="Medium"/>
    <s v="July"/>
    <x v="6"/>
  </r>
  <r>
    <d v="2021-07-15T00:00:00"/>
    <x v="12"/>
    <x v="2"/>
    <n v="101070"/>
    <n v="130000"/>
    <x v="0"/>
    <x v="0"/>
    <x v="0"/>
    <n v="1"/>
    <n v="1111.6589814177564"/>
    <n v="1.0234955E-2"/>
    <x v="3"/>
    <n v="28930"/>
    <n v="116.9423"/>
    <x v="0"/>
    <s v="Low"/>
    <s v="Medium"/>
    <s v="July"/>
    <x v="6"/>
  </r>
  <r>
    <d v="2021-07-16T00:00:00"/>
    <x v="12"/>
    <x v="0"/>
    <n v="81150"/>
    <n v="157000"/>
    <x v="0"/>
    <x v="0"/>
    <x v="0"/>
    <n v="1"/>
    <n v="1009"/>
    <n v="1.0234955E-2"/>
    <x v="0"/>
    <n v="75850"/>
    <n v="155.59960000000001"/>
    <x v="0"/>
    <s v="Low"/>
    <s v="Medium"/>
    <s v="July"/>
    <x v="6"/>
  </r>
  <r>
    <d v="2021-07-17T00:00:00"/>
    <x v="12"/>
    <x v="0"/>
    <n v="444584.20699999999"/>
    <n v="150000"/>
    <x v="0"/>
    <x v="0"/>
    <x v="0"/>
    <n v="3"/>
    <n v="906"/>
    <n v="1.0234955E-2"/>
    <x v="2"/>
    <n v="-294584.20699999999"/>
    <n v="165.56290000000001"/>
    <x v="1"/>
    <s v="Low"/>
    <s v="Medium"/>
    <s v="July"/>
    <x v="6"/>
  </r>
  <r>
    <d v="2021-07-19T00:00:00"/>
    <x v="12"/>
    <x v="4"/>
    <n v="726460"/>
    <n v="1520000"/>
    <x v="0"/>
    <x v="0"/>
    <x v="0"/>
    <n v="3"/>
    <n v="1098"/>
    <n v="1.0234955E-2"/>
    <x v="0"/>
    <n v="793540"/>
    <n v="1384.3352"/>
    <x v="0"/>
    <s v="High"/>
    <s v="Medium"/>
    <s v="July"/>
    <x v="6"/>
  </r>
  <r>
    <d v="2021-07-23T00:00:00"/>
    <x v="12"/>
    <x v="2"/>
    <n v="91180"/>
    <n v="79900"/>
    <x v="0"/>
    <x v="0"/>
    <x v="0"/>
    <n v="2"/>
    <n v="949"/>
    <n v="1.0234955E-2"/>
    <x v="0"/>
    <n v="-11280"/>
    <n v="84.193899999999999"/>
    <x v="1"/>
    <s v="Low"/>
    <s v="Medium"/>
    <s v="July"/>
    <x v="6"/>
  </r>
  <r>
    <d v="2021-07-24T00:00:00"/>
    <x v="12"/>
    <x v="0"/>
    <n v="444584.20699999999"/>
    <n v="175000"/>
    <x v="2"/>
    <x v="2"/>
    <x v="2"/>
    <n v="6"/>
    <n v="2115"/>
    <n v="1.0234955E-2"/>
    <x v="2"/>
    <n v="-269584.20699999999"/>
    <n v="82.7423"/>
    <x v="1"/>
    <s v="Low"/>
    <s v="Large"/>
    <s v="July"/>
    <x v="6"/>
  </r>
  <r>
    <d v="2021-07-26T00:00:00"/>
    <x v="12"/>
    <x v="4"/>
    <n v="544460"/>
    <n v="742000"/>
    <x v="0"/>
    <x v="0"/>
    <x v="0"/>
    <n v="2"/>
    <n v="1066"/>
    <n v="1.0234955E-2"/>
    <x v="1"/>
    <n v="197540"/>
    <n v="696.06"/>
    <x v="0"/>
    <s v="High"/>
    <s v="Medium"/>
    <s v="July"/>
    <x v="6"/>
  </r>
  <r>
    <d v="2021-07-29T00:00:00"/>
    <x v="12"/>
    <x v="5"/>
    <n v="78270"/>
    <n v="74696"/>
    <x v="0"/>
    <x v="0"/>
    <x v="0"/>
    <n v="2"/>
    <n v="1080"/>
    <n v="1.0234955E-2"/>
    <x v="1"/>
    <n v="-3574"/>
    <n v="69.162999999999997"/>
    <x v="1"/>
    <s v="Low"/>
    <s v="Medium"/>
    <s v="July"/>
    <x v="6"/>
  </r>
  <r>
    <d v="2021-07-30T00:00:00"/>
    <x v="12"/>
    <x v="4"/>
    <n v="628600"/>
    <n v="829000"/>
    <x v="0"/>
    <x v="0"/>
    <x v="0"/>
    <n v="2"/>
    <n v="1047"/>
    <n v="1.0234955E-2"/>
    <x v="2"/>
    <n v="200400"/>
    <n v="791.78610000000003"/>
    <x v="0"/>
    <s v="High"/>
    <s v="Medium"/>
    <s v="July"/>
    <x v="6"/>
  </r>
  <r>
    <d v="2021-07-31T00:00:00"/>
    <x v="12"/>
    <x v="0"/>
    <n v="48680"/>
    <n v="67600"/>
    <x v="2"/>
    <x v="2"/>
    <x v="2"/>
    <n v="4"/>
    <n v="1836"/>
    <n v="1.0234955E-2"/>
    <x v="0"/>
    <n v="18920"/>
    <n v="36.819200000000002"/>
    <x v="0"/>
    <s v="Low"/>
    <s v="Large"/>
    <s v="July"/>
    <x v="6"/>
  </r>
  <r>
    <d v="2021-08-02T00:00:00"/>
    <x v="12"/>
    <x v="4"/>
    <n v="595000"/>
    <n v="810000"/>
    <x v="0"/>
    <x v="0"/>
    <x v="0"/>
    <n v="1"/>
    <n v="925"/>
    <n v="1.0234955E-2"/>
    <x v="1"/>
    <n v="215000"/>
    <n v="875.67570000000001"/>
    <x v="0"/>
    <s v="High"/>
    <s v="Medium"/>
    <s v="August"/>
    <x v="7"/>
  </r>
  <r>
    <d v="2021-08-06T00:00:00"/>
    <x v="12"/>
    <x v="2"/>
    <n v="137180"/>
    <n v="275000"/>
    <x v="0"/>
    <x v="0"/>
    <x v="0"/>
    <n v="1"/>
    <n v="907"/>
    <n v="1.0234955E-2"/>
    <x v="0"/>
    <n v="137820"/>
    <n v="303.19740000000002"/>
    <x v="0"/>
    <s v="Medium"/>
    <s v="Medium"/>
    <s v="August"/>
    <x v="7"/>
  </r>
  <r>
    <d v="2021-08-07T00:00:00"/>
    <x v="12"/>
    <x v="2"/>
    <n v="124470"/>
    <n v="215000"/>
    <x v="1"/>
    <x v="1"/>
    <x v="1"/>
    <n v="2"/>
    <n v="1285"/>
    <n v="1.0234955E-2"/>
    <x v="2"/>
    <n v="90530"/>
    <n v="167.3152"/>
    <x v="0"/>
    <s v="Medium"/>
    <s v="Medium"/>
    <s v="August"/>
    <x v="7"/>
  </r>
  <r>
    <d v="2021-08-08T00:00:00"/>
    <x v="12"/>
    <x v="5"/>
    <n v="136640"/>
    <n v="238000"/>
    <x v="0"/>
    <x v="0"/>
    <x v="0"/>
    <n v="2"/>
    <n v="1111.6589814177564"/>
    <n v="1.0234955E-2"/>
    <x v="1"/>
    <n v="101360"/>
    <n v="214.09440000000001"/>
    <x v="0"/>
    <s v="Medium"/>
    <s v="Medium"/>
    <s v="August"/>
    <x v="7"/>
  </r>
  <r>
    <d v="2021-08-09T00:00:00"/>
    <x v="12"/>
    <x v="4"/>
    <n v="619990"/>
    <n v="901500"/>
    <x v="0"/>
    <x v="0"/>
    <x v="0"/>
    <n v="2"/>
    <n v="1087"/>
    <n v="1.0234955E-2"/>
    <x v="1"/>
    <n v="281510"/>
    <n v="829.34680000000003"/>
    <x v="0"/>
    <s v="High"/>
    <s v="Medium"/>
    <s v="August"/>
    <x v="7"/>
  </r>
  <r>
    <d v="2021-08-12T00:00:00"/>
    <x v="12"/>
    <x v="4"/>
    <n v="389410"/>
    <n v="404000"/>
    <x v="0"/>
    <x v="0"/>
    <x v="0"/>
    <n v="2"/>
    <n v="1061"/>
    <n v="1.0234955E-2"/>
    <x v="2"/>
    <n v="14590"/>
    <n v="380.77289999999999"/>
    <x v="0"/>
    <s v="Medium"/>
    <s v="Medium"/>
    <s v="August"/>
    <x v="7"/>
  </r>
  <r>
    <d v="2021-08-13T00:00:00"/>
    <x v="12"/>
    <x v="2"/>
    <n v="140060"/>
    <n v="225000"/>
    <x v="2"/>
    <x v="2"/>
    <x v="2"/>
    <n v="5"/>
    <n v="1111.6589814177564"/>
    <n v="1.0234955E-2"/>
    <x v="3"/>
    <n v="84940"/>
    <n v="202.40020000000001"/>
    <x v="0"/>
    <s v="Medium"/>
    <s v="Medium"/>
    <s v="August"/>
    <x v="7"/>
  </r>
  <r>
    <d v="2021-08-14T00:00:00"/>
    <x v="12"/>
    <x v="2"/>
    <n v="122450"/>
    <n v="220000"/>
    <x v="2"/>
    <x v="2"/>
    <x v="2"/>
    <n v="4"/>
    <n v="1848"/>
    <n v="1.0234955E-2"/>
    <x v="2"/>
    <n v="97550"/>
    <n v="119.0476"/>
    <x v="0"/>
    <s v="Medium"/>
    <s v="Large"/>
    <s v="August"/>
    <x v="7"/>
  </r>
  <r>
    <d v="2021-08-15T00:00:00"/>
    <x v="12"/>
    <x v="6"/>
    <n v="281960"/>
    <n v="395000"/>
    <x v="0"/>
    <x v="0"/>
    <x v="0"/>
    <n v="2"/>
    <n v="972"/>
    <n v="1.0234955E-2"/>
    <x v="2"/>
    <n v="113040"/>
    <n v="406.37860000000001"/>
    <x v="0"/>
    <s v="Medium"/>
    <s v="Medium"/>
    <s v="August"/>
    <x v="7"/>
  </r>
  <r>
    <d v="2021-08-16T00:00:00"/>
    <x v="12"/>
    <x v="0"/>
    <n v="87000"/>
    <n v="155500"/>
    <x v="0"/>
    <x v="0"/>
    <x v="0"/>
    <n v="2"/>
    <n v="1111.6589814177564"/>
    <n v="1.0234955E-2"/>
    <x v="3"/>
    <n v="68500"/>
    <n v="139.881"/>
    <x v="0"/>
    <s v="Low"/>
    <s v="Medium"/>
    <s v="August"/>
    <x v="7"/>
  </r>
  <r>
    <d v="2021-08-19T00:00:00"/>
    <x v="12"/>
    <x v="2"/>
    <n v="444584.20699999999"/>
    <n v="195000"/>
    <x v="2"/>
    <x v="2"/>
    <x v="2"/>
    <n v="6"/>
    <n v="2132"/>
    <n v="1.0234955E-2"/>
    <x v="1"/>
    <n v="-249584.20699999999"/>
    <n v="91.463399999999993"/>
    <x v="1"/>
    <s v="Low"/>
    <s v="Large"/>
    <s v="August"/>
    <x v="7"/>
  </r>
  <r>
    <d v="2021-08-20T00:00:00"/>
    <x v="12"/>
    <x v="0"/>
    <n v="85750"/>
    <n v="105000"/>
    <x v="0"/>
    <x v="0"/>
    <x v="0"/>
    <n v="2"/>
    <n v="1042"/>
    <n v="1.0234955E-2"/>
    <x v="0"/>
    <n v="19250"/>
    <n v="100.76779999999999"/>
    <x v="0"/>
    <s v="Low"/>
    <s v="Medium"/>
    <s v="August"/>
    <x v="7"/>
  </r>
  <r>
    <d v="2021-08-21T00:00:00"/>
    <x v="12"/>
    <x v="0"/>
    <n v="37370"/>
    <n v="129900"/>
    <x v="0"/>
    <x v="0"/>
    <x v="0"/>
    <n v="1"/>
    <n v="905"/>
    <n v="1.0234955E-2"/>
    <x v="1"/>
    <n v="92530"/>
    <n v="143.5359"/>
    <x v="0"/>
    <s v="Low"/>
    <s v="Medium"/>
    <s v="August"/>
    <x v="7"/>
  </r>
  <r>
    <d v="2021-08-22T00:00:00"/>
    <x v="12"/>
    <x v="7"/>
    <n v="330130"/>
    <n v="599950"/>
    <x v="1"/>
    <x v="1"/>
    <x v="1"/>
    <n v="4"/>
    <n v="1277"/>
    <n v="1.0234955E-2"/>
    <x v="1"/>
    <n v="269820"/>
    <n v="469.81209999999999"/>
    <x v="0"/>
    <s v="Medium"/>
    <s v="Medium"/>
    <s v="August"/>
    <x v="7"/>
  </r>
  <r>
    <d v="2021-08-26T00:00:00"/>
    <x v="12"/>
    <x v="3"/>
    <n v="580790"/>
    <n v="275000"/>
    <x v="0"/>
    <x v="0"/>
    <x v="0"/>
    <n v="3"/>
    <n v="909"/>
    <n v="1.0234955E-2"/>
    <x v="1"/>
    <n v="-305790"/>
    <n v="302.53030000000001"/>
    <x v="1"/>
    <s v="Medium"/>
    <s v="Medium"/>
    <s v="August"/>
    <x v="7"/>
  </r>
  <r>
    <d v="2021-08-27T00:00:00"/>
    <x v="12"/>
    <x v="5"/>
    <n v="135610"/>
    <n v="214200"/>
    <x v="0"/>
    <x v="0"/>
    <x v="0"/>
    <n v="2"/>
    <n v="971"/>
    <n v="1.0234955E-2"/>
    <x v="2"/>
    <n v="78590"/>
    <n v="220.59729999999999"/>
    <x v="0"/>
    <s v="Medium"/>
    <s v="Medium"/>
    <s v="August"/>
    <x v="7"/>
  </r>
  <r>
    <d v="2021-08-28T00:00:00"/>
    <x v="12"/>
    <x v="5"/>
    <n v="234010"/>
    <n v="425000"/>
    <x v="0"/>
    <x v="0"/>
    <x v="0"/>
    <n v="2"/>
    <n v="994"/>
    <n v="1.0234955E-2"/>
    <x v="0"/>
    <n v="190990"/>
    <n v="427.56540000000001"/>
    <x v="0"/>
    <s v="Medium"/>
    <s v="Medium"/>
    <s v="August"/>
    <x v="7"/>
  </r>
  <r>
    <d v="2021-08-30T00:00:00"/>
    <x v="12"/>
    <x v="4"/>
    <n v="629510"/>
    <n v="865000"/>
    <x v="0"/>
    <x v="0"/>
    <x v="0"/>
    <n v="3"/>
    <n v="1058"/>
    <n v="1.0234955E-2"/>
    <x v="1"/>
    <n v="235490"/>
    <n v="817.58029999999997"/>
    <x v="0"/>
    <s v="High"/>
    <s v="Medium"/>
    <s v="August"/>
    <x v="7"/>
  </r>
  <r>
    <d v="2021-09-05T00:00:00"/>
    <x v="12"/>
    <x v="7"/>
    <n v="640290"/>
    <n v="775300"/>
    <x v="0"/>
    <x v="0"/>
    <x v="0"/>
    <n v="2"/>
    <n v="982"/>
    <n v="1.0234955E-2"/>
    <x v="0"/>
    <n v="135010"/>
    <n v="789.51120000000003"/>
    <x v="0"/>
    <s v="High"/>
    <s v="Medium"/>
    <s v="September"/>
    <x v="8"/>
  </r>
  <r>
    <d v="2021-09-06T00:00:00"/>
    <x v="12"/>
    <x v="4"/>
    <n v="1512700"/>
    <n v="861000"/>
    <x v="0"/>
    <x v="0"/>
    <x v="0"/>
    <n v="3"/>
    <n v="1111.6589814177564"/>
    <n v="1.0234955E-2"/>
    <x v="2"/>
    <n v="-651700"/>
    <n v="774.5181"/>
    <x v="1"/>
    <s v="High"/>
    <s v="Medium"/>
    <s v="September"/>
    <x v="8"/>
  </r>
  <r>
    <d v="2021-09-09T00:00:00"/>
    <x v="12"/>
    <x v="5"/>
    <n v="353900"/>
    <n v="657500"/>
    <x v="1"/>
    <x v="1"/>
    <x v="1"/>
    <n v="3"/>
    <n v="1446"/>
    <n v="1.0234955E-2"/>
    <x v="2"/>
    <n v="303600"/>
    <n v="454.70260000000002"/>
    <x v="0"/>
    <s v="High"/>
    <s v="Large"/>
    <s v="September"/>
    <x v="8"/>
  </r>
  <r>
    <d v="2021-09-10T00:00:00"/>
    <x v="12"/>
    <x v="0"/>
    <n v="72880"/>
    <n v="124000"/>
    <x v="0"/>
    <x v="0"/>
    <x v="0"/>
    <n v="3"/>
    <n v="1111.6589814177564"/>
    <n v="1.0234955E-2"/>
    <x v="2"/>
    <n v="51120"/>
    <n v="111.545"/>
    <x v="0"/>
    <s v="Low"/>
    <s v="Medium"/>
    <s v="September"/>
    <x v="8"/>
  </r>
  <r>
    <d v="2021-09-11T00:00:00"/>
    <x v="12"/>
    <x v="0"/>
    <n v="76960"/>
    <n v="121000"/>
    <x v="0"/>
    <x v="0"/>
    <x v="0"/>
    <n v="1"/>
    <n v="903"/>
    <n v="1.0234955E-2"/>
    <x v="0"/>
    <n v="44040"/>
    <n v="133.99780000000001"/>
    <x v="0"/>
    <s v="Low"/>
    <s v="Medium"/>
    <s v="September"/>
    <x v="8"/>
  </r>
  <r>
    <d v="2021-09-12T00:00:00"/>
    <x v="12"/>
    <x v="4"/>
    <n v="331660"/>
    <n v="550000"/>
    <x v="0"/>
    <x v="0"/>
    <x v="0"/>
    <n v="3"/>
    <n v="1014"/>
    <n v="1.0234955E-2"/>
    <x v="1"/>
    <n v="218340"/>
    <n v="542.40629999999999"/>
    <x v="0"/>
    <s v="Medium"/>
    <s v="Medium"/>
    <s v="September"/>
    <x v="8"/>
  </r>
  <r>
    <d v="2021-09-13T00:00:00"/>
    <x v="12"/>
    <x v="7"/>
    <n v="464200"/>
    <n v="580000"/>
    <x v="0"/>
    <x v="0"/>
    <x v="0"/>
    <n v="3"/>
    <n v="1111.6589814177564"/>
    <n v="1.0234955E-2"/>
    <x v="1"/>
    <n v="115800"/>
    <n v="521.74270000000001"/>
    <x v="0"/>
    <s v="Medium"/>
    <s v="Medium"/>
    <s v="September"/>
    <x v="8"/>
  </r>
  <r>
    <d v="2021-09-16T00:00:00"/>
    <x v="12"/>
    <x v="4"/>
    <n v="261240"/>
    <n v="375000"/>
    <x v="0"/>
    <x v="0"/>
    <x v="0"/>
    <n v="2"/>
    <n v="1111.6589814177564"/>
    <n v="1.0234955E-2"/>
    <x v="1"/>
    <n v="113760"/>
    <n v="337.33370000000002"/>
    <x v="0"/>
    <s v="Medium"/>
    <s v="Medium"/>
    <s v="September"/>
    <x v="8"/>
  </r>
  <r>
    <d v="2021-09-17T00:00:00"/>
    <x v="12"/>
    <x v="5"/>
    <n v="116280"/>
    <n v="220000"/>
    <x v="0"/>
    <x v="0"/>
    <x v="0"/>
    <n v="2"/>
    <n v="1000"/>
    <n v="1.0234955E-2"/>
    <x v="3"/>
    <n v="103720"/>
    <n v="220"/>
    <x v="0"/>
    <s v="Medium"/>
    <s v="Medium"/>
    <s v="September"/>
    <x v="8"/>
  </r>
  <r>
    <d v="2021-09-18T00:00:00"/>
    <x v="12"/>
    <x v="2"/>
    <n v="98590"/>
    <n v="174000"/>
    <x v="1"/>
    <x v="1"/>
    <x v="1"/>
    <n v="2"/>
    <n v="1451"/>
    <n v="1.0234955E-2"/>
    <x v="1"/>
    <n v="75410"/>
    <n v="119.9173"/>
    <x v="0"/>
    <s v="Low"/>
    <s v="Large"/>
    <s v="September"/>
    <x v="8"/>
  </r>
  <r>
    <d v="2021-09-19T00:00:00"/>
    <x v="12"/>
    <x v="2"/>
    <n v="49310"/>
    <n v="65000"/>
    <x v="0"/>
    <x v="0"/>
    <x v="0"/>
    <n v="3"/>
    <n v="930"/>
    <n v="1.0234955E-2"/>
    <x v="0"/>
    <n v="15690"/>
    <n v="69.892499999999998"/>
    <x v="0"/>
    <s v="Low"/>
    <s v="Medium"/>
    <s v="September"/>
    <x v="8"/>
  </r>
  <r>
    <d v="2021-09-20T00:00:00"/>
    <x v="12"/>
    <x v="7"/>
    <n v="518080"/>
    <n v="800000"/>
    <x v="0"/>
    <x v="0"/>
    <x v="0"/>
    <n v="2"/>
    <n v="1002"/>
    <n v="1.0234955E-2"/>
    <x v="0"/>
    <n v="281920"/>
    <n v="798.40319999999997"/>
    <x v="0"/>
    <s v="High"/>
    <s v="Medium"/>
    <s v="September"/>
    <x v="8"/>
  </r>
  <r>
    <d v="2021-09-23T00:00:00"/>
    <x v="12"/>
    <x v="6"/>
    <n v="343280"/>
    <n v="485000"/>
    <x v="0"/>
    <x v="0"/>
    <x v="0"/>
    <n v="2"/>
    <n v="1035"/>
    <n v="1.0234955E-2"/>
    <x v="0"/>
    <n v="141720"/>
    <n v="468.59899999999999"/>
    <x v="0"/>
    <s v="Medium"/>
    <s v="Medium"/>
    <s v="September"/>
    <x v="8"/>
  </r>
  <r>
    <d v="2021-09-24T00:00:00"/>
    <x v="12"/>
    <x v="3"/>
    <n v="444584.20699999999"/>
    <n v="8347000"/>
    <x v="0"/>
    <x v="0"/>
    <x v="0"/>
    <n v="1"/>
    <n v="1048"/>
    <n v="1.0234955E-2"/>
    <x v="3"/>
    <n v="7902415.7929999996"/>
    <n v="7964.6947"/>
    <x v="0"/>
    <s v="High"/>
    <s v="Medium"/>
    <s v="September"/>
    <x v="8"/>
  </r>
  <r>
    <d v="2021-09-26T00:00:00"/>
    <x v="12"/>
    <x v="2"/>
    <n v="444584.20699999999"/>
    <n v="38750"/>
    <x v="1"/>
    <x v="1"/>
    <x v="1"/>
    <n v="4"/>
    <n v="1402"/>
    <n v="1.0234955E-2"/>
    <x v="1"/>
    <n v="-405834.20699999999"/>
    <n v="27.639099999999999"/>
    <x v="1"/>
    <s v="Low"/>
    <s v="Large"/>
    <s v="September"/>
    <x v="8"/>
  </r>
  <r>
    <d v="2021-09-27T00:00:00"/>
    <x v="12"/>
    <x v="0"/>
    <n v="64020"/>
    <n v="175000"/>
    <x v="3"/>
    <x v="3"/>
    <x v="3"/>
    <n v="8"/>
    <n v="2989"/>
    <n v="1.0234955E-2"/>
    <x v="1"/>
    <n v="110980"/>
    <n v="58.548000000000002"/>
    <x v="0"/>
    <s v="Low"/>
    <s v="Large"/>
    <s v="September"/>
    <x v="8"/>
  </r>
  <r>
    <d v="2021-09-30T00:00:00"/>
    <x v="12"/>
    <x v="5"/>
    <n v="66870"/>
    <n v="156000"/>
    <x v="1"/>
    <x v="1"/>
    <x v="1"/>
    <n v="3"/>
    <n v="1264"/>
    <n v="1.0234955E-2"/>
    <x v="2"/>
    <n v="89130"/>
    <n v="123.4177"/>
    <x v="0"/>
    <s v="Low"/>
    <s v="Medium"/>
    <s v="September"/>
    <x v="8"/>
  </r>
  <r>
    <d v="2021-10-01T00:00:00"/>
    <x v="12"/>
    <x v="1"/>
    <n v="260600"/>
    <n v="430000"/>
    <x v="0"/>
    <x v="0"/>
    <x v="0"/>
    <n v="3"/>
    <n v="1111.6589814177564"/>
    <n v="1.0234955E-2"/>
    <x v="2"/>
    <n v="169400"/>
    <n v="386.80930000000001"/>
    <x v="0"/>
    <s v="Medium"/>
    <s v="Medium"/>
    <s v="October"/>
    <x v="9"/>
  </r>
  <r>
    <d v="2021-10-02T00:00:00"/>
    <x v="12"/>
    <x v="0"/>
    <n v="71250"/>
    <n v="135000"/>
    <x v="0"/>
    <x v="0"/>
    <x v="0"/>
    <n v="3"/>
    <n v="1111.6589814177564"/>
    <n v="1.0234955E-2"/>
    <x v="2"/>
    <n v="63750"/>
    <n v="121.4401"/>
    <x v="0"/>
    <s v="Low"/>
    <s v="Medium"/>
    <s v="October"/>
    <x v="9"/>
  </r>
  <r>
    <d v="2021-10-03T00:00:00"/>
    <x v="12"/>
    <x v="7"/>
    <n v="596820"/>
    <n v="475000"/>
    <x v="0"/>
    <x v="0"/>
    <x v="0"/>
    <n v="2"/>
    <n v="1092"/>
    <n v="1.0234955E-2"/>
    <x v="0"/>
    <n v="-121820"/>
    <n v="434.98169999999999"/>
    <x v="1"/>
    <s v="Medium"/>
    <s v="Medium"/>
    <s v="October"/>
    <x v="9"/>
  </r>
  <r>
    <d v="2021-10-07T00:00:00"/>
    <x v="12"/>
    <x v="4"/>
    <n v="444584.20699999999"/>
    <n v="1455750"/>
    <x v="0"/>
    <x v="0"/>
    <x v="0"/>
    <n v="2"/>
    <n v="909"/>
    <n v="1.0234955E-2"/>
    <x v="1"/>
    <n v="1011165.7929999999"/>
    <n v="1601.4851000000001"/>
    <x v="0"/>
    <s v="High"/>
    <s v="Medium"/>
    <s v="October"/>
    <x v="9"/>
  </r>
  <r>
    <d v="2021-10-08T00:00:00"/>
    <x v="12"/>
    <x v="7"/>
    <n v="436390"/>
    <n v="720000"/>
    <x v="0"/>
    <x v="0"/>
    <x v="0"/>
    <n v="1"/>
    <n v="966"/>
    <n v="1.0234955E-2"/>
    <x v="0"/>
    <n v="283610"/>
    <n v="745.34159999999997"/>
    <x v="0"/>
    <s v="High"/>
    <s v="Medium"/>
    <s v="October"/>
    <x v="9"/>
  </r>
  <r>
    <d v="2021-10-09T00:00:00"/>
    <x v="12"/>
    <x v="7"/>
    <n v="374260"/>
    <n v="438000"/>
    <x v="0"/>
    <x v="0"/>
    <x v="0"/>
    <n v="2"/>
    <n v="932"/>
    <n v="1.0234955E-2"/>
    <x v="1"/>
    <n v="63740"/>
    <n v="469.95710000000003"/>
    <x v="0"/>
    <s v="Medium"/>
    <s v="Medium"/>
    <s v="October"/>
    <x v="9"/>
  </r>
  <r>
    <d v="2021-10-10T00:00:00"/>
    <x v="12"/>
    <x v="5"/>
    <n v="80850"/>
    <n v="100000"/>
    <x v="0"/>
    <x v="0"/>
    <x v="0"/>
    <n v="1"/>
    <n v="924"/>
    <n v="1.0234955E-2"/>
    <x v="0"/>
    <n v="19150"/>
    <n v="108.2251"/>
    <x v="0"/>
    <s v="Low"/>
    <s v="Medium"/>
    <s v="October"/>
    <x v="9"/>
  </r>
  <r>
    <d v="2021-10-15T00:00:00"/>
    <x v="12"/>
    <x v="6"/>
    <n v="234500"/>
    <n v="325000"/>
    <x v="0"/>
    <x v="0"/>
    <x v="0"/>
    <n v="2"/>
    <n v="1029"/>
    <n v="1.0234955E-2"/>
    <x v="0"/>
    <n v="90500"/>
    <n v="315.84059999999999"/>
    <x v="0"/>
    <s v="Medium"/>
    <s v="Medium"/>
    <s v="October"/>
    <x v="9"/>
  </r>
  <r>
    <d v="2021-10-16T00:00:00"/>
    <x v="12"/>
    <x v="0"/>
    <n v="444584.20699999999"/>
    <n v="149900"/>
    <x v="0"/>
    <x v="0"/>
    <x v="0"/>
    <n v="1"/>
    <n v="1111.6589814177564"/>
    <n v="1.0234955E-2"/>
    <x v="0"/>
    <n v="-294684.20699999999"/>
    <n v="134.84350000000001"/>
    <x v="1"/>
    <s v="Low"/>
    <s v="Medium"/>
    <s v="October"/>
    <x v="9"/>
  </r>
  <r>
    <d v="2021-10-17T00:00:00"/>
    <x v="12"/>
    <x v="2"/>
    <n v="106560"/>
    <n v="194000"/>
    <x v="1"/>
    <x v="1"/>
    <x v="1"/>
    <n v="4"/>
    <n v="1348"/>
    <n v="1.0234955E-2"/>
    <x v="3"/>
    <n v="87440"/>
    <n v="143.9169"/>
    <x v="0"/>
    <s v="Low"/>
    <s v="Large"/>
    <s v="October"/>
    <x v="9"/>
  </r>
  <r>
    <d v="2021-10-18T00:00:00"/>
    <x v="12"/>
    <x v="0"/>
    <n v="62310"/>
    <n v="120000"/>
    <x v="2"/>
    <x v="2"/>
    <x v="2"/>
    <n v="5"/>
    <n v="2183"/>
    <n v="1.0234955E-2"/>
    <x v="3"/>
    <n v="57690"/>
    <n v="54.970199999999998"/>
    <x v="0"/>
    <s v="Low"/>
    <s v="Large"/>
    <s v="October"/>
    <x v="9"/>
  </r>
  <r>
    <d v="2021-10-21T00:00:00"/>
    <x v="12"/>
    <x v="0"/>
    <n v="62220"/>
    <n v="147000"/>
    <x v="0"/>
    <x v="0"/>
    <x v="0"/>
    <n v="3"/>
    <n v="916"/>
    <n v="1.0234955E-2"/>
    <x v="3"/>
    <n v="84780"/>
    <n v="160.4803"/>
    <x v="0"/>
    <s v="Low"/>
    <s v="Medium"/>
    <s v="October"/>
    <x v="9"/>
  </r>
  <r>
    <d v="2021-10-23T00:00:00"/>
    <x v="12"/>
    <x v="3"/>
    <n v="444584.20699999999"/>
    <n v="1600000"/>
    <x v="0"/>
    <x v="0"/>
    <x v="0"/>
    <n v="3"/>
    <n v="1111.6589814177564"/>
    <n v="1.0234955E-2"/>
    <x v="1"/>
    <n v="1155415.7930000001"/>
    <n v="1439.2902999999999"/>
    <x v="0"/>
    <s v="High"/>
    <s v="Medium"/>
    <s v="October"/>
    <x v="9"/>
  </r>
  <r>
    <d v="2021-10-24T00:00:00"/>
    <x v="12"/>
    <x v="7"/>
    <n v="307690"/>
    <n v="486000"/>
    <x v="0"/>
    <x v="0"/>
    <x v="0"/>
    <n v="3"/>
    <n v="1111.6589814177564"/>
    <n v="1.0234955E-2"/>
    <x v="3"/>
    <n v="178310"/>
    <n v="437.18439999999998"/>
    <x v="0"/>
    <s v="Medium"/>
    <s v="Medium"/>
    <s v="October"/>
    <x v="9"/>
  </r>
  <r>
    <d v="2021-10-28T00:00:00"/>
    <x v="12"/>
    <x v="2"/>
    <n v="115680"/>
    <n v="240000"/>
    <x v="1"/>
    <x v="1"/>
    <x v="1"/>
    <n v="4"/>
    <n v="1392"/>
    <n v="1.0234955E-2"/>
    <x v="2"/>
    <n v="124320"/>
    <n v="172.41380000000001"/>
    <x v="0"/>
    <s v="Medium"/>
    <s v="Large"/>
    <s v="October"/>
    <x v="9"/>
  </r>
  <r>
    <d v="2021-10-29T00:00:00"/>
    <x v="12"/>
    <x v="0"/>
    <n v="67030"/>
    <n v="155000"/>
    <x v="0"/>
    <x v="0"/>
    <x v="0"/>
    <n v="1"/>
    <n v="1015"/>
    <n v="1.0234955E-2"/>
    <x v="1"/>
    <n v="87970"/>
    <n v="152.70939999999999"/>
    <x v="0"/>
    <s v="Low"/>
    <s v="Medium"/>
    <s v="October"/>
    <x v="9"/>
  </r>
  <r>
    <d v="2021-10-30T00:00:00"/>
    <x v="12"/>
    <x v="2"/>
    <n v="118890"/>
    <n v="175000"/>
    <x v="0"/>
    <x v="0"/>
    <x v="0"/>
    <n v="3"/>
    <n v="1051"/>
    <n v="1.0234955E-2"/>
    <x v="0"/>
    <n v="56110"/>
    <n v="166.50810000000001"/>
    <x v="0"/>
    <s v="Low"/>
    <s v="Medium"/>
    <s v="October"/>
    <x v="9"/>
  </r>
  <r>
    <d v="2021-10-31T00:00:00"/>
    <x v="12"/>
    <x v="0"/>
    <n v="52050"/>
    <n v="15000"/>
    <x v="2"/>
    <x v="2"/>
    <x v="2"/>
    <n v="4"/>
    <n v="1111.6589814177564"/>
    <n v="1.0234955E-2"/>
    <x v="2"/>
    <n v="-37050"/>
    <n v="13.4933"/>
    <x v="1"/>
    <s v="Low"/>
    <s v="Medium"/>
    <s v="October"/>
    <x v="9"/>
  </r>
  <r>
    <d v="2021-11-04T00:00:00"/>
    <x v="12"/>
    <x v="2"/>
    <n v="57950"/>
    <n v="32500"/>
    <x v="0"/>
    <x v="0"/>
    <x v="0"/>
    <n v="1"/>
    <n v="1037"/>
    <n v="1.0234955E-2"/>
    <x v="1"/>
    <n v="-25450"/>
    <n v="31.340399999999999"/>
    <x v="1"/>
    <s v="Low"/>
    <s v="Medium"/>
    <s v="November"/>
    <x v="10"/>
  </r>
  <r>
    <d v="2021-11-05T00:00:00"/>
    <x v="12"/>
    <x v="5"/>
    <n v="308700"/>
    <n v="385000"/>
    <x v="0"/>
    <x v="0"/>
    <x v="0"/>
    <n v="3"/>
    <n v="1099"/>
    <n v="1.0234955E-2"/>
    <x v="1"/>
    <n v="76300"/>
    <n v="350.31849999999997"/>
    <x v="0"/>
    <s v="Medium"/>
    <s v="Medium"/>
    <s v="November"/>
    <x v="10"/>
  </r>
  <r>
    <d v="2021-11-06T00:00:00"/>
    <x v="12"/>
    <x v="5"/>
    <n v="444584.20699999999"/>
    <n v="475000"/>
    <x v="0"/>
    <x v="0"/>
    <x v="0"/>
    <n v="1"/>
    <n v="1096"/>
    <n v="1.0234955E-2"/>
    <x v="2"/>
    <n v="30415.793000000001"/>
    <n v="433.39420000000001"/>
    <x v="0"/>
    <s v="Medium"/>
    <s v="Medium"/>
    <s v="November"/>
    <x v="10"/>
  </r>
  <r>
    <d v="2021-11-07T00:00:00"/>
    <x v="12"/>
    <x v="0"/>
    <n v="221410"/>
    <n v="282000"/>
    <x v="0"/>
    <x v="0"/>
    <x v="0"/>
    <n v="1"/>
    <n v="1111.6589814177564"/>
    <n v="1.0234955E-2"/>
    <x v="3"/>
    <n v="60590"/>
    <n v="253.67490000000001"/>
    <x v="0"/>
    <s v="Medium"/>
    <s v="Medium"/>
    <s v="November"/>
    <x v="10"/>
  </r>
  <r>
    <d v="2021-11-08T00:00:00"/>
    <x v="12"/>
    <x v="2"/>
    <n v="120150"/>
    <n v="225225"/>
    <x v="2"/>
    <x v="2"/>
    <x v="2"/>
    <n v="6"/>
    <n v="2097"/>
    <n v="1.0234955E-2"/>
    <x v="3"/>
    <n v="105075"/>
    <n v="107.4034"/>
    <x v="0"/>
    <s v="Medium"/>
    <s v="Large"/>
    <s v="November"/>
    <x v="10"/>
  </r>
  <r>
    <d v="2021-11-12T00:00:00"/>
    <x v="12"/>
    <x v="6"/>
    <n v="444584.20699999999"/>
    <n v="419500"/>
    <x v="1"/>
    <x v="1"/>
    <x v="1"/>
    <n v="4"/>
    <n v="1350"/>
    <n v="1.0234955E-2"/>
    <x v="3"/>
    <n v="-25084.206999999999"/>
    <n v="310.7407"/>
    <x v="1"/>
    <s v="Medium"/>
    <s v="Large"/>
    <s v="November"/>
    <x v="10"/>
  </r>
  <r>
    <d v="2021-11-13T00:00:00"/>
    <x v="12"/>
    <x v="2"/>
    <n v="130250"/>
    <n v="268000"/>
    <x v="0"/>
    <x v="0"/>
    <x v="0"/>
    <n v="3"/>
    <n v="1013"/>
    <n v="1.0234955E-2"/>
    <x v="3"/>
    <n v="137750"/>
    <n v="264.5607"/>
    <x v="0"/>
    <s v="Medium"/>
    <s v="Medium"/>
    <s v="November"/>
    <x v="10"/>
  </r>
  <r>
    <d v="2021-11-15T00:00:00"/>
    <x v="12"/>
    <x v="5"/>
    <n v="120980"/>
    <n v="240000"/>
    <x v="1"/>
    <x v="1"/>
    <x v="1"/>
    <n v="2"/>
    <n v="1111.6589814177564"/>
    <n v="1.0234955E-2"/>
    <x v="2"/>
    <n v="119020"/>
    <n v="215.89349999999999"/>
    <x v="0"/>
    <s v="Medium"/>
    <s v="Medium"/>
    <s v="November"/>
    <x v="10"/>
  </r>
  <r>
    <d v="2021-11-18T00:00:00"/>
    <x v="12"/>
    <x v="7"/>
    <n v="388440"/>
    <n v="635000"/>
    <x v="0"/>
    <x v="0"/>
    <x v="0"/>
    <n v="1"/>
    <n v="931"/>
    <n v="1.0234955E-2"/>
    <x v="2"/>
    <n v="246560"/>
    <n v="682.06230000000005"/>
    <x v="0"/>
    <s v="High"/>
    <s v="Medium"/>
    <s v="November"/>
    <x v="10"/>
  </r>
  <r>
    <d v="2021-11-19T00:00:00"/>
    <x v="12"/>
    <x v="1"/>
    <n v="235400"/>
    <n v="375000"/>
    <x v="0"/>
    <x v="0"/>
    <x v="0"/>
    <n v="3"/>
    <n v="951"/>
    <n v="1.0234955E-2"/>
    <x v="1"/>
    <n v="139600"/>
    <n v="394.3218"/>
    <x v="0"/>
    <s v="Medium"/>
    <s v="Medium"/>
    <s v="November"/>
    <x v="10"/>
  </r>
  <r>
    <d v="2021-11-20T00:00:00"/>
    <x v="12"/>
    <x v="4"/>
    <n v="734720"/>
    <n v="735000"/>
    <x v="0"/>
    <x v="0"/>
    <x v="0"/>
    <n v="3"/>
    <n v="1044"/>
    <n v="1.0234955E-2"/>
    <x v="0"/>
    <n v="280"/>
    <n v="704.02300000000002"/>
    <x v="0"/>
    <s v="High"/>
    <s v="Medium"/>
    <s v="November"/>
    <x v="10"/>
  </r>
  <r>
    <d v="2021-11-21T00:00:00"/>
    <x v="12"/>
    <x v="0"/>
    <n v="444584.20699999999"/>
    <n v="55000"/>
    <x v="2"/>
    <x v="2"/>
    <x v="2"/>
    <n v="4"/>
    <n v="1957"/>
    <n v="1.0234955E-2"/>
    <x v="2"/>
    <n v="-389584.20699999999"/>
    <n v="28.104199999999999"/>
    <x v="1"/>
    <s v="Low"/>
    <s v="Large"/>
    <s v="November"/>
    <x v="10"/>
  </r>
  <r>
    <d v="2021-11-22T00:00:00"/>
    <x v="12"/>
    <x v="4"/>
    <n v="348810"/>
    <n v="385000"/>
    <x v="0"/>
    <x v="0"/>
    <x v="0"/>
    <n v="3"/>
    <n v="1111.6589814177564"/>
    <n v="1.0234955E-2"/>
    <x v="0"/>
    <n v="36190"/>
    <n v="346.32920000000001"/>
    <x v="0"/>
    <s v="Medium"/>
    <s v="Medium"/>
    <s v="November"/>
    <x v="10"/>
  </r>
  <r>
    <d v="2021-11-25T00:00:00"/>
    <x v="12"/>
    <x v="7"/>
    <n v="503930"/>
    <n v="652222"/>
    <x v="0"/>
    <x v="0"/>
    <x v="0"/>
    <n v="1"/>
    <n v="1089"/>
    <n v="1.0234955E-2"/>
    <x v="3"/>
    <n v="148292"/>
    <n v="598.91830000000004"/>
    <x v="0"/>
    <s v="High"/>
    <s v="Medium"/>
    <s v="November"/>
    <x v="10"/>
  </r>
  <r>
    <d v="2021-11-26T00:00:00"/>
    <x v="12"/>
    <x v="5"/>
    <n v="444584.20699999999"/>
    <n v="57000"/>
    <x v="0"/>
    <x v="0"/>
    <x v="0"/>
    <n v="2"/>
    <n v="1031"/>
    <n v="1.0234955E-2"/>
    <x v="2"/>
    <n v="-387584.20699999999"/>
    <n v="55.286099999999998"/>
    <x v="1"/>
    <s v="Low"/>
    <s v="Medium"/>
    <s v="November"/>
    <x v="10"/>
  </r>
  <r>
    <d v="2021-11-27T00:00:00"/>
    <x v="12"/>
    <x v="2"/>
    <n v="84650"/>
    <n v="150000"/>
    <x v="1"/>
    <x v="1"/>
    <x v="1"/>
    <n v="2"/>
    <n v="1290"/>
    <n v="1.0234955E-2"/>
    <x v="1"/>
    <n v="65350"/>
    <n v="116.2791"/>
    <x v="0"/>
    <s v="Low"/>
    <s v="Medium"/>
    <s v="November"/>
    <x v="10"/>
  </r>
  <r>
    <d v="2021-12-02T00:00:00"/>
    <x v="12"/>
    <x v="6"/>
    <n v="170800"/>
    <n v="358500"/>
    <x v="0"/>
    <x v="0"/>
    <x v="0"/>
    <n v="2"/>
    <n v="1066"/>
    <n v="1.0234955E-2"/>
    <x v="2"/>
    <n v="187700"/>
    <n v="336.3039"/>
    <x v="0"/>
    <s v="Medium"/>
    <s v="Medium"/>
    <s v="December"/>
    <x v="11"/>
  </r>
  <r>
    <d v="2021-12-03T00:00:00"/>
    <x v="12"/>
    <x v="5"/>
    <n v="211120"/>
    <n v="330525"/>
    <x v="1"/>
    <x v="1"/>
    <x v="1"/>
    <n v="2"/>
    <n v="1111.6589814177564"/>
    <n v="1.0234955E-2"/>
    <x v="0"/>
    <n v="119405"/>
    <n v="297.32589999999999"/>
    <x v="0"/>
    <s v="Medium"/>
    <s v="Medium"/>
    <s v="December"/>
    <x v="11"/>
  </r>
  <r>
    <d v="2021-12-04T00:00:00"/>
    <x v="12"/>
    <x v="5"/>
    <n v="76710"/>
    <n v="168500"/>
    <x v="0"/>
    <x v="0"/>
    <x v="0"/>
    <n v="3"/>
    <n v="1067"/>
    <n v="1.0234955E-2"/>
    <x v="0"/>
    <n v="91790"/>
    <n v="157.9194"/>
    <x v="0"/>
    <s v="Low"/>
    <s v="Medium"/>
    <s v="December"/>
    <x v="11"/>
  </r>
  <r>
    <d v="2021-12-05T00:00:00"/>
    <x v="12"/>
    <x v="2"/>
    <n v="120940"/>
    <n v="288000"/>
    <x v="1"/>
    <x v="1"/>
    <x v="1"/>
    <n v="2"/>
    <n v="1209"/>
    <n v="1.0234955E-2"/>
    <x v="1"/>
    <n v="167060"/>
    <n v="238.21340000000001"/>
    <x v="0"/>
    <s v="Medium"/>
    <s v="Medium"/>
    <s v="December"/>
    <x v="11"/>
  </r>
  <r>
    <d v="2021-12-06T00:00:00"/>
    <x v="12"/>
    <x v="5"/>
    <n v="347680"/>
    <n v="545000"/>
    <x v="0"/>
    <x v="0"/>
    <x v="0"/>
    <n v="1"/>
    <n v="975"/>
    <n v="1.0234955E-2"/>
    <x v="3"/>
    <n v="197320"/>
    <n v="558.97439999999995"/>
    <x v="0"/>
    <s v="Medium"/>
    <s v="Medium"/>
    <s v="December"/>
    <x v="11"/>
  </r>
  <r>
    <d v="2021-12-09T00:00:00"/>
    <x v="12"/>
    <x v="0"/>
    <n v="38480"/>
    <n v="120000"/>
    <x v="2"/>
    <x v="2"/>
    <x v="2"/>
    <n v="4"/>
    <n v="2137"/>
    <n v="1.0234955E-2"/>
    <x v="0"/>
    <n v="81520"/>
    <n v="56.153500000000001"/>
    <x v="0"/>
    <s v="Low"/>
    <s v="Large"/>
    <s v="December"/>
    <x v="11"/>
  </r>
  <r>
    <d v="2021-12-10T00:00:00"/>
    <x v="12"/>
    <x v="5"/>
    <n v="405210"/>
    <n v="450000"/>
    <x v="0"/>
    <x v="0"/>
    <x v="0"/>
    <n v="1"/>
    <n v="980"/>
    <n v="1.0234955E-2"/>
    <x v="3"/>
    <n v="44790"/>
    <n v="459.18369999999999"/>
    <x v="0"/>
    <s v="Medium"/>
    <s v="Medium"/>
    <s v="December"/>
    <x v="11"/>
  </r>
  <r>
    <d v="2021-12-11T00:00:00"/>
    <x v="12"/>
    <x v="0"/>
    <n v="444584.20699999999"/>
    <n v="90000"/>
    <x v="2"/>
    <x v="2"/>
    <x v="2"/>
    <n v="4"/>
    <n v="1826"/>
    <n v="1.0234955E-2"/>
    <x v="2"/>
    <n v="-354584.20699999999"/>
    <n v="49.2881"/>
    <x v="1"/>
    <s v="Low"/>
    <s v="Large"/>
    <s v="December"/>
    <x v="11"/>
  </r>
  <r>
    <d v="2021-12-12T00:00:00"/>
    <x v="12"/>
    <x v="7"/>
    <n v="808260"/>
    <n v="875000"/>
    <x v="0"/>
    <x v="0"/>
    <x v="0"/>
    <n v="2"/>
    <n v="900"/>
    <n v="1.0234955E-2"/>
    <x v="0"/>
    <n v="66740"/>
    <n v="972.22220000000004"/>
    <x v="0"/>
    <s v="High"/>
    <s v="Medium"/>
    <s v="December"/>
    <x v="11"/>
  </r>
  <r>
    <d v="2021-12-17T00:00:00"/>
    <x v="12"/>
    <x v="5"/>
    <n v="656740"/>
    <n v="850000"/>
    <x v="0"/>
    <x v="0"/>
    <x v="0"/>
    <n v="2"/>
    <n v="977"/>
    <n v="1.0234955E-2"/>
    <x v="3"/>
    <n v="193260"/>
    <n v="870.01020000000005"/>
    <x v="0"/>
    <s v="High"/>
    <s v="Medium"/>
    <s v="December"/>
    <x v="11"/>
  </r>
  <r>
    <d v="2021-12-18T00:00:00"/>
    <x v="12"/>
    <x v="2"/>
    <n v="176350"/>
    <n v="220000"/>
    <x v="0"/>
    <x v="0"/>
    <x v="0"/>
    <n v="3"/>
    <n v="1077"/>
    <n v="1.0234955E-2"/>
    <x v="2"/>
    <n v="43650"/>
    <n v="204.27109999999999"/>
    <x v="0"/>
    <s v="Medium"/>
    <s v="Medium"/>
    <s v="December"/>
    <x v="11"/>
  </r>
  <r>
    <d v="2021-12-19T00:00:00"/>
    <x v="12"/>
    <x v="0"/>
    <n v="65900"/>
    <n v="100000"/>
    <x v="0"/>
    <x v="0"/>
    <x v="0"/>
    <n v="2"/>
    <n v="1111.6589814177564"/>
    <n v="1.0234955E-2"/>
    <x v="2"/>
    <n v="34100"/>
    <n v="89.955600000000004"/>
    <x v="0"/>
    <s v="Low"/>
    <s v="Medium"/>
    <s v="December"/>
    <x v="11"/>
  </r>
  <r>
    <d v="2021-12-20T00:00:00"/>
    <x v="12"/>
    <x v="6"/>
    <n v="194040"/>
    <n v="205000"/>
    <x v="0"/>
    <x v="0"/>
    <x v="0"/>
    <n v="2"/>
    <n v="996"/>
    <n v="1.0234955E-2"/>
    <x v="2"/>
    <n v="10960"/>
    <n v="205.82329999999999"/>
    <x v="0"/>
    <s v="Medium"/>
    <s v="Medium"/>
    <s v="December"/>
    <x v="11"/>
  </r>
  <r>
    <d v="2021-12-23T00:00:00"/>
    <x v="12"/>
    <x v="1"/>
    <n v="219400"/>
    <n v="360000"/>
    <x v="0"/>
    <x v="0"/>
    <x v="0"/>
    <n v="3"/>
    <n v="1007"/>
    <n v="1.0234955E-2"/>
    <x v="1"/>
    <n v="140600"/>
    <n v="357.4975"/>
    <x v="0"/>
    <s v="Medium"/>
    <s v="Medium"/>
    <s v="December"/>
    <x v="11"/>
  </r>
  <r>
    <d v="2021-12-26T00:00:00"/>
    <x v="12"/>
    <x v="6"/>
    <n v="198100"/>
    <n v="272950"/>
    <x v="0"/>
    <x v="0"/>
    <x v="0"/>
    <n v="2"/>
    <n v="1061"/>
    <n v="1.0234955E-2"/>
    <x v="2"/>
    <n v="74850"/>
    <n v="257.25729999999999"/>
    <x v="0"/>
    <s v="Medium"/>
    <s v="Medium"/>
    <s v="December"/>
    <x v="11"/>
  </r>
  <r>
    <d v="2021-12-27T00:00:00"/>
    <x v="12"/>
    <x v="0"/>
    <n v="102560"/>
    <n v="90000"/>
    <x v="0"/>
    <x v="0"/>
    <x v="0"/>
    <n v="3"/>
    <n v="900"/>
    <n v="1.0234955E-2"/>
    <x v="1"/>
    <n v="-12560"/>
    <n v="100"/>
    <x v="1"/>
    <s v="Low"/>
    <s v="Medium"/>
    <s v="December"/>
    <x v="11"/>
  </r>
  <r>
    <d v="2021-12-31T00:00:00"/>
    <x v="12"/>
    <x v="2"/>
    <n v="142660"/>
    <n v="275000"/>
    <x v="0"/>
    <x v="0"/>
    <x v="0"/>
    <n v="1"/>
    <n v="1111.6589814177564"/>
    <n v="1.0234955E-2"/>
    <x v="3"/>
    <n v="132340"/>
    <n v="247.37799999999999"/>
    <x v="0"/>
    <s v="Medium"/>
    <s v="Medium"/>
    <s v="December"/>
    <x v="11"/>
  </r>
  <r>
    <d v="2022-01-02T00:00:00"/>
    <x v="13"/>
    <x v="7"/>
    <n v="286190"/>
    <n v="393250"/>
    <x v="0"/>
    <x v="0"/>
    <x v="0"/>
    <n v="2"/>
    <n v="1025"/>
    <n v="1.003979E-2"/>
    <x v="0"/>
    <n v="107060"/>
    <n v="383.6585"/>
    <x v="0"/>
    <s v="Medium"/>
    <s v="Medium"/>
    <s v="January"/>
    <x v="0"/>
  </r>
  <r>
    <d v="2022-01-03T00:00:00"/>
    <x v="13"/>
    <x v="0"/>
    <n v="89180"/>
    <n v="174000"/>
    <x v="0"/>
    <x v="0"/>
    <x v="0"/>
    <n v="3"/>
    <n v="1086"/>
    <n v="1.003979E-2"/>
    <x v="1"/>
    <n v="84820"/>
    <n v="160.221"/>
    <x v="0"/>
    <s v="Low"/>
    <s v="Medium"/>
    <s v="January"/>
    <x v="0"/>
  </r>
  <r>
    <d v="2022-01-06T00:00:00"/>
    <x v="13"/>
    <x v="1"/>
    <n v="142870"/>
    <n v="167000"/>
    <x v="0"/>
    <x v="0"/>
    <x v="0"/>
    <n v="2"/>
    <n v="971"/>
    <n v="1.003979E-2"/>
    <x v="3"/>
    <n v="24130"/>
    <n v="171.98759999999999"/>
    <x v="0"/>
    <s v="Low"/>
    <s v="Medium"/>
    <s v="January"/>
    <x v="0"/>
  </r>
  <r>
    <d v="2022-01-07T00:00:00"/>
    <x v="13"/>
    <x v="1"/>
    <n v="734670"/>
    <n v="1375000"/>
    <x v="0"/>
    <x v="0"/>
    <x v="0"/>
    <n v="1"/>
    <n v="1018"/>
    <n v="1.003979E-2"/>
    <x v="3"/>
    <n v="640330"/>
    <n v="1350.6876"/>
    <x v="0"/>
    <s v="High"/>
    <s v="Medium"/>
    <s v="January"/>
    <x v="0"/>
  </r>
  <r>
    <d v="2022-01-08T00:00:00"/>
    <x v="13"/>
    <x v="5"/>
    <n v="612760"/>
    <n v="550000"/>
    <x v="0"/>
    <x v="0"/>
    <x v="0"/>
    <n v="1"/>
    <n v="945"/>
    <n v="1.003979E-2"/>
    <x v="2"/>
    <n v="-62760"/>
    <n v="582.01059999999995"/>
    <x v="1"/>
    <s v="Medium"/>
    <s v="Medium"/>
    <s v="January"/>
    <x v="0"/>
  </r>
  <r>
    <d v="2022-01-09T00:00:00"/>
    <x v="13"/>
    <x v="5"/>
    <n v="386710"/>
    <n v="147000"/>
    <x v="0"/>
    <x v="0"/>
    <x v="0"/>
    <n v="3"/>
    <n v="947"/>
    <n v="1.003979E-2"/>
    <x v="0"/>
    <n v="-239710"/>
    <n v="155.227"/>
    <x v="1"/>
    <s v="Low"/>
    <s v="Medium"/>
    <s v="January"/>
    <x v="0"/>
  </r>
  <r>
    <d v="2022-01-10T00:00:00"/>
    <x v="13"/>
    <x v="0"/>
    <n v="72210"/>
    <n v="120000"/>
    <x v="0"/>
    <x v="0"/>
    <x v="0"/>
    <n v="3"/>
    <n v="1046"/>
    <n v="1.003979E-2"/>
    <x v="1"/>
    <n v="47790"/>
    <n v="114.72280000000001"/>
    <x v="0"/>
    <s v="Low"/>
    <s v="Medium"/>
    <s v="January"/>
    <x v="0"/>
  </r>
  <r>
    <d v="2022-01-14T00:00:00"/>
    <x v="13"/>
    <x v="5"/>
    <n v="444584.20699999999"/>
    <n v="170500"/>
    <x v="0"/>
    <x v="0"/>
    <x v="0"/>
    <n v="3"/>
    <n v="984"/>
    <n v="1.003979E-2"/>
    <x v="0"/>
    <n v="-274084.20699999999"/>
    <n v="173.2724"/>
    <x v="1"/>
    <s v="Low"/>
    <s v="Medium"/>
    <s v="January"/>
    <x v="0"/>
  </r>
  <r>
    <d v="2022-01-15T00:00:00"/>
    <x v="13"/>
    <x v="5"/>
    <n v="84180"/>
    <n v="75000"/>
    <x v="0"/>
    <x v="0"/>
    <x v="0"/>
    <n v="2"/>
    <n v="1111.6589814177564"/>
    <n v="1.003979E-2"/>
    <x v="1"/>
    <n v="-9180"/>
    <n v="67.466700000000003"/>
    <x v="1"/>
    <s v="Low"/>
    <s v="Medium"/>
    <s v="January"/>
    <x v="0"/>
  </r>
  <r>
    <d v="2022-01-16T00:00:00"/>
    <x v="13"/>
    <x v="2"/>
    <n v="116830"/>
    <n v="247000"/>
    <x v="2"/>
    <x v="2"/>
    <x v="2"/>
    <n v="4"/>
    <n v="1111.6589814177564"/>
    <n v="1.003979E-2"/>
    <x v="1"/>
    <n v="130170"/>
    <n v="222.19040000000001"/>
    <x v="0"/>
    <s v="Medium"/>
    <s v="Medium"/>
    <s v="January"/>
    <x v="0"/>
  </r>
  <r>
    <d v="2022-01-17T00:00:00"/>
    <x v="13"/>
    <x v="3"/>
    <n v="444584.20699999999"/>
    <n v="4750000"/>
    <x v="0"/>
    <x v="0"/>
    <x v="0"/>
    <n v="3"/>
    <n v="936"/>
    <n v="1.003979E-2"/>
    <x v="0"/>
    <n v="4305415.7929999996"/>
    <n v="5074.7862999999998"/>
    <x v="0"/>
    <s v="High"/>
    <s v="Medium"/>
    <s v="January"/>
    <x v="0"/>
  </r>
  <r>
    <d v="2022-01-21T00:00:00"/>
    <x v="13"/>
    <x v="2"/>
    <n v="129080"/>
    <n v="200000"/>
    <x v="0"/>
    <x v="0"/>
    <x v="0"/>
    <n v="3"/>
    <n v="1111.6589814177564"/>
    <n v="1.003979E-2"/>
    <x v="1"/>
    <n v="70920"/>
    <n v="179.91130000000001"/>
    <x v="0"/>
    <s v="Medium"/>
    <s v="Medium"/>
    <s v="January"/>
    <x v="0"/>
  </r>
  <r>
    <d v="2022-01-22T00:00:00"/>
    <x v="13"/>
    <x v="2"/>
    <n v="444584.20699999999"/>
    <n v="280000"/>
    <x v="0"/>
    <x v="0"/>
    <x v="0"/>
    <n v="2"/>
    <n v="916"/>
    <n v="1.003979E-2"/>
    <x v="1"/>
    <n v="-164584.20699999999"/>
    <n v="305.67689999999999"/>
    <x v="1"/>
    <s v="Medium"/>
    <s v="Medium"/>
    <s v="January"/>
    <x v="0"/>
  </r>
  <r>
    <d v="2022-01-24T00:00:00"/>
    <x v="13"/>
    <x v="0"/>
    <n v="55670"/>
    <n v="169000"/>
    <x v="2"/>
    <x v="2"/>
    <x v="2"/>
    <n v="5"/>
    <n v="1983"/>
    <n v="1.003979E-2"/>
    <x v="3"/>
    <n v="113330"/>
    <n v="85.224400000000003"/>
    <x v="0"/>
    <s v="Low"/>
    <s v="Large"/>
    <s v="January"/>
    <x v="0"/>
  </r>
  <r>
    <d v="2022-01-27T00:00:00"/>
    <x v="13"/>
    <x v="2"/>
    <n v="119800"/>
    <n v="235000"/>
    <x v="0"/>
    <x v="0"/>
    <x v="0"/>
    <n v="3"/>
    <n v="905"/>
    <n v="1.003979E-2"/>
    <x v="3"/>
    <n v="115200"/>
    <n v="259.66849999999999"/>
    <x v="0"/>
    <s v="Medium"/>
    <s v="Medium"/>
    <s v="January"/>
    <x v="0"/>
  </r>
  <r>
    <d v="2022-01-29T00:00:00"/>
    <x v="13"/>
    <x v="2"/>
    <n v="127020"/>
    <n v="245000"/>
    <x v="1"/>
    <x v="1"/>
    <x v="1"/>
    <n v="3"/>
    <n v="1499"/>
    <n v="1.003979E-2"/>
    <x v="3"/>
    <n v="117980"/>
    <n v="163.44229999999999"/>
    <x v="0"/>
    <s v="Medium"/>
    <s v="Large"/>
    <s v="January"/>
    <x v="0"/>
  </r>
  <r>
    <d v="2022-01-30T00:00:00"/>
    <x v="13"/>
    <x v="7"/>
    <n v="678390"/>
    <n v="950000"/>
    <x v="0"/>
    <x v="0"/>
    <x v="0"/>
    <n v="3"/>
    <n v="986"/>
    <n v="1.003979E-2"/>
    <x v="2"/>
    <n v="271610"/>
    <n v="963.48879999999997"/>
    <x v="0"/>
    <s v="High"/>
    <s v="Medium"/>
    <s v="January"/>
    <x v="0"/>
  </r>
  <r>
    <d v="2022-01-31T00:00:00"/>
    <x v="13"/>
    <x v="1"/>
    <n v="279400"/>
    <n v="390000"/>
    <x v="0"/>
    <x v="0"/>
    <x v="0"/>
    <n v="2"/>
    <n v="1041"/>
    <n v="1.003979E-2"/>
    <x v="2"/>
    <n v="110600"/>
    <n v="374.63979999999998"/>
    <x v="0"/>
    <s v="Medium"/>
    <s v="Medium"/>
    <s v="January"/>
    <x v="0"/>
  </r>
  <r>
    <d v="2022-02-03T00:00:00"/>
    <x v="13"/>
    <x v="2"/>
    <n v="156430"/>
    <n v="287000"/>
    <x v="0"/>
    <x v="0"/>
    <x v="0"/>
    <n v="3"/>
    <n v="1009"/>
    <n v="1.003979E-2"/>
    <x v="1"/>
    <n v="130570"/>
    <n v="284.44"/>
    <x v="0"/>
    <s v="Medium"/>
    <s v="Medium"/>
    <s v="February"/>
    <x v="1"/>
  </r>
  <r>
    <d v="2022-02-05T00:00:00"/>
    <x v="13"/>
    <x v="2"/>
    <n v="163560"/>
    <n v="212000"/>
    <x v="1"/>
    <x v="1"/>
    <x v="1"/>
    <n v="3"/>
    <n v="1271"/>
    <n v="1.003979E-2"/>
    <x v="0"/>
    <n v="48440"/>
    <n v="166.7978"/>
    <x v="0"/>
    <s v="Medium"/>
    <s v="Medium"/>
    <s v="February"/>
    <x v="1"/>
  </r>
  <r>
    <d v="2022-02-10T00:00:00"/>
    <x v="13"/>
    <x v="3"/>
    <n v="797020"/>
    <n v="500000"/>
    <x v="0"/>
    <x v="0"/>
    <x v="0"/>
    <n v="2"/>
    <n v="1075"/>
    <n v="1.003979E-2"/>
    <x v="3"/>
    <n v="-297020"/>
    <n v="465.11630000000002"/>
    <x v="1"/>
    <s v="Medium"/>
    <s v="Medium"/>
    <s v="February"/>
    <x v="1"/>
  </r>
  <r>
    <d v="2022-02-12T00:00:00"/>
    <x v="13"/>
    <x v="2"/>
    <n v="444584.20699999999"/>
    <n v="169900"/>
    <x v="1"/>
    <x v="1"/>
    <x v="1"/>
    <n v="2"/>
    <n v="1321"/>
    <n v="1.003979E-2"/>
    <x v="3"/>
    <n v="-274684.20699999999"/>
    <n v="128.6147"/>
    <x v="1"/>
    <s v="Low"/>
    <s v="Large"/>
    <s v="February"/>
    <x v="1"/>
  </r>
  <r>
    <d v="2022-02-13T00:00:00"/>
    <x v="13"/>
    <x v="1"/>
    <n v="228100"/>
    <n v="6200"/>
    <x v="0"/>
    <x v="0"/>
    <x v="0"/>
    <n v="3"/>
    <n v="942"/>
    <n v="1.003979E-2"/>
    <x v="1"/>
    <n v="-221900"/>
    <n v="6.5816999999999997"/>
    <x v="1"/>
    <s v="Low"/>
    <s v="Medium"/>
    <s v="February"/>
    <x v="1"/>
  </r>
  <r>
    <d v="2022-02-14T00:00:00"/>
    <x v="13"/>
    <x v="5"/>
    <n v="336680"/>
    <n v="400000"/>
    <x v="0"/>
    <x v="0"/>
    <x v="0"/>
    <n v="1"/>
    <n v="910"/>
    <n v="1.003979E-2"/>
    <x v="0"/>
    <n v="63320"/>
    <n v="439.56040000000002"/>
    <x v="0"/>
    <s v="Medium"/>
    <s v="Medium"/>
    <s v="February"/>
    <x v="1"/>
  </r>
  <r>
    <d v="2022-02-18T00:00:00"/>
    <x v="13"/>
    <x v="0"/>
    <n v="139770"/>
    <n v="159000"/>
    <x v="0"/>
    <x v="0"/>
    <x v="0"/>
    <n v="1"/>
    <n v="1018"/>
    <n v="1.003979E-2"/>
    <x v="0"/>
    <n v="19230"/>
    <n v="156.18860000000001"/>
    <x v="0"/>
    <s v="Low"/>
    <s v="Medium"/>
    <s v="February"/>
    <x v="1"/>
  </r>
  <r>
    <d v="2022-02-20T00:00:00"/>
    <x v="13"/>
    <x v="4"/>
    <n v="255430"/>
    <n v="302150"/>
    <x v="0"/>
    <x v="0"/>
    <x v="0"/>
    <n v="3"/>
    <n v="936"/>
    <n v="1.003979E-2"/>
    <x v="2"/>
    <n v="46720"/>
    <n v="322.8098"/>
    <x v="0"/>
    <s v="Medium"/>
    <s v="Medium"/>
    <s v="February"/>
    <x v="1"/>
  </r>
  <r>
    <d v="2022-02-24T00:00:00"/>
    <x v="13"/>
    <x v="7"/>
    <n v="410660"/>
    <n v="748500"/>
    <x v="0"/>
    <x v="0"/>
    <x v="0"/>
    <n v="1"/>
    <n v="981"/>
    <n v="1.003979E-2"/>
    <x v="1"/>
    <n v="337840"/>
    <n v="762.99689999999998"/>
    <x v="0"/>
    <s v="High"/>
    <s v="Medium"/>
    <s v="February"/>
    <x v="1"/>
  </r>
  <r>
    <d v="2022-02-25T00:00:00"/>
    <x v="13"/>
    <x v="2"/>
    <n v="148050"/>
    <n v="344000"/>
    <x v="0"/>
    <x v="0"/>
    <x v="0"/>
    <n v="1"/>
    <n v="1085"/>
    <n v="1.003979E-2"/>
    <x v="1"/>
    <n v="195950"/>
    <n v="317.05070000000001"/>
    <x v="0"/>
    <s v="Medium"/>
    <s v="Medium"/>
    <s v="February"/>
    <x v="1"/>
  </r>
  <r>
    <d v="2022-02-26T00:00:00"/>
    <x v="13"/>
    <x v="1"/>
    <n v="228330"/>
    <n v="390000"/>
    <x v="1"/>
    <x v="1"/>
    <x v="1"/>
    <n v="4"/>
    <n v="1111.6589814177564"/>
    <n v="1.003979E-2"/>
    <x v="2"/>
    <n v="161670"/>
    <n v="350.827"/>
    <x v="0"/>
    <s v="Medium"/>
    <s v="Medium"/>
    <s v="February"/>
    <x v="1"/>
  </r>
  <r>
    <d v="2022-02-27T00:00:00"/>
    <x v="13"/>
    <x v="0"/>
    <n v="85490"/>
    <n v="190000"/>
    <x v="2"/>
    <x v="2"/>
    <x v="2"/>
    <n v="6"/>
    <n v="1951"/>
    <n v="1.003979E-2"/>
    <x v="3"/>
    <n v="104510"/>
    <n v="97.385999999999996"/>
    <x v="0"/>
    <s v="Low"/>
    <s v="Large"/>
    <s v="February"/>
    <x v="1"/>
  </r>
  <r>
    <d v="2022-02-28T00:00:00"/>
    <x v="13"/>
    <x v="3"/>
    <n v="1190000"/>
    <n v="1630000"/>
    <x v="0"/>
    <x v="0"/>
    <x v="0"/>
    <n v="3"/>
    <n v="1082"/>
    <n v="1.003979E-2"/>
    <x v="3"/>
    <n v="440000"/>
    <n v="1506.4694999999999"/>
    <x v="0"/>
    <s v="High"/>
    <s v="Medium"/>
    <s v="February"/>
    <x v="1"/>
  </r>
  <r>
    <d v="2022-03-02T00:00:00"/>
    <x v="13"/>
    <x v="1"/>
    <n v="222180"/>
    <n v="361500"/>
    <x v="0"/>
    <x v="0"/>
    <x v="0"/>
    <n v="1"/>
    <n v="1078"/>
    <n v="1.003979E-2"/>
    <x v="3"/>
    <n v="139320"/>
    <n v="335.34320000000002"/>
    <x v="0"/>
    <s v="Medium"/>
    <s v="Medium"/>
    <s v="March"/>
    <x v="2"/>
  </r>
  <r>
    <d v="2022-03-03T00:00:00"/>
    <x v="13"/>
    <x v="2"/>
    <n v="191190"/>
    <n v="425800"/>
    <x v="2"/>
    <x v="2"/>
    <x v="2"/>
    <n v="4"/>
    <n v="1810"/>
    <n v="1.003979E-2"/>
    <x v="2"/>
    <n v="234610"/>
    <n v="235.24860000000001"/>
    <x v="0"/>
    <s v="Medium"/>
    <s v="Large"/>
    <s v="March"/>
    <x v="2"/>
  </r>
  <r>
    <d v="2022-03-05T00:00:00"/>
    <x v="13"/>
    <x v="4"/>
    <n v="1995000"/>
    <n v="2525000"/>
    <x v="0"/>
    <x v="0"/>
    <x v="0"/>
    <n v="3"/>
    <n v="985"/>
    <n v="1.003979E-2"/>
    <x v="1"/>
    <n v="530000"/>
    <n v="2563.4517999999998"/>
    <x v="0"/>
    <s v="High"/>
    <s v="Medium"/>
    <s v="March"/>
    <x v="2"/>
  </r>
  <r>
    <d v="2022-03-06T00:00:00"/>
    <x v="13"/>
    <x v="7"/>
    <n v="428600"/>
    <n v="620000"/>
    <x v="0"/>
    <x v="0"/>
    <x v="0"/>
    <n v="1"/>
    <n v="1095"/>
    <n v="1.003979E-2"/>
    <x v="0"/>
    <n v="191400"/>
    <n v="566.21"/>
    <x v="0"/>
    <s v="High"/>
    <s v="Medium"/>
    <s v="March"/>
    <x v="2"/>
  </r>
  <r>
    <d v="2022-03-09T00:00:00"/>
    <x v="13"/>
    <x v="1"/>
    <n v="348970"/>
    <n v="470000"/>
    <x v="0"/>
    <x v="0"/>
    <x v="0"/>
    <n v="3"/>
    <n v="943"/>
    <n v="1.003979E-2"/>
    <x v="2"/>
    <n v="121030"/>
    <n v="498.40929999999997"/>
    <x v="0"/>
    <s v="Medium"/>
    <s v="Medium"/>
    <s v="March"/>
    <x v="2"/>
  </r>
  <r>
    <d v="2022-03-10T00:00:00"/>
    <x v="13"/>
    <x v="5"/>
    <n v="71580"/>
    <n v="115000"/>
    <x v="0"/>
    <x v="0"/>
    <x v="0"/>
    <n v="3"/>
    <n v="952"/>
    <n v="1.003979E-2"/>
    <x v="3"/>
    <n v="43420"/>
    <n v="120.7983"/>
    <x v="0"/>
    <s v="Low"/>
    <s v="Medium"/>
    <s v="March"/>
    <x v="2"/>
  </r>
  <r>
    <d v="2022-03-12T00:00:00"/>
    <x v="13"/>
    <x v="5"/>
    <n v="123410"/>
    <n v="130000"/>
    <x v="0"/>
    <x v="0"/>
    <x v="0"/>
    <n v="2"/>
    <n v="940"/>
    <n v="1.003979E-2"/>
    <x v="1"/>
    <n v="6590"/>
    <n v="138.2979"/>
    <x v="0"/>
    <s v="Low"/>
    <s v="Medium"/>
    <s v="March"/>
    <x v="2"/>
  </r>
  <r>
    <d v="2022-03-16T00:00:00"/>
    <x v="13"/>
    <x v="4"/>
    <n v="337750"/>
    <n v="450000"/>
    <x v="1"/>
    <x v="1"/>
    <x v="1"/>
    <n v="3"/>
    <n v="1302"/>
    <n v="1.003979E-2"/>
    <x v="1"/>
    <n v="112250"/>
    <n v="345.62209999999999"/>
    <x v="0"/>
    <s v="Medium"/>
    <s v="Large"/>
    <s v="March"/>
    <x v="2"/>
  </r>
  <r>
    <d v="2022-03-17T00:00:00"/>
    <x v="13"/>
    <x v="5"/>
    <n v="336490"/>
    <n v="400000"/>
    <x v="0"/>
    <x v="0"/>
    <x v="0"/>
    <n v="1"/>
    <n v="1055"/>
    <n v="1.003979E-2"/>
    <x v="3"/>
    <n v="63510"/>
    <n v="379.14690000000002"/>
    <x v="0"/>
    <s v="Medium"/>
    <s v="Medium"/>
    <s v="March"/>
    <x v="2"/>
  </r>
  <r>
    <d v="2022-03-18T00:00:00"/>
    <x v="13"/>
    <x v="0"/>
    <n v="41380"/>
    <n v="47000"/>
    <x v="0"/>
    <x v="0"/>
    <x v="0"/>
    <n v="3"/>
    <n v="984"/>
    <n v="1.003979E-2"/>
    <x v="0"/>
    <n v="5620"/>
    <n v="47.764200000000002"/>
    <x v="0"/>
    <s v="Low"/>
    <s v="Medium"/>
    <s v="March"/>
    <x v="2"/>
  </r>
  <r>
    <d v="2022-03-19T00:00:00"/>
    <x v="13"/>
    <x v="0"/>
    <n v="87110"/>
    <n v="165000"/>
    <x v="1"/>
    <x v="1"/>
    <x v="1"/>
    <n v="2"/>
    <n v="1476"/>
    <n v="1.003979E-2"/>
    <x v="1"/>
    <n v="77890"/>
    <n v="111.7886"/>
    <x v="0"/>
    <s v="Low"/>
    <s v="Large"/>
    <s v="March"/>
    <x v="2"/>
  </r>
  <r>
    <d v="2022-03-20T00:00:00"/>
    <x v="13"/>
    <x v="3"/>
    <n v="346080"/>
    <n v="715000"/>
    <x v="1"/>
    <x v="1"/>
    <x v="1"/>
    <n v="3"/>
    <n v="1284"/>
    <n v="1.003979E-2"/>
    <x v="1"/>
    <n v="368920"/>
    <n v="556.85360000000003"/>
    <x v="0"/>
    <s v="High"/>
    <s v="Medium"/>
    <s v="March"/>
    <x v="2"/>
  </r>
  <r>
    <d v="2022-03-23T00:00:00"/>
    <x v="13"/>
    <x v="7"/>
    <n v="339610"/>
    <n v="533000"/>
    <x v="1"/>
    <x v="1"/>
    <x v="1"/>
    <n v="2"/>
    <n v="1421"/>
    <n v="1.003979E-2"/>
    <x v="3"/>
    <n v="193390"/>
    <n v="375.08800000000002"/>
    <x v="0"/>
    <s v="Medium"/>
    <s v="Large"/>
    <s v="March"/>
    <x v="2"/>
  </r>
  <r>
    <d v="2022-03-24T00:00:00"/>
    <x v="13"/>
    <x v="5"/>
    <n v="933750"/>
    <n v="1200000"/>
    <x v="0"/>
    <x v="0"/>
    <x v="0"/>
    <n v="3"/>
    <n v="953"/>
    <n v="1.003979E-2"/>
    <x v="3"/>
    <n v="266250"/>
    <n v="1259.1814999999999"/>
    <x v="0"/>
    <s v="High"/>
    <s v="Medium"/>
    <s v="March"/>
    <x v="2"/>
  </r>
  <r>
    <d v="2022-03-25T00:00:00"/>
    <x v="13"/>
    <x v="2"/>
    <n v="116830"/>
    <n v="245000"/>
    <x v="0"/>
    <x v="0"/>
    <x v="0"/>
    <n v="2"/>
    <n v="1043"/>
    <n v="1.003979E-2"/>
    <x v="3"/>
    <n v="128170"/>
    <n v="234.89930000000001"/>
    <x v="0"/>
    <s v="Medium"/>
    <s v="Medium"/>
    <s v="March"/>
    <x v="2"/>
  </r>
  <r>
    <d v="2022-03-26T00:00:00"/>
    <x v="13"/>
    <x v="5"/>
    <n v="278190"/>
    <n v="415000"/>
    <x v="0"/>
    <x v="0"/>
    <x v="0"/>
    <n v="3"/>
    <n v="959"/>
    <n v="1.003979E-2"/>
    <x v="3"/>
    <n v="136810"/>
    <n v="432.74239999999998"/>
    <x v="0"/>
    <s v="Medium"/>
    <s v="Medium"/>
    <s v="March"/>
    <x v="2"/>
  </r>
  <r>
    <d v="2022-03-27T00:00:00"/>
    <x v="13"/>
    <x v="3"/>
    <n v="3856580"/>
    <n v="5100000"/>
    <x v="0"/>
    <x v="0"/>
    <x v="0"/>
    <n v="3"/>
    <n v="1025"/>
    <n v="1.003979E-2"/>
    <x v="1"/>
    <n v="1243420"/>
    <n v="4975.6098000000002"/>
    <x v="0"/>
    <s v="High"/>
    <s v="Medium"/>
    <s v="March"/>
    <x v="2"/>
  </r>
  <r>
    <d v="2022-03-30T00:00:00"/>
    <x v="13"/>
    <x v="0"/>
    <n v="89130"/>
    <n v="49810"/>
    <x v="0"/>
    <x v="0"/>
    <x v="0"/>
    <n v="1"/>
    <n v="984"/>
    <n v="1.003979E-2"/>
    <x v="2"/>
    <n v="-39320"/>
    <n v="50.619900000000001"/>
    <x v="1"/>
    <s v="Low"/>
    <s v="Medium"/>
    <s v="March"/>
    <x v="2"/>
  </r>
  <r>
    <d v="2022-03-31T00:00:00"/>
    <x v="13"/>
    <x v="5"/>
    <n v="444584.20699999999"/>
    <n v="425000"/>
    <x v="0"/>
    <x v="0"/>
    <x v="0"/>
    <n v="3"/>
    <n v="923"/>
    <n v="1.003979E-2"/>
    <x v="1"/>
    <n v="-19584.206999999999"/>
    <n v="460.45499999999998"/>
    <x v="1"/>
    <s v="Medium"/>
    <s v="Medium"/>
    <s v="March"/>
    <x v="2"/>
  </r>
  <r>
    <d v="2022-04-01T00:00:00"/>
    <x v="13"/>
    <x v="6"/>
    <n v="277830"/>
    <n v="490000"/>
    <x v="0"/>
    <x v="0"/>
    <x v="0"/>
    <n v="2"/>
    <n v="953"/>
    <n v="1.003979E-2"/>
    <x v="0"/>
    <n v="212170"/>
    <n v="514.16579999999999"/>
    <x v="0"/>
    <s v="Medium"/>
    <s v="Medium"/>
    <s v="April"/>
    <x v="3"/>
  </r>
  <r>
    <d v="2022-04-02T00:00:00"/>
    <x v="13"/>
    <x v="7"/>
    <n v="297920"/>
    <n v="435000"/>
    <x v="0"/>
    <x v="0"/>
    <x v="0"/>
    <n v="3"/>
    <n v="1111.6589814177564"/>
    <n v="1.003979E-2"/>
    <x v="3"/>
    <n v="137080"/>
    <n v="391.30709999999999"/>
    <x v="0"/>
    <s v="Medium"/>
    <s v="Medium"/>
    <s v="April"/>
    <x v="3"/>
  </r>
  <r>
    <d v="2022-04-03T00:00:00"/>
    <x v="13"/>
    <x v="5"/>
    <n v="296810"/>
    <n v="400000"/>
    <x v="0"/>
    <x v="0"/>
    <x v="0"/>
    <n v="3"/>
    <n v="1012"/>
    <n v="1.003979E-2"/>
    <x v="1"/>
    <n v="103190"/>
    <n v="395.25689999999997"/>
    <x v="0"/>
    <s v="Medium"/>
    <s v="Medium"/>
    <s v="April"/>
    <x v="3"/>
  </r>
  <r>
    <d v="2022-04-07T00:00:00"/>
    <x v="13"/>
    <x v="5"/>
    <n v="248450"/>
    <n v="300500"/>
    <x v="0"/>
    <x v="0"/>
    <x v="0"/>
    <n v="2"/>
    <n v="1076"/>
    <n v="1.003979E-2"/>
    <x v="1"/>
    <n v="52050"/>
    <n v="279.27510000000001"/>
    <x v="0"/>
    <s v="Medium"/>
    <s v="Medium"/>
    <s v="April"/>
    <x v="3"/>
  </r>
  <r>
    <d v="2022-04-08T00:00:00"/>
    <x v="13"/>
    <x v="6"/>
    <n v="444584.20699999999"/>
    <n v="248000"/>
    <x v="0"/>
    <x v="0"/>
    <x v="0"/>
    <n v="2"/>
    <n v="1097"/>
    <n v="1.003979E-2"/>
    <x v="3"/>
    <n v="-196584.20699999999"/>
    <n v="226.0711"/>
    <x v="1"/>
    <s v="Medium"/>
    <s v="Medium"/>
    <s v="April"/>
    <x v="3"/>
  </r>
  <r>
    <d v="2022-04-09T00:00:00"/>
    <x v="13"/>
    <x v="1"/>
    <n v="208830"/>
    <n v="465000"/>
    <x v="0"/>
    <x v="0"/>
    <x v="0"/>
    <n v="2"/>
    <n v="937"/>
    <n v="1.003979E-2"/>
    <x v="0"/>
    <n v="256170"/>
    <n v="496.2647"/>
    <x v="0"/>
    <s v="Medium"/>
    <s v="Medium"/>
    <s v="April"/>
    <x v="3"/>
  </r>
  <r>
    <d v="2022-04-13T00:00:00"/>
    <x v="13"/>
    <x v="6"/>
    <n v="152110"/>
    <n v="264000"/>
    <x v="0"/>
    <x v="0"/>
    <x v="0"/>
    <n v="3"/>
    <n v="1024"/>
    <n v="1.003979E-2"/>
    <x v="1"/>
    <n v="111890"/>
    <n v="257.8125"/>
    <x v="0"/>
    <s v="Medium"/>
    <s v="Medium"/>
    <s v="April"/>
    <x v="3"/>
  </r>
  <r>
    <d v="2022-04-14T00:00:00"/>
    <x v="13"/>
    <x v="1"/>
    <n v="326010"/>
    <n v="450000"/>
    <x v="1"/>
    <x v="1"/>
    <x v="1"/>
    <n v="2"/>
    <n v="1261"/>
    <n v="1.003979E-2"/>
    <x v="3"/>
    <n v="123990"/>
    <n v="356.8596"/>
    <x v="0"/>
    <s v="Medium"/>
    <s v="Medium"/>
    <s v="April"/>
    <x v="3"/>
  </r>
  <r>
    <d v="2022-04-16T00:00:00"/>
    <x v="13"/>
    <x v="5"/>
    <n v="55960"/>
    <n v="110000"/>
    <x v="0"/>
    <x v="0"/>
    <x v="0"/>
    <n v="1"/>
    <n v="1054"/>
    <n v="1.003979E-2"/>
    <x v="2"/>
    <n v="54040"/>
    <n v="104.3643"/>
    <x v="0"/>
    <s v="Low"/>
    <s v="Medium"/>
    <s v="April"/>
    <x v="3"/>
  </r>
  <r>
    <d v="2022-04-17T00:00:00"/>
    <x v="13"/>
    <x v="7"/>
    <n v="444584.20699999999"/>
    <n v="1085000"/>
    <x v="0"/>
    <x v="0"/>
    <x v="0"/>
    <n v="1"/>
    <n v="945"/>
    <n v="1.003979E-2"/>
    <x v="2"/>
    <n v="640415.79299999995"/>
    <n v="1148.1481000000001"/>
    <x v="0"/>
    <s v="High"/>
    <s v="Medium"/>
    <s v="April"/>
    <x v="3"/>
  </r>
  <r>
    <d v="2022-04-20T00:00:00"/>
    <x v="13"/>
    <x v="6"/>
    <n v="308560"/>
    <n v="355000"/>
    <x v="0"/>
    <x v="0"/>
    <x v="0"/>
    <n v="2"/>
    <n v="1111.6589814177564"/>
    <n v="1.003979E-2"/>
    <x v="3"/>
    <n v="46440"/>
    <n v="319.34249999999997"/>
    <x v="0"/>
    <s v="Medium"/>
    <s v="Medium"/>
    <s v="April"/>
    <x v="3"/>
  </r>
  <r>
    <d v="2022-04-21T00:00:00"/>
    <x v="13"/>
    <x v="6"/>
    <n v="143430"/>
    <n v="238000"/>
    <x v="0"/>
    <x v="0"/>
    <x v="0"/>
    <n v="1"/>
    <n v="1049"/>
    <n v="1.003979E-2"/>
    <x v="1"/>
    <n v="94570"/>
    <n v="226.8827"/>
    <x v="0"/>
    <s v="Medium"/>
    <s v="Medium"/>
    <s v="April"/>
    <x v="3"/>
  </r>
  <r>
    <d v="2022-04-22T00:00:00"/>
    <x v="13"/>
    <x v="1"/>
    <n v="873040"/>
    <n v="1150000"/>
    <x v="0"/>
    <x v="0"/>
    <x v="0"/>
    <n v="2"/>
    <n v="981"/>
    <n v="1.003979E-2"/>
    <x v="3"/>
    <n v="276960"/>
    <n v="1172.2732000000001"/>
    <x v="0"/>
    <s v="High"/>
    <s v="Medium"/>
    <s v="April"/>
    <x v="3"/>
  </r>
  <r>
    <d v="2022-04-23T00:00:00"/>
    <x v="13"/>
    <x v="0"/>
    <n v="186750"/>
    <n v="180000"/>
    <x v="0"/>
    <x v="0"/>
    <x v="0"/>
    <n v="3"/>
    <n v="1080"/>
    <n v="1.003979E-2"/>
    <x v="1"/>
    <n v="-6750"/>
    <n v="166.66669999999999"/>
    <x v="1"/>
    <s v="Low"/>
    <s v="Medium"/>
    <s v="April"/>
    <x v="3"/>
  </r>
  <r>
    <d v="2022-04-29T00:00:00"/>
    <x v="13"/>
    <x v="4"/>
    <n v="358120"/>
    <n v="535000"/>
    <x v="0"/>
    <x v="0"/>
    <x v="0"/>
    <n v="1"/>
    <n v="930"/>
    <n v="1.003979E-2"/>
    <x v="1"/>
    <n v="176880"/>
    <n v="575.26880000000006"/>
    <x v="0"/>
    <s v="Medium"/>
    <s v="Medium"/>
    <s v="April"/>
    <x v="3"/>
  </r>
  <r>
    <d v="2022-04-30T00:00:00"/>
    <x v="13"/>
    <x v="3"/>
    <n v="1400980"/>
    <n v="2647838"/>
    <x v="0"/>
    <x v="0"/>
    <x v="0"/>
    <n v="2"/>
    <n v="984"/>
    <n v="1.003979E-2"/>
    <x v="1"/>
    <n v="1246858"/>
    <n v="2690.8923"/>
    <x v="0"/>
    <s v="High"/>
    <s v="Medium"/>
    <s v="April"/>
    <x v="3"/>
  </r>
  <r>
    <d v="2022-05-01T00:00:00"/>
    <x v="13"/>
    <x v="1"/>
    <n v="444584.20699999999"/>
    <n v="485000"/>
    <x v="0"/>
    <x v="0"/>
    <x v="0"/>
    <n v="1"/>
    <n v="1008"/>
    <n v="1.003979E-2"/>
    <x v="0"/>
    <n v="40415.792999999998"/>
    <n v="481.1508"/>
    <x v="0"/>
    <s v="Medium"/>
    <s v="Medium"/>
    <s v="May"/>
    <x v="4"/>
  </r>
  <r>
    <d v="2022-05-05T00:00:00"/>
    <x v="13"/>
    <x v="5"/>
    <n v="595430"/>
    <n v="2374620"/>
    <x v="0"/>
    <x v="0"/>
    <x v="0"/>
    <n v="2"/>
    <n v="937"/>
    <n v="1.003979E-2"/>
    <x v="0"/>
    <n v="1779190"/>
    <n v="2534.2795999999998"/>
    <x v="0"/>
    <s v="High"/>
    <s v="Medium"/>
    <s v="May"/>
    <x v="4"/>
  </r>
  <r>
    <d v="2022-05-06T00:00:00"/>
    <x v="13"/>
    <x v="3"/>
    <n v="2034620"/>
    <n v="2180000"/>
    <x v="0"/>
    <x v="0"/>
    <x v="0"/>
    <n v="2"/>
    <n v="1050"/>
    <n v="1.003979E-2"/>
    <x v="1"/>
    <n v="145380"/>
    <n v="2076.1905000000002"/>
    <x v="0"/>
    <s v="High"/>
    <s v="Medium"/>
    <s v="May"/>
    <x v="4"/>
  </r>
  <r>
    <d v="2022-05-07T00:00:00"/>
    <x v="13"/>
    <x v="4"/>
    <n v="238770"/>
    <n v="290000"/>
    <x v="0"/>
    <x v="0"/>
    <x v="0"/>
    <n v="2"/>
    <n v="1041"/>
    <n v="1.003979E-2"/>
    <x v="3"/>
    <n v="51230"/>
    <n v="278.57830000000001"/>
    <x v="0"/>
    <s v="Medium"/>
    <s v="Medium"/>
    <s v="May"/>
    <x v="4"/>
  </r>
  <r>
    <d v="2022-05-08T00:00:00"/>
    <x v="13"/>
    <x v="7"/>
    <n v="362220"/>
    <n v="510000"/>
    <x v="0"/>
    <x v="0"/>
    <x v="0"/>
    <n v="3"/>
    <n v="1088"/>
    <n v="1.003979E-2"/>
    <x v="0"/>
    <n v="147780"/>
    <n v="468.75"/>
    <x v="0"/>
    <s v="Medium"/>
    <s v="Medium"/>
    <s v="May"/>
    <x v="4"/>
  </r>
  <r>
    <d v="2022-05-11T00:00:00"/>
    <x v="13"/>
    <x v="7"/>
    <n v="523920"/>
    <n v="729000"/>
    <x v="0"/>
    <x v="0"/>
    <x v="0"/>
    <n v="3"/>
    <n v="939"/>
    <n v="1.003979E-2"/>
    <x v="2"/>
    <n v="205080"/>
    <n v="776.3578"/>
    <x v="0"/>
    <s v="High"/>
    <s v="Medium"/>
    <s v="May"/>
    <x v="4"/>
  </r>
  <r>
    <d v="2022-05-12T00:00:00"/>
    <x v="13"/>
    <x v="7"/>
    <n v="444584.20699999999"/>
    <n v="970000"/>
    <x v="0"/>
    <x v="0"/>
    <x v="0"/>
    <n v="2"/>
    <n v="1111.6589814177564"/>
    <n v="1.003979E-2"/>
    <x v="3"/>
    <n v="525415.79299999995"/>
    <n v="872.56979999999999"/>
    <x v="0"/>
    <s v="High"/>
    <s v="Medium"/>
    <s v="May"/>
    <x v="4"/>
  </r>
  <r>
    <d v="2022-05-13T00:00:00"/>
    <x v="13"/>
    <x v="2"/>
    <n v="89070"/>
    <n v="260000"/>
    <x v="0"/>
    <x v="0"/>
    <x v="0"/>
    <n v="3"/>
    <n v="913"/>
    <n v="1.003979E-2"/>
    <x v="2"/>
    <n v="170930"/>
    <n v="284.77550000000002"/>
    <x v="0"/>
    <s v="Medium"/>
    <s v="Medium"/>
    <s v="May"/>
    <x v="4"/>
  </r>
  <r>
    <d v="2022-05-14T00:00:00"/>
    <x v="13"/>
    <x v="1"/>
    <n v="301880"/>
    <n v="469000"/>
    <x v="0"/>
    <x v="0"/>
    <x v="0"/>
    <n v="2"/>
    <n v="1086"/>
    <n v="1.003979E-2"/>
    <x v="1"/>
    <n v="167120"/>
    <n v="431.86"/>
    <x v="0"/>
    <s v="Medium"/>
    <s v="Medium"/>
    <s v="May"/>
    <x v="4"/>
  </r>
  <r>
    <d v="2022-05-15T00:00:00"/>
    <x v="13"/>
    <x v="2"/>
    <n v="124750"/>
    <n v="146913"/>
    <x v="0"/>
    <x v="0"/>
    <x v="0"/>
    <n v="2"/>
    <n v="1048"/>
    <n v="1.003979E-2"/>
    <x v="0"/>
    <n v="22163"/>
    <n v="140.1842"/>
    <x v="0"/>
    <s v="Low"/>
    <s v="Medium"/>
    <s v="May"/>
    <x v="4"/>
  </r>
  <r>
    <d v="2022-05-18T00:00:00"/>
    <x v="13"/>
    <x v="1"/>
    <n v="268300"/>
    <n v="450000"/>
    <x v="0"/>
    <x v="0"/>
    <x v="0"/>
    <n v="2"/>
    <n v="941"/>
    <n v="1.003979E-2"/>
    <x v="2"/>
    <n v="181700"/>
    <n v="478.21469999999999"/>
    <x v="0"/>
    <s v="Medium"/>
    <s v="Medium"/>
    <s v="May"/>
    <x v="4"/>
  </r>
  <r>
    <d v="2022-05-19T00:00:00"/>
    <x v="13"/>
    <x v="0"/>
    <n v="444584.20699999999"/>
    <n v="72100"/>
    <x v="0"/>
    <x v="0"/>
    <x v="0"/>
    <n v="3"/>
    <n v="1033"/>
    <n v="1.003979E-2"/>
    <x v="2"/>
    <n v="-372484.20699999999"/>
    <n v="69.796700000000001"/>
    <x v="1"/>
    <s v="Low"/>
    <s v="Medium"/>
    <s v="May"/>
    <x v="4"/>
  </r>
  <r>
    <d v="2022-05-20T00:00:00"/>
    <x v="13"/>
    <x v="3"/>
    <n v="444584.20699999999"/>
    <n v="500000"/>
    <x v="0"/>
    <x v="0"/>
    <x v="0"/>
    <n v="3"/>
    <n v="1111.6589814177564"/>
    <n v="1.003979E-2"/>
    <x v="3"/>
    <n v="55415.792999999998"/>
    <n v="449.77820000000003"/>
    <x v="0"/>
    <s v="Medium"/>
    <s v="Medium"/>
    <s v="May"/>
    <x v="4"/>
  </r>
  <r>
    <d v="2022-05-21T00:00:00"/>
    <x v="13"/>
    <x v="5"/>
    <n v="102150"/>
    <n v="187500"/>
    <x v="0"/>
    <x v="0"/>
    <x v="0"/>
    <n v="2"/>
    <n v="957"/>
    <n v="1.003979E-2"/>
    <x v="3"/>
    <n v="85350"/>
    <n v="195.9248"/>
    <x v="0"/>
    <s v="Low"/>
    <s v="Medium"/>
    <s v="May"/>
    <x v="4"/>
  </r>
  <r>
    <d v="2022-05-22T00:00:00"/>
    <x v="13"/>
    <x v="5"/>
    <n v="687540"/>
    <n v="830000"/>
    <x v="0"/>
    <x v="0"/>
    <x v="0"/>
    <n v="3"/>
    <n v="1085"/>
    <n v="1.003979E-2"/>
    <x v="2"/>
    <n v="142460"/>
    <n v="764.97699999999998"/>
    <x v="0"/>
    <s v="High"/>
    <s v="Medium"/>
    <s v="May"/>
    <x v="4"/>
  </r>
  <r>
    <d v="2022-05-25T00:00:00"/>
    <x v="13"/>
    <x v="2"/>
    <n v="197660"/>
    <n v="335000"/>
    <x v="0"/>
    <x v="0"/>
    <x v="0"/>
    <n v="3"/>
    <n v="906"/>
    <n v="1.003979E-2"/>
    <x v="1"/>
    <n v="137340"/>
    <n v="369.75720000000001"/>
    <x v="0"/>
    <s v="Medium"/>
    <s v="Medium"/>
    <s v="May"/>
    <x v="4"/>
  </r>
  <r>
    <d v="2022-05-26T00:00:00"/>
    <x v="13"/>
    <x v="4"/>
    <n v="267540"/>
    <n v="435000"/>
    <x v="0"/>
    <x v="0"/>
    <x v="0"/>
    <n v="2"/>
    <n v="1061"/>
    <n v="1.003979E-2"/>
    <x v="2"/>
    <n v="167460"/>
    <n v="409.99059999999997"/>
    <x v="0"/>
    <s v="Medium"/>
    <s v="Medium"/>
    <s v="May"/>
    <x v="4"/>
  </r>
  <r>
    <d v="2022-05-27T00:00:00"/>
    <x v="13"/>
    <x v="1"/>
    <n v="193560"/>
    <n v="261000"/>
    <x v="0"/>
    <x v="0"/>
    <x v="0"/>
    <n v="3"/>
    <n v="930"/>
    <n v="1.003979E-2"/>
    <x v="0"/>
    <n v="67440"/>
    <n v="280.64519999999999"/>
    <x v="0"/>
    <s v="Medium"/>
    <s v="Medium"/>
    <s v="May"/>
    <x v="4"/>
  </r>
  <r>
    <d v="2022-05-28T00:00:00"/>
    <x v="13"/>
    <x v="0"/>
    <n v="69410"/>
    <n v="111500"/>
    <x v="0"/>
    <x v="0"/>
    <x v="0"/>
    <n v="3"/>
    <n v="1037"/>
    <n v="1.003979E-2"/>
    <x v="0"/>
    <n v="42090"/>
    <n v="107.5217"/>
    <x v="0"/>
    <s v="Low"/>
    <s v="Medium"/>
    <s v="May"/>
    <x v="4"/>
  </r>
  <r>
    <d v="2022-06-01T00:00:00"/>
    <x v="13"/>
    <x v="6"/>
    <n v="143360"/>
    <n v="139000"/>
    <x v="0"/>
    <x v="0"/>
    <x v="0"/>
    <n v="2"/>
    <n v="1031"/>
    <n v="1.003979E-2"/>
    <x v="0"/>
    <n v="-4360"/>
    <n v="134.82060000000001"/>
    <x v="1"/>
    <s v="Low"/>
    <s v="Medium"/>
    <s v="June"/>
    <x v="5"/>
  </r>
  <r>
    <d v="2022-06-02T00:00:00"/>
    <x v="13"/>
    <x v="6"/>
    <n v="444584.20699999999"/>
    <n v="736000"/>
    <x v="0"/>
    <x v="0"/>
    <x v="0"/>
    <n v="1"/>
    <n v="935"/>
    <n v="1.003979E-2"/>
    <x v="3"/>
    <n v="291415.79300000001"/>
    <n v="787.16579999999999"/>
    <x v="0"/>
    <s v="High"/>
    <s v="Medium"/>
    <s v="June"/>
    <x v="5"/>
  </r>
  <r>
    <d v="2022-06-03T00:00:00"/>
    <x v="13"/>
    <x v="7"/>
    <n v="624640"/>
    <n v="866700"/>
    <x v="0"/>
    <x v="0"/>
    <x v="0"/>
    <n v="2"/>
    <n v="981"/>
    <n v="1.003979E-2"/>
    <x v="2"/>
    <n v="242060"/>
    <n v="883.48620000000005"/>
    <x v="0"/>
    <s v="High"/>
    <s v="Medium"/>
    <s v="June"/>
    <x v="5"/>
  </r>
  <r>
    <d v="2022-06-04T00:00:00"/>
    <x v="13"/>
    <x v="6"/>
    <n v="251090"/>
    <n v="232500"/>
    <x v="1"/>
    <x v="1"/>
    <x v="1"/>
    <n v="3"/>
    <n v="1111.6589814177564"/>
    <n v="1.003979E-2"/>
    <x v="1"/>
    <n v="-18590"/>
    <n v="209.14689999999999"/>
    <x v="1"/>
    <s v="Medium"/>
    <s v="Medium"/>
    <s v="June"/>
    <x v="5"/>
  </r>
  <r>
    <d v="2022-06-08T00:00:00"/>
    <x v="13"/>
    <x v="6"/>
    <n v="226450"/>
    <n v="390000"/>
    <x v="0"/>
    <x v="0"/>
    <x v="0"/>
    <n v="1"/>
    <n v="931"/>
    <n v="1.003979E-2"/>
    <x v="1"/>
    <n v="163550"/>
    <n v="418.90440000000001"/>
    <x v="0"/>
    <s v="Medium"/>
    <s v="Medium"/>
    <s v="June"/>
    <x v="5"/>
  </r>
  <r>
    <d v="2022-06-09T00:00:00"/>
    <x v="13"/>
    <x v="3"/>
    <n v="3264450"/>
    <n v="4250000"/>
    <x v="0"/>
    <x v="0"/>
    <x v="0"/>
    <n v="1"/>
    <n v="1077"/>
    <n v="1.003979E-2"/>
    <x v="3"/>
    <n v="985550"/>
    <n v="3946.1466999999998"/>
    <x v="0"/>
    <s v="High"/>
    <s v="Medium"/>
    <s v="June"/>
    <x v="5"/>
  </r>
  <r>
    <d v="2022-06-10T00:00:00"/>
    <x v="13"/>
    <x v="3"/>
    <n v="444584.20699999999"/>
    <n v="3650000"/>
    <x v="0"/>
    <x v="0"/>
    <x v="0"/>
    <n v="2"/>
    <n v="1088"/>
    <n v="1.003979E-2"/>
    <x v="2"/>
    <n v="3205415.7930000001"/>
    <n v="3354.7793999999999"/>
    <x v="0"/>
    <s v="High"/>
    <s v="Medium"/>
    <s v="June"/>
    <x v="5"/>
  </r>
  <r>
    <d v="2022-06-12T00:00:00"/>
    <x v="13"/>
    <x v="2"/>
    <n v="444584.20699999999"/>
    <n v="157800"/>
    <x v="0"/>
    <x v="0"/>
    <x v="0"/>
    <n v="3"/>
    <n v="963"/>
    <n v="1.003979E-2"/>
    <x v="1"/>
    <n v="-286784.20699999999"/>
    <n v="163.8629"/>
    <x v="1"/>
    <s v="Low"/>
    <s v="Medium"/>
    <s v="June"/>
    <x v="5"/>
  </r>
  <r>
    <d v="2022-06-15T00:00:00"/>
    <x v="13"/>
    <x v="1"/>
    <n v="349510"/>
    <n v="490000"/>
    <x v="0"/>
    <x v="0"/>
    <x v="0"/>
    <n v="1"/>
    <n v="1082"/>
    <n v="1.003979E-2"/>
    <x v="0"/>
    <n v="140490"/>
    <n v="452.86509999999998"/>
    <x v="0"/>
    <s v="Medium"/>
    <s v="Medium"/>
    <s v="June"/>
    <x v="5"/>
  </r>
  <r>
    <d v="2022-06-17T00:00:00"/>
    <x v="13"/>
    <x v="6"/>
    <n v="216300"/>
    <n v="395000"/>
    <x v="2"/>
    <x v="2"/>
    <x v="2"/>
    <n v="5"/>
    <n v="2043"/>
    <n v="1.003979E-2"/>
    <x v="2"/>
    <n v="178700"/>
    <n v="193.34309999999999"/>
    <x v="0"/>
    <s v="Medium"/>
    <s v="Large"/>
    <s v="June"/>
    <x v="5"/>
  </r>
  <r>
    <d v="2022-06-19T00:00:00"/>
    <x v="13"/>
    <x v="3"/>
    <n v="1070440"/>
    <n v="1800000"/>
    <x v="0"/>
    <x v="0"/>
    <x v="0"/>
    <n v="2"/>
    <n v="1098"/>
    <n v="1.003979E-2"/>
    <x v="2"/>
    <n v="729560"/>
    <n v="1639.3443"/>
    <x v="0"/>
    <s v="High"/>
    <s v="Medium"/>
    <s v="June"/>
    <x v="5"/>
  </r>
  <r>
    <d v="2022-06-22T00:00:00"/>
    <x v="13"/>
    <x v="6"/>
    <n v="206010"/>
    <n v="290000"/>
    <x v="0"/>
    <x v="0"/>
    <x v="0"/>
    <n v="2"/>
    <n v="963"/>
    <n v="1.003979E-2"/>
    <x v="3"/>
    <n v="83990"/>
    <n v="301.14229999999998"/>
    <x v="0"/>
    <s v="Medium"/>
    <s v="Medium"/>
    <s v="June"/>
    <x v="5"/>
  </r>
  <r>
    <d v="2022-06-24T00:00:00"/>
    <x v="13"/>
    <x v="0"/>
    <n v="92150"/>
    <n v="150000"/>
    <x v="0"/>
    <x v="0"/>
    <x v="0"/>
    <n v="1"/>
    <n v="1111.6589814177564"/>
    <n v="1.003979E-2"/>
    <x v="0"/>
    <n v="57850"/>
    <n v="134.93350000000001"/>
    <x v="0"/>
    <s v="Low"/>
    <s v="Medium"/>
    <s v="June"/>
    <x v="5"/>
  </r>
  <r>
    <d v="2022-06-26T00:00:00"/>
    <x v="13"/>
    <x v="2"/>
    <n v="79120"/>
    <n v="280000"/>
    <x v="1"/>
    <x v="1"/>
    <x v="1"/>
    <n v="4"/>
    <n v="1233"/>
    <n v="1.003979E-2"/>
    <x v="0"/>
    <n v="200880"/>
    <n v="227.08840000000001"/>
    <x v="0"/>
    <s v="Medium"/>
    <s v="Medium"/>
    <s v="June"/>
    <x v="5"/>
  </r>
  <r>
    <d v="2022-06-29T00:00:00"/>
    <x v="13"/>
    <x v="0"/>
    <n v="70990"/>
    <n v="145000"/>
    <x v="0"/>
    <x v="0"/>
    <x v="0"/>
    <n v="2"/>
    <n v="907"/>
    <n v="1.003979E-2"/>
    <x v="3"/>
    <n v="74010"/>
    <n v="159.86770000000001"/>
    <x v="0"/>
    <s v="Low"/>
    <s v="Medium"/>
    <s v="June"/>
    <x v="5"/>
  </r>
  <r>
    <d v="2022-06-30T00:00:00"/>
    <x v="13"/>
    <x v="7"/>
    <n v="653740"/>
    <n v="930000"/>
    <x v="0"/>
    <x v="0"/>
    <x v="0"/>
    <n v="1"/>
    <n v="939"/>
    <n v="1.003979E-2"/>
    <x v="2"/>
    <n v="276260"/>
    <n v="990.4153"/>
    <x v="0"/>
    <s v="High"/>
    <s v="Medium"/>
    <s v="June"/>
    <x v="5"/>
  </r>
  <r>
    <d v="2022-07-01T00:00:00"/>
    <x v="13"/>
    <x v="3"/>
    <n v="444584.20699999999"/>
    <n v="790000"/>
    <x v="0"/>
    <x v="0"/>
    <x v="0"/>
    <n v="3"/>
    <n v="1031"/>
    <n v="1.003979E-2"/>
    <x v="0"/>
    <n v="345415.79300000001"/>
    <n v="766.24639999999999"/>
    <x v="0"/>
    <s v="High"/>
    <s v="Medium"/>
    <s v="July"/>
    <x v="6"/>
  </r>
  <r>
    <d v="2022-07-02T00:00:00"/>
    <x v="13"/>
    <x v="7"/>
    <n v="359300"/>
    <n v="630500"/>
    <x v="1"/>
    <x v="1"/>
    <x v="1"/>
    <n v="2"/>
    <n v="1428"/>
    <n v="1.003979E-2"/>
    <x v="3"/>
    <n v="271200"/>
    <n v="441.52659999999997"/>
    <x v="0"/>
    <s v="High"/>
    <s v="Large"/>
    <s v="July"/>
    <x v="6"/>
  </r>
  <r>
    <d v="2022-07-06T00:00:00"/>
    <x v="13"/>
    <x v="4"/>
    <n v="244370"/>
    <n v="380000"/>
    <x v="0"/>
    <x v="0"/>
    <x v="0"/>
    <n v="2"/>
    <n v="1111.6589814177564"/>
    <n v="1.003979E-2"/>
    <x v="2"/>
    <n v="135630"/>
    <n v="341.83139999999997"/>
    <x v="0"/>
    <s v="Medium"/>
    <s v="Medium"/>
    <s v="July"/>
    <x v="6"/>
  </r>
  <r>
    <d v="2022-07-08T00:00:00"/>
    <x v="13"/>
    <x v="2"/>
    <n v="124900"/>
    <n v="280000"/>
    <x v="2"/>
    <x v="2"/>
    <x v="2"/>
    <n v="4"/>
    <n v="1872"/>
    <n v="1.003979E-2"/>
    <x v="0"/>
    <n v="155100"/>
    <n v="149.57259999999999"/>
    <x v="0"/>
    <s v="Medium"/>
    <s v="Large"/>
    <s v="July"/>
    <x v="6"/>
  </r>
  <r>
    <d v="2022-07-09T00:00:00"/>
    <x v="13"/>
    <x v="6"/>
    <n v="444584.20699999999"/>
    <n v="575000"/>
    <x v="0"/>
    <x v="0"/>
    <x v="0"/>
    <n v="2"/>
    <n v="963"/>
    <n v="1.003979E-2"/>
    <x v="0"/>
    <n v="130415.79300000001"/>
    <n v="597.0924"/>
    <x v="0"/>
    <s v="Medium"/>
    <s v="Medium"/>
    <s v="July"/>
    <x v="6"/>
  </r>
  <r>
    <d v="2022-07-10T00:00:00"/>
    <x v="13"/>
    <x v="0"/>
    <n v="65790"/>
    <n v="63500"/>
    <x v="0"/>
    <x v="0"/>
    <x v="0"/>
    <n v="1"/>
    <n v="1111.6589814177564"/>
    <n v="1.003979E-2"/>
    <x v="1"/>
    <n v="-2290"/>
    <n v="57.1218"/>
    <x v="1"/>
    <s v="Low"/>
    <s v="Medium"/>
    <s v="July"/>
    <x v="6"/>
  </r>
  <r>
    <d v="2022-07-13T00:00:00"/>
    <x v="13"/>
    <x v="6"/>
    <n v="174930"/>
    <n v="250000"/>
    <x v="0"/>
    <x v="0"/>
    <x v="0"/>
    <n v="3"/>
    <n v="992"/>
    <n v="1.003979E-2"/>
    <x v="0"/>
    <n v="75070"/>
    <n v="252.01609999999999"/>
    <x v="0"/>
    <s v="Medium"/>
    <s v="Medium"/>
    <s v="July"/>
    <x v="6"/>
  </r>
  <r>
    <d v="2022-07-14T00:00:00"/>
    <x v="13"/>
    <x v="6"/>
    <n v="195160"/>
    <n v="323000"/>
    <x v="0"/>
    <x v="0"/>
    <x v="0"/>
    <n v="3"/>
    <n v="984"/>
    <n v="1.003979E-2"/>
    <x v="1"/>
    <n v="127840"/>
    <n v="328.25200000000001"/>
    <x v="0"/>
    <s v="Medium"/>
    <s v="Medium"/>
    <s v="July"/>
    <x v="6"/>
  </r>
  <r>
    <d v="2022-07-15T00:00:00"/>
    <x v="13"/>
    <x v="7"/>
    <n v="424530"/>
    <n v="610000"/>
    <x v="0"/>
    <x v="0"/>
    <x v="0"/>
    <n v="1"/>
    <n v="945"/>
    <n v="1.003979E-2"/>
    <x v="3"/>
    <n v="185470"/>
    <n v="645.50260000000003"/>
    <x v="0"/>
    <s v="High"/>
    <s v="Medium"/>
    <s v="July"/>
    <x v="6"/>
  </r>
  <r>
    <d v="2022-07-16T00:00:00"/>
    <x v="13"/>
    <x v="1"/>
    <n v="444584.20699999999"/>
    <n v="652000"/>
    <x v="0"/>
    <x v="0"/>
    <x v="0"/>
    <n v="1"/>
    <n v="938"/>
    <n v="1.003979E-2"/>
    <x v="2"/>
    <n v="207415.79300000001"/>
    <n v="695.09590000000003"/>
    <x v="0"/>
    <s v="High"/>
    <s v="Medium"/>
    <s v="July"/>
    <x v="6"/>
  </r>
  <r>
    <d v="2022-07-17T00:00:00"/>
    <x v="13"/>
    <x v="7"/>
    <n v="393420"/>
    <n v="669000"/>
    <x v="0"/>
    <x v="0"/>
    <x v="0"/>
    <n v="2"/>
    <n v="958"/>
    <n v="1.003979E-2"/>
    <x v="3"/>
    <n v="275580"/>
    <n v="698.32989999999995"/>
    <x v="0"/>
    <s v="High"/>
    <s v="Medium"/>
    <s v="July"/>
    <x v="6"/>
  </r>
  <r>
    <d v="2022-07-21T00:00:00"/>
    <x v="13"/>
    <x v="7"/>
    <n v="451970"/>
    <n v="890000"/>
    <x v="0"/>
    <x v="0"/>
    <x v="0"/>
    <n v="1"/>
    <n v="1031"/>
    <n v="1.003979E-2"/>
    <x v="1"/>
    <n v="438030"/>
    <n v="863.2396"/>
    <x v="0"/>
    <s v="High"/>
    <s v="Medium"/>
    <s v="July"/>
    <x v="6"/>
  </r>
  <r>
    <d v="2022-07-22T00:00:00"/>
    <x v="13"/>
    <x v="6"/>
    <n v="124460"/>
    <n v="215000"/>
    <x v="0"/>
    <x v="0"/>
    <x v="0"/>
    <n v="1"/>
    <n v="1078"/>
    <n v="1.003979E-2"/>
    <x v="0"/>
    <n v="90540"/>
    <n v="199.4434"/>
    <x v="0"/>
    <s v="Medium"/>
    <s v="Medium"/>
    <s v="July"/>
    <x v="6"/>
  </r>
  <r>
    <d v="2022-07-24T00:00:00"/>
    <x v="13"/>
    <x v="3"/>
    <n v="1461180"/>
    <n v="2410000"/>
    <x v="0"/>
    <x v="0"/>
    <x v="0"/>
    <n v="3"/>
    <n v="1022"/>
    <n v="1.003979E-2"/>
    <x v="3"/>
    <n v="948820"/>
    <n v="2358.1212999999998"/>
    <x v="0"/>
    <s v="High"/>
    <s v="Medium"/>
    <s v="July"/>
    <x v="6"/>
  </r>
  <r>
    <d v="2022-07-28T00:00:00"/>
    <x v="13"/>
    <x v="4"/>
    <n v="444584.20699999999"/>
    <n v="780000"/>
    <x v="0"/>
    <x v="0"/>
    <x v="0"/>
    <n v="3"/>
    <n v="1111.6589814177564"/>
    <n v="1.003979E-2"/>
    <x v="1"/>
    <n v="335415.79300000001"/>
    <n v="701.654"/>
    <x v="0"/>
    <s v="High"/>
    <s v="Medium"/>
    <s v="July"/>
    <x v="6"/>
  </r>
  <r>
    <d v="2022-07-29T00:00:00"/>
    <x v="13"/>
    <x v="0"/>
    <n v="82080"/>
    <n v="170000"/>
    <x v="1"/>
    <x v="1"/>
    <x v="1"/>
    <n v="2"/>
    <n v="1313"/>
    <n v="1.003979E-2"/>
    <x v="2"/>
    <n v="87920"/>
    <n v="129.47450000000001"/>
    <x v="0"/>
    <s v="Low"/>
    <s v="Large"/>
    <s v="July"/>
    <x v="6"/>
  </r>
  <r>
    <d v="2022-07-30T00:00:00"/>
    <x v="13"/>
    <x v="4"/>
    <n v="550480"/>
    <n v="565000"/>
    <x v="0"/>
    <x v="0"/>
    <x v="0"/>
    <n v="3"/>
    <n v="975"/>
    <n v="1.003979E-2"/>
    <x v="3"/>
    <n v="14520"/>
    <n v="579.48720000000003"/>
    <x v="0"/>
    <s v="Medium"/>
    <s v="Medium"/>
    <s v="July"/>
    <x v="6"/>
  </r>
  <r>
    <d v="2022-08-03T00:00:00"/>
    <x v="13"/>
    <x v="3"/>
    <n v="709520"/>
    <n v="1050000"/>
    <x v="1"/>
    <x v="1"/>
    <x v="1"/>
    <n v="2"/>
    <n v="1489"/>
    <n v="1.003979E-2"/>
    <x v="3"/>
    <n v="340480"/>
    <n v="705.17129999999997"/>
    <x v="0"/>
    <s v="High"/>
    <s v="Large"/>
    <s v="August"/>
    <x v="7"/>
  </r>
  <r>
    <d v="2022-08-04T00:00:00"/>
    <x v="13"/>
    <x v="4"/>
    <n v="276080"/>
    <n v="475000"/>
    <x v="0"/>
    <x v="0"/>
    <x v="0"/>
    <n v="2"/>
    <n v="1094"/>
    <n v="1.003979E-2"/>
    <x v="1"/>
    <n v="198920"/>
    <n v="434.18650000000002"/>
    <x v="0"/>
    <s v="Medium"/>
    <s v="Medium"/>
    <s v="August"/>
    <x v="7"/>
  </r>
  <r>
    <d v="2022-08-05T00:00:00"/>
    <x v="13"/>
    <x v="2"/>
    <n v="279160"/>
    <n v="429000"/>
    <x v="0"/>
    <x v="0"/>
    <x v="0"/>
    <n v="1"/>
    <n v="1050"/>
    <n v="1.003979E-2"/>
    <x v="3"/>
    <n v="149840"/>
    <n v="408.57139999999998"/>
    <x v="0"/>
    <s v="Medium"/>
    <s v="Medium"/>
    <s v="August"/>
    <x v="7"/>
  </r>
  <r>
    <d v="2022-08-06T00:00:00"/>
    <x v="13"/>
    <x v="4"/>
    <n v="552860"/>
    <n v="710000"/>
    <x v="0"/>
    <x v="0"/>
    <x v="0"/>
    <n v="1"/>
    <n v="941"/>
    <n v="1.003979E-2"/>
    <x v="1"/>
    <n v="157140"/>
    <n v="754.51649999999995"/>
    <x v="0"/>
    <s v="High"/>
    <s v="Medium"/>
    <s v="August"/>
    <x v="7"/>
  </r>
  <r>
    <d v="2022-08-07T00:00:00"/>
    <x v="13"/>
    <x v="3"/>
    <n v="425320"/>
    <n v="745000"/>
    <x v="1"/>
    <x v="1"/>
    <x v="1"/>
    <n v="2"/>
    <n v="1399"/>
    <n v="1.003979E-2"/>
    <x v="1"/>
    <n v="319680"/>
    <n v="532.52319999999997"/>
    <x v="0"/>
    <s v="High"/>
    <s v="Large"/>
    <s v="August"/>
    <x v="7"/>
  </r>
  <r>
    <d v="2022-08-10T00:00:00"/>
    <x v="13"/>
    <x v="0"/>
    <n v="47140"/>
    <n v="65000"/>
    <x v="1"/>
    <x v="1"/>
    <x v="1"/>
    <n v="3"/>
    <n v="1298"/>
    <n v="1.003979E-2"/>
    <x v="0"/>
    <n v="17860"/>
    <n v="50.076999999999998"/>
    <x v="0"/>
    <s v="Low"/>
    <s v="Medium"/>
    <s v="August"/>
    <x v="7"/>
  </r>
  <r>
    <d v="2022-08-11T00:00:00"/>
    <x v="13"/>
    <x v="6"/>
    <n v="444584.20699999999"/>
    <n v="350000"/>
    <x v="2"/>
    <x v="2"/>
    <x v="2"/>
    <n v="4"/>
    <n v="2114"/>
    <n v="1.003979E-2"/>
    <x v="3"/>
    <n v="-94584.206999999995"/>
    <n v="165.56290000000001"/>
    <x v="1"/>
    <s v="Medium"/>
    <s v="Large"/>
    <s v="August"/>
    <x v="7"/>
  </r>
  <r>
    <d v="2022-08-12T00:00:00"/>
    <x v="13"/>
    <x v="6"/>
    <n v="262640"/>
    <n v="465000"/>
    <x v="0"/>
    <x v="0"/>
    <x v="0"/>
    <n v="3"/>
    <n v="1111.6589814177564"/>
    <n v="1.003979E-2"/>
    <x v="2"/>
    <n v="202360"/>
    <n v="418.2937"/>
    <x v="0"/>
    <s v="Medium"/>
    <s v="Medium"/>
    <s v="August"/>
    <x v="7"/>
  </r>
  <r>
    <d v="2022-08-13T00:00:00"/>
    <x v="13"/>
    <x v="7"/>
    <n v="442090"/>
    <n v="735000"/>
    <x v="0"/>
    <x v="0"/>
    <x v="0"/>
    <n v="1"/>
    <n v="1058"/>
    <n v="1.003979E-2"/>
    <x v="0"/>
    <n v="292910"/>
    <n v="694.70699999999999"/>
    <x v="0"/>
    <s v="High"/>
    <s v="Medium"/>
    <s v="August"/>
    <x v="7"/>
  </r>
  <r>
    <d v="2022-08-17T00:00:00"/>
    <x v="13"/>
    <x v="2"/>
    <n v="150220"/>
    <n v="320000"/>
    <x v="1"/>
    <x v="1"/>
    <x v="1"/>
    <n v="3"/>
    <n v="1283"/>
    <n v="1.003979E-2"/>
    <x v="0"/>
    <n v="169780"/>
    <n v="249.41540000000001"/>
    <x v="0"/>
    <s v="Medium"/>
    <s v="Medium"/>
    <s v="August"/>
    <x v="7"/>
  </r>
  <r>
    <d v="2022-08-18T00:00:00"/>
    <x v="13"/>
    <x v="1"/>
    <n v="716460"/>
    <n v="795000"/>
    <x v="0"/>
    <x v="0"/>
    <x v="0"/>
    <n v="1"/>
    <n v="1111.6589814177564"/>
    <n v="1.003979E-2"/>
    <x v="2"/>
    <n v="78540"/>
    <n v="715.14739999999995"/>
    <x v="0"/>
    <s v="High"/>
    <s v="Medium"/>
    <s v="August"/>
    <x v="7"/>
  </r>
  <r>
    <d v="2022-08-19T00:00:00"/>
    <x v="13"/>
    <x v="4"/>
    <n v="696150"/>
    <n v="1155500"/>
    <x v="0"/>
    <x v="0"/>
    <x v="0"/>
    <n v="3"/>
    <n v="1111.6589814177564"/>
    <n v="1.003979E-2"/>
    <x v="3"/>
    <n v="459350"/>
    <n v="1039.4375"/>
    <x v="0"/>
    <s v="High"/>
    <s v="Medium"/>
    <s v="August"/>
    <x v="7"/>
  </r>
  <r>
    <d v="2022-08-21T00:00:00"/>
    <x v="13"/>
    <x v="6"/>
    <n v="444584.20699999999"/>
    <n v="415000"/>
    <x v="0"/>
    <x v="0"/>
    <x v="0"/>
    <n v="1"/>
    <n v="1024"/>
    <n v="1.003979E-2"/>
    <x v="1"/>
    <n v="-29584.206999999999"/>
    <n v="405.27339999999998"/>
    <x v="1"/>
    <s v="Medium"/>
    <s v="Medium"/>
    <s v="August"/>
    <x v="7"/>
  </r>
  <r>
    <d v="2022-08-24T00:00:00"/>
    <x v="13"/>
    <x v="3"/>
    <n v="335230"/>
    <n v="655000"/>
    <x v="0"/>
    <x v="0"/>
    <x v="0"/>
    <n v="1"/>
    <n v="1036"/>
    <n v="1.003979E-2"/>
    <x v="1"/>
    <n v="319770"/>
    <n v="632.23940000000005"/>
    <x v="0"/>
    <s v="High"/>
    <s v="Medium"/>
    <s v="August"/>
    <x v="7"/>
  </r>
  <r>
    <d v="2022-08-26T00:00:00"/>
    <x v="13"/>
    <x v="0"/>
    <n v="110670"/>
    <n v="210000"/>
    <x v="0"/>
    <x v="0"/>
    <x v="0"/>
    <n v="3"/>
    <n v="1092"/>
    <n v="1.003979E-2"/>
    <x v="1"/>
    <n v="99330"/>
    <n v="192.30770000000001"/>
    <x v="0"/>
    <s v="Medium"/>
    <s v="Medium"/>
    <s v="August"/>
    <x v="7"/>
  </r>
  <r>
    <d v="2022-08-27T00:00:00"/>
    <x v="13"/>
    <x v="1"/>
    <n v="178040"/>
    <n v="300000"/>
    <x v="0"/>
    <x v="0"/>
    <x v="0"/>
    <n v="1"/>
    <n v="1001"/>
    <n v="1.003979E-2"/>
    <x v="0"/>
    <n v="121960"/>
    <n v="299.70030000000003"/>
    <x v="0"/>
    <s v="Medium"/>
    <s v="Medium"/>
    <s v="August"/>
    <x v="7"/>
  </r>
  <r>
    <d v="2022-08-28T00:00:00"/>
    <x v="13"/>
    <x v="3"/>
    <n v="444584.20699999999"/>
    <n v="3200000"/>
    <x v="0"/>
    <x v="0"/>
    <x v="0"/>
    <n v="3"/>
    <n v="1039"/>
    <n v="1.003979E-2"/>
    <x v="3"/>
    <n v="2755415.7930000001"/>
    <n v="3079.8845000000001"/>
    <x v="0"/>
    <s v="High"/>
    <s v="Medium"/>
    <s v="August"/>
    <x v="7"/>
  </r>
  <r>
    <d v="2022-09-01T00:00:00"/>
    <x v="13"/>
    <x v="5"/>
    <n v="310390"/>
    <n v="705000"/>
    <x v="0"/>
    <x v="0"/>
    <x v="0"/>
    <n v="1"/>
    <n v="964"/>
    <n v="1.003979E-2"/>
    <x v="2"/>
    <n v="394610"/>
    <n v="731.32780000000002"/>
    <x v="0"/>
    <s v="High"/>
    <s v="Medium"/>
    <s v="September"/>
    <x v="8"/>
  </r>
  <r>
    <d v="2022-09-02T00:00:00"/>
    <x v="13"/>
    <x v="6"/>
    <n v="250040"/>
    <n v="436500"/>
    <x v="0"/>
    <x v="0"/>
    <x v="0"/>
    <n v="1"/>
    <n v="930"/>
    <n v="1.003979E-2"/>
    <x v="1"/>
    <n v="186460"/>
    <n v="469.35480000000001"/>
    <x v="0"/>
    <s v="Medium"/>
    <s v="Medium"/>
    <s v="September"/>
    <x v="8"/>
  </r>
  <r>
    <d v="2022-09-03T00:00:00"/>
    <x v="13"/>
    <x v="6"/>
    <n v="279510"/>
    <n v="420000"/>
    <x v="2"/>
    <x v="2"/>
    <x v="2"/>
    <n v="4"/>
    <n v="1845"/>
    <n v="1.003979E-2"/>
    <x v="2"/>
    <n v="140490"/>
    <n v="227.64230000000001"/>
    <x v="0"/>
    <s v="Medium"/>
    <s v="Large"/>
    <s v="September"/>
    <x v="8"/>
  </r>
  <r>
    <d v="2022-09-04T00:00:00"/>
    <x v="13"/>
    <x v="3"/>
    <n v="310660"/>
    <n v="500000"/>
    <x v="0"/>
    <x v="0"/>
    <x v="0"/>
    <n v="2"/>
    <n v="1060"/>
    <n v="1.003979E-2"/>
    <x v="3"/>
    <n v="189340"/>
    <n v="471.69810000000001"/>
    <x v="0"/>
    <s v="Medium"/>
    <s v="Medium"/>
    <s v="September"/>
    <x v="8"/>
  </r>
  <r>
    <d v="2022-09-08T00:00:00"/>
    <x v="13"/>
    <x v="4"/>
    <n v="240170"/>
    <n v="450000"/>
    <x v="0"/>
    <x v="0"/>
    <x v="0"/>
    <n v="1"/>
    <n v="1078"/>
    <n v="1.003979E-2"/>
    <x v="0"/>
    <n v="209830"/>
    <n v="417.43970000000002"/>
    <x v="0"/>
    <s v="Medium"/>
    <s v="Medium"/>
    <s v="September"/>
    <x v="8"/>
  </r>
  <r>
    <d v="2022-09-09T00:00:00"/>
    <x v="13"/>
    <x v="3"/>
    <n v="792050"/>
    <n v="1500000"/>
    <x v="0"/>
    <x v="0"/>
    <x v="0"/>
    <n v="3"/>
    <n v="980"/>
    <n v="1.003979E-2"/>
    <x v="3"/>
    <n v="707950"/>
    <n v="1530.6122"/>
    <x v="0"/>
    <s v="High"/>
    <s v="Medium"/>
    <s v="September"/>
    <x v="8"/>
  </r>
  <r>
    <d v="2022-09-10T00:00:00"/>
    <x v="13"/>
    <x v="6"/>
    <n v="228970"/>
    <n v="300000"/>
    <x v="0"/>
    <x v="0"/>
    <x v="0"/>
    <n v="2"/>
    <n v="1111.6589814177564"/>
    <n v="1.003979E-2"/>
    <x v="0"/>
    <n v="71030"/>
    <n v="269.86689999999999"/>
    <x v="0"/>
    <s v="Medium"/>
    <s v="Medium"/>
    <s v="September"/>
    <x v="8"/>
  </r>
  <r>
    <d v="2022-09-14T00:00:00"/>
    <x v="13"/>
    <x v="1"/>
    <n v="239810"/>
    <n v="535000"/>
    <x v="0"/>
    <x v="0"/>
    <x v="0"/>
    <n v="1"/>
    <n v="998"/>
    <n v="1.003979E-2"/>
    <x v="2"/>
    <n v="295190"/>
    <n v="536.07209999999998"/>
    <x v="0"/>
    <s v="Medium"/>
    <s v="Medium"/>
    <s v="September"/>
    <x v="8"/>
  </r>
  <r>
    <d v="2022-09-16T00:00:00"/>
    <x v="13"/>
    <x v="4"/>
    <n v="444584.20699999999"/>
    <n v="585000"/>
    <x v="0"/>
    <x v="0"/>
    <x v="0"/>
    <n v="3"/>
    <n v="936"/>
    <n v="1.003979E-2"/>
    <x v="1"/>
    <n v="140415.79300000001"/>
    <n v="625"/>
    <x v="0"/>
    <s v="Medium"/>
    <s v="Medium"/>
    <s v="September"/>
    <x v="8"/>
  </r>
  <r>
    <d v="2022-09-17T00:00:00"/>
    <x v="13"/>
    <x v="0"/>
    <n v="444584.20699999999"/>
    <n v="209000"/>
    <x v="0"/>
    <x v="0"/>
    <x v="0"/>
    <n v="1"/>
    <n v="1043"/>
    <n v="1.003979E-2"/>
    <x v="0"/>
    <n v="-235584.20699999999"/>
    <n v="200.3835"/>
    <x v="1"/>
    <s v="Medium"/>
    <s v="Medium"/>
    <s v="September"/>
    <x v="8"/>
  </r>
  <r>
    <d v="2022-09-18T00:00:00"/>
    <x v="13"/>
    <x v="0"/>
    <n v="73970"/>
    <n v="65000"/>
    <x v="2"/>
    <x v="2"/>
    <x v="2"/>
    <n v="6"/>
    <n v="1984"/>
    <n v="1.003979E-2"/>
    <x v="0"/>
    <n v="-8970"/>
    <n v="32.762099999999997"/>
    <x v="1"/>
    <s v="Low"/>
    <s v="Large"/>
    <s v="September"/>
    <x v="8"/>
  </r>
  <r>
    <d v="2022-09-21T00:00:00"/>
    <x v="13"/>
    <x v="3"/>
    <n v="2786070"/>
    <n v="2600000"/>
    <x v="0"/>
    <x v="0"/>
    <x v="0"/>
    <n v="1"/>
    <n v="981"/>
    <n v="1.003979E-2"/>
    <x v="1"/>
    <n v="-186070"/>
    <n v="2650.3568"/>
    <x v="1"/>
    <s v="High"/>
    <s v="Medium"/>
    <s v="September"/>
    <x v="8"/>
  </r>
  <r>
    <d v="2022-09-23T00:00:00"/>
    <x v="13"/>
    <x v="4"/>
    <n v="1341340"/>
    <n v="2000000"/>
    <x v="0"/>
    <x v="0"/>
    <x v="0"/>
    <n v="3"/>
    <n v="930"/>
    <n v="1.003979E-2"/>
    <x v="1"/>
    <n v="658660"/>
    <n v="2150.5376000000001"/>
    <x v="0"/>
    <s v="High"/>
    <s v="Medium"/>
    <s v="September"/>
    <x v="8"/>
  </r>
  <r>
    <d v="2022-09-24T00:00:00"/>
    <x v="13"/>
    <x v="4"/>
    <n v="813680"/>
    <n v="1350000"/>
    <x v="0"/>
    <x v="0"/>
    <x v="0"/>
    <n v="1"/>
    <n v="933"/>
    <n v="1.003979E-2"/>
    <x v="1"/>
    <n v="536320"/>
    <n v="1446.9453000000001"/>
    <x v="0"/>
    <s v="High"/>
    <s v="Medium"/>
    <s v="September"/>
    <x v="8"/>
  </r>
  <r>
    <d v="2022-09-25T00:00:00"/>
    <x v="13"/>
    <x v="3"/>
    <n v="1074290"/>
    <n v="1700000"/>
    <x v="0"/>
    <x v="0"/>
    <x v="0"/>
    <n v="1"/>
    <n v="934"/>
    <n v="1.003979E-2"/>
    <x v="0"/>
    <n v="625710"/>
    <n v="1820.1285"/>
    <x v="0"/>
    <s v="High"/>
    <s v="Medium"/>
    <s v="September"/>
    <x v="8"/>
  </r>
  <r>
    <d v="2022-09-29T00:00:00"/>
    <x v="13"/>
    <x v="0"/>
    <n v="55000"/>
    <n v="129900"/>
    <x v="0"/>
    <x v="0"/>
    <x v="0"/>
    <n v="2"/>
    <n v="974"/>
    <n v="1.003979E-2"/>
    <x v="0"/>
    <n v="74900"/>
    <n v="133.36760000000001"/>
    <x v="0"/>
    <s v="Low"/>
    <s v="Medium"/>
    <s v="September"/>
    <x v="8"/>
  </r>
  <r>
    <d v="2022-09-30T00:00:00"/>
    <x v="13"/>
    <x v="1"/>
    <n v="154920"/>
    <n v="196000"/>
    <x v="0"/>
    <x v="0"/>
    <x v="0"/>
    <n v="1"/>
    <n v="932"/>
    <n v="1.003979E-2"/>
    <x v="3"/>
    <n v="41080"/>
    <n v="210.3004"/>
    <x v="0"/>
    <s v="Low"/>
    <s v="Medium"/>
    <s v="Septembe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A3CAE-EF8E-4D8E-A085-5D85C5E1DDE0}" name="PivotTable5"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A27:C32" firstHeaderRow="0" firstDataRow="1" firstDataCol="1"/>
  <pivotFields count="19">
    <pivotField numFmtId="14" showAll="0"/>
    <pivotField showAll="0">
      <items count="15">
        <item x="0"/>
        <item x="1"/>
        <item x="2"/>
        <item x="3"/>
        <item x="4"/>
        <item x="5"/>
        <item x="6"/>
        <item x="7"/>
        <item x="8"/>
        <item x="9"/>
        <item x="10"/>
        <item x="11"/>
        <item x="12"/>
        <item x="13"/>
        <item t="default"/>
      </items>
    </pivotField>
    <pivotField showAll="0">
      <items count="9">
        <item x="2"/>
        <item x="4"/>
        <item x="3"/>
        <item x="1"/>
        <item x="7"/>
        <item x="5"/>
        <item x="0"/>
        <item x="6"/>
        <item t="default"/>
      </items>
    </pivotField>
    <pivotField numFmtId="166" showAll="0"/>
    <pivotField dataField="1" numFmtId="166" showAll="0"/>
    <pivotField showAll="0"/>
    <pivotField axis="axisRow" showAll="0">
      <items count="5">
        <item x="0"/>
        <item x="1"/>
        <item x="3"/>
        <item x="2"/>
        <item t="default"/>
      </items>
    </pivotField>
    <pivotField dataField="1" showAll="0" sortType="descending">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6"/>
  </rowFields>
  <rowItems count="5">
    <i>
      <x/>
    </i>
    <i>
      <x v="1"/>
    </i>
    <i>
      <x v="2"/>
    </i>
    <i>
      <x v="3"/>
    </i>
    <i t="grand">
      <x/>
    </i>
  </rowItems>
  <colFields count="1">
    <field x="-2"/>
  </colFields>
  <colItems count="2">
    <i>
      <x/>
    </i>
    <i i="1">
      <x v="1"/>
    </i>
  </colItems>
  <dataFields count="2">
    <dataField name="Sum of Sale Price" fld="4" baseField="7" baseItem="0" numFmtId="168"/>
    <dataField name="Count of num_rooms" fld="7" subtotal="count" baseField="7" baseItem="0"/>
  </dataFields>
  <chartFormats count="10">
    <chartFormat chart="20" format="4"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20" format="11">
      <pivotArea type="data" outline="0" fieldPosition="0">
        <references count="2">
          <reference field="4294967294" count="1" selected="0">
            <x v="0"/>
          </reference>
          <reference field="6" count="1" selected="0">
            <x v="0"/>
          </reference>
        </references>
      </pivotArea>
    </chartFormat>
    <chartFormat chart="20" format="12">
      <pivotArea type="data" outline="0" fieldPosition="0">
        <references count="2">
          <reference field="4294967294" count="1" selected="0">
            <x v="0"/>
          </reference>
          <reference field="6" count="1" selected="0">
            <x v="1"/>
          </reference>
        </references>
      </pivotArea>
    </chartFormat>
    <chartFormat chart="20" format="13">
      <pivotArea type="data" outline="0" fieldPosition="0">
        <references count="2">
          <reference field="4294967294" count="1" selected="0">
            <x v="0"/>
          </reference>
          <reference field="6" count="1" selected="0">
            <x v="2"/>
          </reference>
        </references>
      </pivotArea>
    </chartFormat>
    <chartFormat chart="20" format="14">
      <pivotArea type="data" outline="0" fieldPosition="0">
        <references count="2">
          <reference field="4294967294" count="1" selected="0">
            <x v="0"/>
          </reference>
          <reference field="6" count="1" selected="0">
            <x v="3"/>
          </reference>
        </references>
      </pivotArea>
    </chartFormat>
    <chartFormat chart="20" format="15">
      <pivotArea type="data" outline="0" fieldPosition="0">
        <references count="2">
          <reference field="4294967294" count="1" selected="0">
            <x v="1"/>
          </reference>
          <reference field="6" count="1" selected="0">
            <x v="3"/>
          </reference>
        </references>
      </pivotArea>
    </chartFormat>
    <chartFormat chart="20" format="16">
      <pivotArea type="data" outline="0" fieldPosition="0">
        <references count="2">
          <reference field="4294967294" count="1" selected="0">
            <x v="1"/>
          </reference>
          <reference field="6" count="1" selected="0">
            <x v="2"/>
          </reference>
        </references>
      </pivotArea>
    </chartFormat>
    <chartFormat chart="20" format="17">
      <pivotArea type="data" outline="0" fieldPosition="0">
        <references count="2">
          <reference field="4294967294" count="1" selected="0">
            <x v="1"/>
          </reference>
          <reference field="6" count="1" selected="0">
            <x v="1"/>
          </reference>
        </references>
      </pivotArea>
    </chartFormat>
    <chartFormat chart="20" format="18">
      <pivotArea type="data" outline="0" fieldPosition="0">
        <references count="2">
          <reference field="4294967294"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400AA-7BD2-4CD1-BE8C-3298A382542A}"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20:H21" firstHeaderRow="1" firstDataRow="1" firstDataCol="0"/>
  <pivotFields count="19">
    <pivotField numFmtId="14" showAll="0"/>
    <pivotField showAll="0">
      <items count="15">
        <item x="0"/>
        <item x="1"/>
        <item x="2"/>
        <item x="3"/>
        <item x="4"/>
        <item x="5"/>
        <item x="6"/>
        <item x="7"/>
        <item x="8"/>
        <item x="9"/>
        <item x="10"/>
        <item x="11"/>
        <item x="12"/>
        <item x="13"/>
        <item t="default"/>
      </items>
    </pivotField>
    <pivotField showAll="0">
      <items count="9">
        <item x="2"/>
        <item x="4"/>
        <item x="3"/>
        <item x="1"/>
        <item x="7"/>
        <item x="5"/>
        <item x="0"/>
        <item x="6"/>
        <item t="default"/>
      </items>
    </pivotField>
    <pivotField numFmtId="166" showAll="0"/>
    <pivotField numFmtId="166" showAll="0"/>
    <pivotField showAll="0"/>
    <pivotField showAll="0">
      <items count="5">
        <item x="0"/>
        <item x="1"/>
        <item x="3"/>
        <item x="2"/>
        <item t="default"/>
      </items>
    </pivotField>
    <pivotField showAll="0"/>
    <pivotField showAll="0"/>
    <pivotField showAll="0"/>
    <pivotField numFmtId="10" showAll="0"/>
    <pivotField showAll="0"/>
    <pivotField showAll="0"/>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Average of Price_Per_Sqm" fld="1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F5B4F-1317-43F9-AB8E-011F11654CF9}"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11" firstHeaderRow="0" firstDataRow="1" firstDataCol="1"/>
  <pivotFields count="19">
    <pivotField numFmtId="14" showAll="0"/>
    <pivotField showAll="0">
      <items count="15">
        <item x="0"/>
        <item x="1"/>
        <item x="2"/>
        <item x="3"/>
        <item x="4"/>
        <item x="5"/>
        <item x="6"/>
        <item x="7"/>
        <item x="8"/>
        <item x="9"/>
        <item x="10"/>
        <item x="11"/>
        <item x="12"/>
        <item x="13"/>
        <item t="default"/>
      </items>
    </pivotField>
    <pivotField axis="axisRow" showAll="0" sortType="descending">
      <items count="9">
        <item x="2"/>
        <item x="4"/>
        <item x="3"/>
        <item x="1"/>
        <item x="7"/>
        <item x="5"/>
        <item x="0"/>
        <item x="6"/>
        <item t="default"/>
      </items>
      <autoSortScope>
        <pivotArea dataOnly="0" outline="0" fieldPosition="0">
          <references count="1">
            <reference field="4294967294" count="1" selected="0">
              <x v="1"/>
            </reference>
          </references>
        </pivotArea>
      </autoSortScope>
    </pivotField>
    <pivotField numFmtId="166" showAll="0"/>
    <pivotField dataField="1" numFmtId="166" showAll="0"/>
    <pivotField dataField="1" showAll="0"/>
    <pivotField showAll="0">
      <items count="5">
        <item x="0"/>
        <item x="1"/>
        <item x="3"/>
        <item x="2"/>
        <item t="default"/>
      </items>
    </pivotField>
    <pivotField showAll="0"/>
    <pivotField showAll="0"/>
    <pivotField showAll="0"/>
    <pivotField numFmtId="10"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2"/>
  </rowFields>
  <rowItems count="9">
    <i>
      <x v="2"/>
    </i>
    <i>
      <x v="1"/>
    </i>
    <i>
      <x v="5"/>
    </i>
    <i>
      <x v="3"/>
    </i>
    <i>
      <x v="4"/>
    </i>
    <i>
      <x v="7"/>
    </i>
    <i>
      <x/>
    </i>
    <i>
      <x v="6"/>
    </i>
    <i t="grand">
      <x/>
    </i>
  </rowItems>
  <colFields count="1">
    <field x="-2"/>
  </colFields>
  <colItems count="2">
    <i>
      <x/>
    </i>
    <i i="1">
      <x v="1"/>
    </i>
  </colItems>
  <dataFields count="2">
    <dataField name="Count of Property" fld="5" subtotal="count" baseField="0" baseItem="0"/>
    <dataField name="Sum of Sale Price" fld="4" baseField="2" baseItem="0" numFmtId="167"/>
  </dataFields>
  <chartFormats count="3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0" format="7">
      <pivotArea type="data" outline="0" fieldPosition="0">
        <references count="2">
          <reference field="4294967294" count="1" selected="0">
            <x v="0"/>
          </reference>
          <reference field="2" count="1" selected="0">
            <x v="3"/>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4"/>
          </reference>
        </references>
      </pivotArea>
    </chartFormat>
    <chartFormat chart="0" format="10">
      <pivotArea type="data" outline="0" fieldPosition="0">
        <references count="2">
          <reference field="4294967294" count="1" selected="0">
            <x v="1"/>
          </reference>
          <reference field="2" count="1" selected="0">
            <x v="2"/>
          </reference>
        </references>
      </pivotArea>
    </chartFormat>
    <chartFormat chart="0" format="11">
      <pivotArea type="data" outline="0" fieldPosition="0">
        <references count="2">
          <reference field="4294967294" count="1" selected="0">
            <x v="1"/>
          </reference>
          <reference field="2" count="1" selected="0">
            <x v="3"/>
          </reference>
        </references>
      </pivotArea>
    </chartFormat>
    <chartFormat chart="0" format="12">
      <pivotArea type="data" outline="0" fieldPosition="0">
        <references count="2">
          <reference field="4294967294" count="1" selected="0">
            <x v="1"/>
          </reference>
          <reference field="2" count="1" selected="0">
            <x v="7"/>
          </reference>
        </references>
      </pivotArea>
    </chartFormat>
    <chartFormat chart="0" format="13">
      <pivotArea type="data" outline="0" fieldPosition="0">
        <references count="2">
          <reference field="4294967294" count="1" selected="0">
            <x v="1"/>
          </reference>
          <reference field="2" count="1" selected="0">
            <x v="4"/>
          </reference>
        </references>
      </pivotArea>
    </chartFormat>
    <chartFormat chart="0" format="14">
      <pivotArea type="data" outline="0" fieldPosition="0">
        <references count="2">
          <reference field="4294967294" count="1" selected="0">
            <x v="1"/>
          </reference>
          <reference field="2" count="1" selected="0">
            <x v="5"/>
          </reference>
        </references>
      </pivotArea>
    </chartFormat>
    <chartFormat chart="0" format="15">
      <pivotArea type="data" outline="0" fieldPosition="0">
        <references count="2">
          <reference field="4294967294" count="1" selected="0">
            <x v="1"/>
          </reference>
          <reference field="2" count="1" selected="0">
            <x v="1"/>
          </reference>
        </references>
      </pivotArea>
    </chartFormat>
    <chartFormat chart="0" format="16">
      <pivotArea type="data" outline="0" fieldPosition="0">
        <references count="2">
          <reference field="4294967294" count="1" selected="0">
            <x v="1"/>
          </reference>
          <reference field="2" count="1" selected="0">
            <x v="6"/>
          </reference>
        </references>
      </pivotArea>
    </chartFormat>
    <chartFormat chart="0" format="17">
      <pivotArea type="data" outline="0" fieldPosition="0">
        <references count="2">
          <reference field="4294967294" count="1" selected="0">
            <x v="1"/>
          </reference>
          <reference field="2" count="1" selected="0">
            <x v="0"/>
          </reference>
        </references>
      </pivotArea>
    </chartFormat>
    <chartFormat chart="2" format="28" series="1">
      <pivotArea type="data" outline="0" fieldPosition="0">
        <references count="1">
          <reference field="4294967294" count="1" selected="0">
            <x v="0"/>
          </reference>
        </references>
      </pivotArea>
    </chartFormat>
    <chartFormat chart="2" format="29" series="1">
      <pivotArea type="data" outline="0" fieldPosition="0">
        <references count="1">
          <reference field="4294967294" count="1" selected="0">
            <x v="1"/>
          </reference>
        </references>
      </pivotArea>
    </chartFormat>
    <chartFormat chart="2" format="30">
      <pivotArea type="data" outline="0" fieldPosition="0">
        <references count="2">
          <reference field="4294967294" count="1" selected="0">
            <x v="1"/>
          </reference>
          <reference field="2" count="1" selected="0">
            <x v="0"/>
          </reference>
        </references>
      </pivotArea>
    </chartFormat>
    <chartFormat chart="2" format="31">
      <pivotArea type="data" outline="0" fieldPosition="0">
        <references count="2">
          <reference field="4294967294" count="1" selected="0">
            <x v="1"/>
          </reference>
          <reference field="2" count="1" selected="0">
            <x v="6"/>
          </reference>
        </references>
      </pivotArea>
    </chartFormat>
    <chartFormat chart="2" format="32">
      <pivotArea type="data" outline="0" fieldPosition="0">
        <references count="2">
          <reference field="4294967294" count="1" selected="0">
            <x v="1"/>
          </reference>
          <reference field="2" count="1" selected="0">
            <x v="1"/>
          </reference>
        </references>
      </pivotArea>
    </chartFormat>
    <chartFormat chart="2" format="33">
      <pivotArea type="data" outline="0" fieldPosition="0">
        <references count="2">
          <reference field="4294967294" count="1" selected="0">
            <x v="1"/>
          </reference>
          <reference field="2" count="1" selected="0">
            <x v="5"/>
          </reference>
        </references>
      </pivotArea>
    </chartFormat>
    <chartFormat chart="2" format="34">
      <pivotArea type="data" outline="0" fieldPosition="0">
        <references count="2">
          <reference field="4294967294" count="1" selected="0">
            <x v="1"/>
          </reference>
          <reference field="2" count="1" selected="0">
            <x v="2"/>
          </reference>
        </references>
      </pivotArea>
    </chartFormat>
    <chartFormat chart="2" format="35">
      <pivotArea type="data" outline="0" fieldPosition="0">
        <references count="2">
          <reference field="4294967294" count="1" selected="0">
            <x v="1"/>
          </reference>
          <reference field="2" count="1" selected="0">
            <x v="3"/>
          </reference>
        </references>
      </pivotArea>
    </chartFormat>
    <chartFormat chart="2" format="36">
      <pivotArea type="data" outline="0" fieldPosition="0">
        <references count="2">
          <reference field="4294967294" count="1" selected="0">
            <x v="1"/>
          </reference>
          <reference field="2" count="1" selected="0">
            <x v="7"/>
          </reference>
        </references>
      </pivotArea>
    </chartFormat>
    <chartFormat chart="2" format="37">
      <pivotArea type="data" outline="0" fieldPosition="0">
        <references count="2">
          <reference field="4294967294" count="1" selected="0">
            <x v="1"/>
          </reference>
          <reference field="2" count="1" selected="0">
            <x v="4"/>
          </reference>
        </references>
      </pivotArea>
    </chartFormat>
    <chartFormat chart="2" format="38">
      <pivotArea type="data" outline="0" fieldPosition="0">
        <references count="2">
          <reference field="4294967294" count="1" selected="0">
            <x v="0"/>
          </reference>
          <reference field="2" count="1" selected="0">
            <x v="6"/>
          </reference>
        </references>
      </pivotArea>
    </chartFormat>
    <chartFormat chart="2" format="39">
      <pivotArea type="data" outline="0" fieldPosition="0">
        <references count="2">
          <reference field="4294967294" count="1" selected="0">
            <x v="0"/>
          </reference>
          <reference field="2" count="1" selected="0">
            <x v="0"/>
          </reference>
        </references>
      </pivotArea>
    </chartFormat>
    <chartFormat chart="2" format="40">
      <pivotArea type="data" outline="0" fieldPosition="0">
        <references count="2">
          <reference field="4294967294" count="1" selected="0">
            <x v="0"/>
          </reference>
          <reference field="2" count="1" selected="0">
            <x v="1"/>
          </reference>
        </references>
      </pivotArea>
    </chartFormat>
    <chartFormat chart="2" format="41">
      <pivotArea type="data" outline="0" fieldPosition="0">
        <references count="2">
          <reference field="4294967294" count="1" selected="0">
            <x v="0"/>
          </reference>
          <reference field="2" count="1" selected="0">
            <x v="5"/>
          </reference>
        </references>
      </pivotArea>
    </chartFormat>
    <chartFormat chart="2" format="42">
      <pivotArea type="data" outline="0" fieldPosition="0">
        <references count="2">
          <reference field="4294967294" count="1" selected="0">
            <x v="0"/>
          </reference>
          <reference field="2" count="1" selected="0">
            <x v="2"/>
          </reference>
        </references>
      </pivotArea>
    </chartFormat>
    <chartFormat chart="2" format="43">
      <pivotArea type="data" outline="0" fieldPosition="0">
        <references count="2">
          <reference field="4294967294" count="1" selected="0">
            <x v="0"/>
          </reference>
          <reference field="2" count="1" selected="0">
            <x v="3"/>
          </reference>
        </references>
      </pivotArea>
    </chartFormat>
    <chartFormat chart="2" format="44">
      <pivotArea type="data" outline="0" fieldPosition="0">
        <references count="2">
          <reference field="4294967294" count="1" selected="0">
            <x v="0"/>
          </reference>
          <reference field="2" count="1" selected="0">
            <x v="7"/>
          </reference>
        </references>
      </pivotArea>
    </chartFormat>
    <chartFormat chart="2" format="4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C271A9-BB8F-4055-9FFD-84313BBCFD19}"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E2:F7" firstHeaderRow="1" firstDataRow="1" firstDataCol="1"/>
  <pivotFields count="19">
    <pivotField numFmtId="14" showAll="0"/>
    <pivotField showAll="0">
      <items count="15">
        <item x="0"/>
        <item x="1"/>
        <item x="2"/>
        <item x="3"/>
        <item x="4"/>
        <item x="5"/>
        <item x="6"/>
        <item x="7"/>
        <item x="8"/>
        <item x="9"/>
        <item x="10"/>
        <item x="11"/>
        <item x="12"/>
        <item x="13"/>
        <item t="default"/>
      </items>
    </pivotField>
    <pivotField showAll="0">
      <items count="9">
        <item x="2"/>
        <item x="4"/>
        <item x="3"/>
        <item x="1"/>
        <item x="7"/>
        <item x="5"/>
        <item x="0"/>
        <item x="6"/>
        <item t="default"/>
      </items>
    </pivotField>
    <pivotField numFmtId="166" showAll="0"/>
    <pivotField numFmtId="166" showAll="0"/>
    <pivotField axis="axisRow" dataField="1"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numFmtId="10"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5"/>
  </rowFields>
  <rowItems count="5">
    <i>
      <x v="1"/>
    </i>
    <i>
      <x v="3"/>
    </i>
    <i>
      <x v="2"/>
    </i>
    <i>
      <x/>
    </i>
    <i t="grand">
      <x/>
    </i>
  </rowItems>
  <colItems count="1">
    <i/>
  </colItems>
  <dataFields count="1">
    <dataField name="Count of Property" fld="5" subtotal="count" showDataAs="percentOfTotal" baseField="0" baseItem="0" numFmtId="10"/>
  </dataFields>
  <chartFormats count="3">
    <chartFormat chart="33" format="1"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3"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B1652-022A-4F78-A877-0808626545F2}"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0:F15" firstHeaderRow="1" firstDataRow="1" firstDataCol="1"/>
  <pivotFields count="19">
    <pivotField numFmtId="14" showAll="0"/>
    <pivotField showAll="0">
      <items count="15">
        <item x="0"/>
        <item x="1"/>
        <item x="2"/>
        <item x="3"/>
        <item x="4"/>
        <item x="5"/>
        <item x="6"/>
        <item x="7"/>
        <item x="8"/>
        <item x="9"/>
        <item x="10"/>
        <item x="11"/>
        <item x="12"/>
        <item x="13"/>
        <item t="default"/>
      </items>
    </pivotField>
    <pivotField showAll="0">
      <items count="9">
        <item x="2"/>
        <item x="4"/>
        <item x="3"/>
        <item x="1"/>
        <item x="7"/>
        <item x="5"/>
        <item x="0"/>
        <item x="6"/>
        <item t="default"/>
      </items>
    </pivotField>
    <pivotField numFmtId="166" showAll="0"/>
    <pivotField numFmtId="166" showAll="0"/>
    <pivotField showAll="0"/>
    <pivotField showAll="0">
      <items count="5">
        <item x="0"/>
        <item x="1"/>
        <item x="3"/>
        <item x="2"/>
        <item t="default"/>
      </items>
    </pivotField>
    <pivotField showAll="0"/>
    <pivotField showAll="0"/>
    <pivotField showAll="0"/>
    <pivotField numFmtId="10" showAll="0"/>
    <pivotField axis="axisRow" dataField="1" showAll="0">
      <items count="5">
        <item x="3"/>
        <item x="1"/>
        <item x="0"/>
        <item x="2"/>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11"/>
  </rowFields>
  <rowItems count="5">
    <i>
      <x/>
    </i>
    <i>
      <x v="1"/>
    </i>
    <i>
      <x v="2"/>
    </i>
    <i>
      <x v="3"/>
    </i>
    <i t="grand">
      <x/>
    </i>
  </rowItems>
  <colItems count="1">
    <i/>
  </colItems>
  <dataFields count="1">
    <dataField name="Count of Face" fld="11" subtotal="count" baseField="0" baseItem="0"/>
  </dataFields>
  <chartFormats count="5">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1" count="1" selected="0">
            <x v="3"/>
          </reference>
        </references>
      </pivotArea>
    </chartFormat>
    <chartFormat chart="10" format="7">
      <pivotArea type="data" outline="0" fieldPosition="0">
        <references count="2">
          <reference field="4294967294" count="1" selected="0">
            <x v="0"/>
          </reference>
          <reference field="11" count="1" selected="0">
            <x v="1"/>
          </reference>
        </references>
      </pivotArea>
    </chartFormat>
    <chartFormat chart="10" format="8">
      <pivotArea type="data" outline="0" fieldPosition="0">
        <references count="2">
          <reference field="4294967294" count="1" selected="0">
            <x v="0"/>
          </reference>
          <reference field="11" count="1" selected="0">
            <x v="2"/>
          </reference>
        </references>
      </pivotArea>
    </chartFormat>
    <chartFormat chart="10" format="9">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C15C41-7B33-4CC5-9F87-D90641ECD1D4}" name="PivotTable3"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E27:G32" firstHeaderRow="0" firstDataRow="1" firstDataCol="1"/>
  <pivotFields count="19">
    <pivotField numFmtId="14" showAll="0"/>
    <pivotField showAll="0">
      <items count="15">
        <item x="0"/>
        <item x="1"/>
        <item x="2"/>
        <item x="3"/>
        <item x="4"/>
        <item x="5"/>
        <item x="6"/>
        <item x="7"/>
        <item x="8"/>
        <item x="9"/>
        <item x="10"/>
        <item x="11"/>
        <item x="12"/>
        <item x="13"/>
        <item t="default"/>
      </items>
    </pivotField>
    <pivotField showAll="0">
      <items count="9">
        <item x="2"/>
        <item x="4"/>
        <item x="3"/>
        <item x="1"/>
        <item x="7"/>
        <item x="5"/>
        <item x="0"/>
        <item x="6"/>
        <item t="default"/>
      </items>
    </pivotField>
    <pivotField numFmtId="166" showAll="0"/>
    <pivotField dataField="1" numFmtId="166" showAll="0"/>
    <pivotField showAll="0"/>
    <pivotField dataField="1"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axis="axisRow" showAll="0">
      <items count="5">
        <item x="0"/>
        <item x="1"/>
        <item x="2"/>
        <item x="3"/>
        <item t="default"/>
      </items>
    </pivotField>
    <pivotField showAll="0"/>
    <pivotField showAll="0"/>
    <pivotField numFmtId="10"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Fields count="1">
    <field x="-2"/>
  </colFields>
  <colItems count="2">
    <i>
      <x/>
    </i>
    <i i="1">
      <x v="1"/>
    </i>
  </colItems>
  <dataFields count="2">
    <dataField name="Sum of Sale Price" fld="4" baseField="6" baseItem="0" numFmtId="166"/>
    <dataField name="Count of Residentia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F110FE-D6F9-4237-8DE8-68A2CAA3F2E7}"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14:C23" firstHeaderRow="0" firstDataRow="1" firstDataCol="1"/>
  <pivotFields count="19">
    <pivotField numFmtId="14" showAll="0"/>
    <pivotField showAll="0">
      <items count="15">
        <item x="0"/>
        <item x="1"/>
        <item x="2"/>
        <item x="3"/>
        <item x="4"/>
        <item x="5"/>
        <item x="6"/>
        <item x="7"/>
        <item x="8"/>
        <item x="9"/>
        <item x="10"/>
        <item x="11"/>
        <item x="12"/>
        <item x="13"/>
        <item t="default"/>
      </items>
    </pivotField>
    <pivotField axis="axisRow" showAll="0" sortType="descending">
      <items count="9">
        <item x="2"/>
        <item x="4"/>
        <item x="3"/>
        <item x="1"/>
        <item x="7"/>
        <item x="5"/>
        <item x="0"/>
        <item x="6"/>
        <item t="default"/>
      </items>
      <autoSortScope>
        <pivotArea dataOnly="0" outline="0" fieldPosition="0">
          <references count="1">
            <reference field="4294967294" count="1" selected="0">
              <x v="0"/>
            </reference>
          </references>
        </pivotArea>
      </autoSortScope>
    </pivotField>
    <pivotField dataField="1" numFmtId="166" showAll="0"/>
    <pivotField dataField="1" numFmtId="166" showAll="0"/>
    <pivotField showAll="0"/>
    <pivotField showAll="0">
      <items count="5">
        <item x="0"/>
        <item x="1"/>
        <item x="3"/>
        <item x="2"/>
        <item t="default"/>
      </items>
    </pivotField>
    <pivotField showAll="0"/>
    <pivotField showAll="0"/>
    <pivotField showAll="0"/>
    <pivotField numFmtId="10"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2"/>
  </rowFields>
  <rowItems count="9">
    <i>
      <x v="2"/>
    </i>
    <i>
      <x v="1"/>
    </i>
    <i>
      <x v="3"/>
    </i>
    <i>
      <x v="4"/>
    </i>
    <i>
      <x v="5"/>
    </i>
    <i>
      <x v="7"/>
    </i>
    <i>
      <x/>
    </i>
    <i>
      <x v="6"/>
    </i>
    <i t="grand">
      <x/>
    </i>
  </rowItems>
  <colFields count="1">
    <field x="-2"/>
  </colFields>
  <colItems count="2">
    <i>
      <x/>
    </i>
    <i i="1">
      <x v="1"/>
    </i>
  </colItems>
  <dataFields count="2">
    <dataField name="Average of Sale Price" fld="4" subtotal="average" baseField="2" baseItem="1" numFmtId="168"/>
    <dataField name="Average of Estimated Value" fld="3" subtotal="average" baseField="2" baseItem="0" numFmtId="168"/>
  </dataFields>
  <chartFormats count="27">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1"/>
          </reference>
        </references>
      </pivotArea>
    </chartFormat>
    <chartFormat chart="37" format="1"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1"/>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2" count="1" selected="0">
            <x v="6"/>
          </reference>
        </references>
      </pivotArea>
    </chartFormat>
    <chartFormat chart="16" format="9">
      <pivotArea type="data" outline="0" fieldPosition="0">
        <references count="2">
          <reference field="4294967294" count="1" selected="0">
            <x v="0"/>
          </reference>
          <reference field="2" count="1" selected="0">
            <x v="0"/>
          </reference>
        </references>
      </pivotArea>
    </chartFormat>
    <chartFormat chart="16" format="10">
      <pivotArea type="data" outline="0" fieldPosition="0">
        <references count="2">
          <reference field="4294967294" count="1" selected="0">
            <x v="1"/>
          </reference>
          <reference field="2" count="1" selected="0">
            <x v="6"/>
          </reference>
        </references>
      </pivotArea>
    </chartFormat>
    <chartFormat chart="48" format="0" series="1">
      <pivotArea type="data" outline="0" fieldPosition="0">
        <references count="1">
          <reference field="4294967294" count="1" selected="0">
            <x v="1"/>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1"/>
          </reference>
        </references>
      </pivotArea>
    </chartFormat>
    <chartFormat chart="49" format="3" series="1">
      <pivotArea type="data" outline="0" fieldPosition="0">
        <references count="1">
          <reference field="4294967294" count="1" selected="0">
            <x v="0"/>
          </reference>
        </references>
      </pivotArea>
    </chartFormat>
    <chartFormat chart="54" format="12" series="1">
      <pivotArea type="data" outline="0" fieldPosition="0">
        <references count="1">
          <reference field="4294967294" count="1" selected="0">
            <x v="0"/>
          </reference>
        </references>
      </pivotArea>
    </chartFormat>
    <chartFormat chart="54" format="13">
      <pivotArea type="data" outline="0" fieldPosition="0">
        <references count="2">
          <reference field="4294967294" count="1" selected="0">
            <x v="0"/>
          </reference>
          <reference field="2" count="1" selected="0">
            <x v="2"/>
          </reference>
        </references>
      </pivotArea>
    </chartFormat>
    <chartFormat chart="54" format="14" series="1">
      <pivotArea type="data" outline="0" fieldPosition="0">
        <references count="1">
          <reference field="4294967294" count="1" selected="0">
            <x v="1"/>
          </reference>
        </references>
      </pivotArea>
    </chartFormat>
    <chartFormat chart="54" format="15">
      <pivotArea type="data" outline="0" fieldPosition="0">
        <references count="2">
          <reference field="4294967294" count="1" selected="0">
            <x v="1"/>
          </reference>
          <reference field="2" count="1" selected="0">
            <x v="6"/>
          </reference>
        </references>
      </pivotArea>
    </chartFormat>
    <chartFormat chart="54" format="16">
      <pivotArea type="data" outline="0" fieldPosition="0">
        <references count="2">
          <reference field="4294967294" count="1" selected="0">
            <x v="1"/>
          </reference>
          <reference field="2" count="1" selected="0">
            <x v="0"/>
          </reference>
        </references>
      </pivotArea>
    </chartFormat>
    <chartFormat chart="54" format="17">
      <pivotArea type="data" outline="0" fieldPosition="0">
        <references count="2">
          <reference field="4294967294" count="1" selected="0">
            <x v="1"/>
          </reference>
          <reference field="2" count="1" selected="0">
            <x v="7"/>
          </reference>
        </references>
      </pivotArea>
    </chartFormat>
    <chartFormat chart="54" format="18">
      <pivotArea type="data" outline="0" fieldPosition="0">
        <references count="2">
          <reference field="4294967294" count="1" selected="0">
            <x v="1"/>
          </reference>
          <reference field="2" count="1" selected="0">
            <x v="5"/>
          </reference>
        </references>
      </pivotArea>
    </chartFormat>
    <chartFormat chart="54" format="19">
      <pivotArea type="data" outline="0" fieldPosition="0">
        <references count="2">
          <reference field="4294967294" count="1" selected="0">
            <x v="1"/>
          </reference>
          <reference field="2" count="1" selected="0">
            <x v="4"/>
          </reference>
        </references>
      </pivotArea>
    </chartFormat>
    <chartFormat chart="54" format="20">
      <pivotArea type="data" outline="0" fieldPosition="0">
        <references count="2">
          <reference field="4294967294" count="1" selected="0">
            <x v="1"/>
          </reference>
          <reference field="2" count="1" selected="0">
            <x v="3"/>
          </reference>
        </references>
      </pivotArea>
    </chartFormat>
    <chartFormat chart="54" format="21">
      <pivotArea type="data" outline="0" fieldPosition="0">
        <references count="2">
          <reference field="4294967294" count="1" selected="0">
            <x v="1"/>
          </reference>
          <reference field="2" count="1" selected="0">
            <x v="1"/>
          </reference>
        </references>
      </pivotArea>
    </chartFormat>
    <chartFormat chart="54" format="22">
      <pivotArea type="data" outline="0" fieldPosition="0">
        <references count="2">
          <reference field="4294967294" count="1" selected="0">
            <x v="1"/>
          </reference>
          <reference field="2" count="1" selected="0">
            <x v="2"/>
          </reference>
        </references>
      </pivotArea>
    </chartFormat>
    <chartFormat chart="54" format="2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3A2214-71FC-4E59-AABD-9969AF8CC64C}"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20:F24" firstHeaderRow="1" firstDataRow="1" firstDataCol="1" rowPageCount="1" colPageCount="1"/>
  <pivotFields count="19">
    <pivotField numFmtId="14" showAll="0"/>
    <pivotField showAll="0">
      <items count="15">
        <item x="0"/>
        <item x="1"/>
        <item x="2"/>
        <item x="3"/>
        <item x="4"/>
        <item x="5"/>
        <item x="6"/>
        <item x="7"/>
        <item x="8"/>
        <item x="9"/>
        <item x="10"/>
        <item x="11"/>
        <item x="12"/>
        <item x="13"/>
        <item t="default"/>
      </items>
    </pivotField>
    <pivotField axis="axisPage" multipleItemSelectionAllowed="1" showAll="0">
      <items count="9">
        <item x="2"/>
        <item x="4"/>
        <item x="3"/>
        <item x="1"/>
        <item x="7"/>
        <item x="5"/>
        <item x="0"/>
        <item x="6"/>
        <item t="default"/>
      </items>
    </pivotField>
    <pivotField numFmtId="166" showAll="0"/>
    <pivotField dataField="1" numFmtId="166" showAll="0"/>
    <pivotField showAll="0"/>
    <pivotField showAll="0">
      <items count="5">
        <item x="0"/>
        <item x="1"/>
        <item x="3"/>
        <item x="2"/>
        <item t="default"/>
      </items>
    </pivotField>
    <pivotField showAll="0"/>
    <pivotField showAll="0"/>
    <pivotField showAll="0"/>
    <pivotField numFmtId="10" showAll="0"/>
    <pivotField showAll="0"/>
    <pivotField showAll="0"/>
    <pivotField showAll="0"/>
    <pivotField axis="axisRow" showAll="0">
      <items count="4">
        <item x="0"/>
        <item x="1"/>
        <item x="2"/>
        <item t="default"/>
      </items>
    </pivotField>
    <pivotField showAll="0"/>
    <pivotField showAll="0"/>
    <pivotField showAll="0"/>
    <pivotField showAll="0">
      <items count="13">
        <item x="0"/>
        <item x="1"/>
        <item x="2"/>
        <item x="3"/>
        <item x="4"/>
        <item x="5"/>
        <item x="6"/>
        <item x="7"/>
        <item x="8"/>
        <item x="9"/>
        <item x="10"/>
        <item x="11"/>
        <item t="default"/>
      </items>
    </pivotField>
  </pivotFields>
  <rowFields count="1">
    <field x="14"/>
  </rowFields>
  <rowItems count="4">
    <i>
      <x/>
    </i>
    <i>
      <x v="1"/>
    </i>
    <i>
      <x v="2"/>
    </i>
    <i t="grand">
      <x/>
    </i>
  </rowItems>
  <colItems count="1">
    <i/>
  </colItems>
  <pageFields count="1">
    <pageField fld="2" hier="-1"/>
  </pageFields>
  <dataFields count="1">
    <dataField name="Count of Sale Price" fld="4" subtotal="count" showDataAs="percentOfTotal" baseField="14" baseItem="0" numFmtId="10"/>
  </dataFields>
  <chartFormats count="8">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4" count="1" selected="0">
            <x v="0"/>
          </reference>
        </references>
      </pivotArea>
    </chartFormat>
    <chartFormat chart="10" format="7">
      <pivotArea type="data" outline="0" fieldPosition="0">
        <references count="2">
          <reference field="4294967294" count="1" selected="0">
            <x v="0"/>
          </reference>
          <reference field="14" count="1" selected="0">
            <x v="1"/>
          </reference>
        </references>
      </pivotArea>
    </chartFormat>
    <chartFormat chart="10"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06DD4E-01F0-408B-8BE3-29758AB2CD1C}"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I17" firstHeaderRow="1" firstDataRow="1" firstDataCol="1" rowPageCount="1" colPageCount="1"/>
  <pivotFields count="19">
    <pivotField numFmtId="14" showAll="0"/>
    <pivotField axis="axisPage" multipleItemSelectionAllowed="1" showAll="0">
      <items count="15">
        <item x="0"/>
        <item x="1"/>
        <item x="2"/>
        <item x="3"/>
        <item x="4"/>
        <item x="5"/>
        <item x="6"/>
        <item x="7"/>
        <item x="8"/>
        <item x="9"/>
        <item x="10"/>
        <item x="11"/>
        <item x="12"/>
        <item x="13"/>
        <item t="default"/>
      </items>
    </pivotField>
    <pivotField showAll="0">
      <items count="9">
        <item x="2"/>
        <item x="4"/>
        <item x="3"/>
        <item x="1"/>
        <item x="7"/>
        <item x="5"/>
        <item x="0"/>
        <item x="6"/>
        <item t="default"/>
      </items>
    </pivotField>
    <pivotField numFmtId="166" showAll="0"/>
    <pivotField dataField="1" numFmtId="166" showAll="0"/>
    <pivotField showAll="0"/>
    <pivotField showAll="0">
      <items count="5">
        <item x="0"/>
        <item x="1"/>
        <item x="3"/>
        <item x="2"/>
        <item t="default"/>
      </items>
    </pivotField>
    <pivotField showAll="0"/>
    <pivotField showAll="0"/>
    <pivotField showAll="0"/>
    <pivotField numFmtId="10"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13">
        <item x="0"/>
        <item x="1"/>
        <item x="2"/>
        <item x="3"/>
        <item x="4"/>
        <item x="5"/>
        <item x="6"/>
        <item x="7"/>
        <item x="8"/>
        <item x="9"/>
        <item x="10"/>
        <item x="11"/>
        <item t="default"/>
      </items>
    </pivotField>
  </pivotFields>
  <rowFields count="1">
    <field x="18"/>
  </rowFields>
  <rowItems count="13">
    <i>
      <x/>
    </i>
    <i>
      <x v="1"/>
    </i>
    <i>
      <x v="2"/>
    </i>
    <i>
      <x v="3"/>
    </i>
    <i>
      <x v="4"/>
    </i>
    <i>
      <x v="5"/>
    </i>
    <i>
      <x v="6"/>
    </i>
    <i>
      <x v="7"/>
    </i>
    <i>
      <x v="8"/>
    </i>
    <i>
      <x v="9"/>
    </i>
    <i>
      <x v="10"/>
    </i>
    <i>
      <x v="11"/>
    </i>
    <i t="grand">
      <x/>
    </i>
  </rowItems>
  <colItems count="1">
    <i/>
  </colItems>
  <pageFields count="1">
    <pageField fld="1" hier="-1"/>
  </pageFields>
  <dataFields count="1">
    <dataField name="Sum of Sale Price" fld="4" baseField="17" baseItem="8" numFmtId="167"/>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644B51-24F8-4867-A228-C8D725D127AE}" autoFormatId="16" applyNumberFormats="0" applyBorderFormats="0" applyFontFormats="0" applyPatternFormats="0" applyAlignmentFormats="0" applyWidthHeightFormats="0">
  <queryTableRefresh nextId="20">
    <queryTableFields count="19">
      <queryTableField id="1" name="Date" tableColumnId="1"/>
      <queryTableField id="2" name="Year" tableColumnId="2"/>
      <queryTableField id="3" name="Locality" tableColumnId="3"/>
      <queryTableField id="4" name="Estimated Value" tableColumnId="4"/>
      <queryTableField id="5" name="Sale Price" tableColumnId="5"/>
      <queryTableField id="6" name="Property" tableColumnId="6"/>
      <queryTableField id="7" name="Residential" tableColumnId="7"/>
      <queryTableField id="8" name="num_rooms" tableColumnId="8"/>
      <queryTableField id="9" name="num_bathrooms" tableColumnId="9"/>
      <queryTableField id="10" name="carpet_area" tableColumnId="10"/>
      <queryTableField id="11" name="property_tax_rate" tableColumnId="11"/>
      <queryTableField id="12" name="Face" tableColumnId="12"/>
      <queryTableField id="13" name="Price_Difference" tableColumnId="13"/>
      <queryTableField id="14" name="Price_Per_Sqm" tableColumnId="14"/>
      <queryTableField id="15" name="Sale_Status" tableColumnId="15"/>
      <queryTableField id="16" name="Price_Category" tableColumnId="16"/>
      <queryTableField id="17" name="Size_Category" tableColumnId="17"/>
      <queryTableField id="18" name="Month" tableColumnId="18"/>
      <queryTableField id="19" name="Month_No"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5DDB8E8A-53F0-43FE-AB60-401470234BAA}" sourceName="Locality">
  <pivotTables>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s>
  <data>
    <tabular pivotCacheId="288316626">
      <items count="8">
        <i x="2" s="1"/>
        <i x="4" s="1"/>
        <i x="3" s="1"/>
        <i x="1" s="1"/>
        <i x="7" s="1"/>
        <i x="5"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459015-9990-471B-A8ED-FB318DE9149D}" sourceName="Year">
  <pivotTables>
    <pivotTable tabId="1" name="PivotTable8"/>
    <pivotTable tabId="1" name="PivotTable1"/>
    <pivotTable tabId="1" name="PivotTable2"/>
    <pivotTable tabId="1" name="PivotTable3"/>
    <pivotTable tabId="1" name="PivotTable5"/>
    <pivotTable tabId="1" name="PivotTable6"/>
    <pivotTable tabId="1" name="PivotTable7"/>
    <pivotTable tabId="1" name="PivotTable9"/>
    <pivotTable tabId="1" name="PivotTable4"/>
  </pivotTables>
  <data>
    <tabular pivotCacheId="288316626">
      <items count="14">
        <i x="0" s="1"/>
        <i x="1" s="1"/>
        <i x="2" s="1"/>
        <i x="3" s="1"/>
        <i x="4" s="1"/>
        <i x="5" s="1"/>
        <i x="6" s="1"/>
        <i x="7" s="1"/>
        <i x="8" s="1"/>
        <i x="9" s="1"/>
        <i x="10" s="1"/>
        <i x="11" s="1"/>
        <i x="12"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idential" xr10:uid="{EC85739F-BFFE-4543-9367-E423BEE8761F}" sourceName="Residential">
  <pivotTables>
    <pivotTable tabId="1" name="PivotTable8"/>
    <pivotTable tabId="1" name="PivotTable1"/>
    <pivotTable tabId="1" name="PivotTable2"/>
    <pivotTable tabId="1" name="PivotTable3"/>
    <pivotTable tabId="1" name="PivotTable5"/>
    <pivotTable tabId="1" name="PivotTable6"/>
    <pivotTable tabId="1" name="PivotTable7"/>
    <pivotTable tabId="1" name="PivotTable9"/>
    <pivotTable tabId="1" name="PivotTable4"/>
  </pivotTables>
  <data>
    <tabular pivotCacheId="28831662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o" xr10:uid="{D402507D-387E-4FBA-8D8C-4FED08C1F86F}" sourceName="Month_No">
  <pivotTables>
    <pivotTable tabId="1" name="PivotTable8"/>
    <pivotTable tabId="1" name="PivotTable1"/>
    <pivotTable tabId="1" name="PivotTable2"/>
    <pivotTable tabId="1" name="PivotTable3"/>
    <pivotTable tabId="1" name="PivotTable5"/>
    <pivotTable tabId="1" name="PivotTable6"/>
    <pivotTable tabId="1" name="PivotTable7"/>
    <pivotTable tabId="1" name="PivotTable9"/>
    <pivotTable tabId="1" name="PivotTable4"/>
  </pivotTables>
  <data>
    <tabular pivotCacheId="28831662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ty" xr10:uid="{B7907710-03A4-45E5-816D-DA0A0B489373}" cache="Slicer_Locality" caption="Locality" style="Slicer Style 1" rowHeight="247650"/>
  <slicer name="Year" xr10:uid="{DDC93F61-9A44-4080-B656-7D35CF2A9448}" cache="Slicer_Year" caption="Year" startItem="4" columnCount="2" style="Slicer Style 1" rowHeight="247650"/>
  <slicer name="Residential" xr10:uid="{27130413-9CFB-4D35-83C7-EE0C9A72E9FC}" cache="Slicer_Residential" caption="Residential" columnCount="4" style="Slicer Style 1" rowHeight="247650"/>
  <slicer name="Month_No" xr10:uid="{38B156E8-0D93-44AB-A38E-461E8E4E766D}" cache="Slicer_Month_No" caption="Month_No" startItem="4" columnCount="2"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4328E2-57FE-4E57-BA91-AE8F45222E3B}" name="V3_" displayName="V3_" ref="A1:S2536" tableType="queryTable" totalsRowShown="0">
  <autoFilter ref="A1:S2536" xr:uid="{8C4328E2-57FE-4E57-BA91-AE8F45222E3B}"/>
  <tableColumns count="19">
    <tableColumn id="1" xr3:uid="{5F2FC2AB-DB6E-4116-9BA2-F3FFB5A2888A}" uniqueName="1" name="Date" queryTableFieldId="1" dataDxfId="13"/>
    <tableColumn id="2" xr3:uid="{F347EEB8-F012-4BF3-ABB6-B7454636456E}" uniqueName="2" name="Year" queryTableFieldId="2"/>
    <tableColumn id="3" xr3:uid="{9D8774A2-8F8D-4E1A-9637-D4B437AF54C9}" uniqueName="3" name="Locality" queryTableFieldId="3" dataDxfId="12"/>
    <tableColumn id="4" xr3:uid="{5C9A43A0-C685-4851-820F-396634DF263A}" uniqueName="4" name="Estimated Value" queryTableFieldId="4" dataDxfId="11"/>
    <tableColumn id="5" xr3:uid="{501D7A44-4F16-4969-8186-A6479A6839B5}" uniqueName="5" name="Sale Price" queryTableFieldId="5" dataDxfId="10" dataCellStyle="Currency"/>
    <tableColumn id="6" xr3:uid="{9B14D285-D808-4B8D-B7AC-47566E72BA07}" uniqueName="6" name="Property" queryTableFieldId="6" dataDxfId="9"/>
    <tableColumn id="7" xr3:uid="{7A3C4C6B-B930-42FC-976F-C2B0C40ED313}" uniqueName="7" name="Residential" queryTableFieldId="7" dataDxfId="8"/>
    <tableColumn id="8" xr3:uid="{9B088AAA-396A-469E-B7F4-56533E1725B9}" uniqueName="8" name="num_rooms" queryTableFieldId="8"/>
    <tableColumn id="9" xr3:uid="{A7195494-9CDF-4EC2-AFCA-7382451108DF}" uniqueName="9" name="num_bathrooms" queryTableFieldId="9"/>
    <tableColumn id="10" xr3:uid="{C6CEC5D1-7970-4075-865E-082AF0AD5BBA}" uniqueName="10" name="carpet_area" queryTableFieldId="10"/>
    <tableColumn id="11" xr3:uid="{9E580B2F-B10B-4629-BA7B-E083E1A0088E}" uniqueName="11" name="property_tax_rate" queryTableFieldId="11" dataDxfId="7"/>
    <tableColumn id="12" xr3:uid="{6EFC3FA8-69B1-4933-B35B-F11F1C6859F5}" uniqueName="12" name="Face" queryTableFieldId="12" dataDxfId="6"/>
    <tableColumn id="13" xr3:uid="{B2D09C44-BFB3-430C-8DBA-7845B8E76B60}" uniqueName="13" name="Price_Difference" queryTableFieldId="13" dataDxfId="5"/>
    <tableColumn id="14" xr3:uid="{F22B66BC-F2C0-46B3-9A75-4FFFE9838DEF}" uniqueName="14" name="Price_Per_Sqm" queryTableFieldId="14" dataDxfId="4"/>
    <tableColumn id="15" xr3:uid="{4C5E7084-7FFD-4AEE-AA07-A8D397658DF7}" uniqueName="15" name="Sale_Status" queryTableFieldId="15" dataDxfId="3"/>
    <tableColumn id="16" xr3:uid="{2C9CCA8C-88B7-4149-97B2-6209F0FF1376}" uniqueName="16" name="Price_Category" queryTableFieldId="16" dataDxfId="2"/>
    <tableColumn id="17" xr3:uid="{0769186A-F507-4169-95A4-4EB81163A3DA}" uniqueName="17" name="Size_Category" queryTableFieldId="17" dataDxfId="1"/>
    <tableColumn id="18" xr3:uid="{0A43BFEC-0835-4CA9-8C14-E4295A89A90D}" uniqueName="18" name="Month" queryTableFieldId="18" dataDxfId="0"/>
    <tableColumn id="19" xr3:uid="{3F020A90-8F20-45EB-9129-C1479E039328}" uniqueName="19" name="Month_No" queryTableFieldId="19"/>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EB81-6554-479C-A036-028FC7FA98B3}">
  <dimension ref="A1:S1048576"/>
  <sheetViews>
    <sheetView topLeftCell="D2536" zoomScale="130" zoomScaleNormal="130" workbookViewId="0">
      <selection activeCell="G4" sqref="G4"/>
    </sheetView>
  </sheetViews>
  <sheetFormatPr defaultRowHeight="14.4" x14ac:dyDescent="0.3"/>
  <cols>
    <col min="1" max="1" width="12.77734375" customWidth="1"/>
    <col min="2" max="2" width="6.88671875" customWidth="1"/>
    <col min="3" max="3" width="12.21875" customWidth="1"/>
    <col min="4" max="4" width="16.88671875" style="4" customWidth="1"/>
    <col min="5" max="5" width="11.5546875" style="2" customWidth="1"/>
    <col min="6" max="6" width="11.5546875" customWidth="1"/>
    <col min="7" max="7" width="14.6640625" customWidth="1"/>
    <col min="8" max="8" width="12.88671875" customWidth="1"/>
    <col min="9" max="9" width="16.77734375" customWidth="1"/>
    <col min="10" max="10" width="13.109375" customWidth="1"/>
    <col min="11" max="11" width="17.88671875" style="5" customWidth="1"/>
    <col min="12" max="12" width="7.21875" customWidth="1"/>
    <col min="13" max="13" width="17" style="4" customWidth="1"/>
    <col min="14" max="14" width="15.88671875" style="3" customWidth="1"/>
    <col min="15" max="15" width="13.5546875" customWidth="1"/>
    <col min="16" max="16" width="15.77734375" customWidth="1"/>
    <col min="17" max="17" width="14.88671875" customWidth="1"/>
    <col min="18" max="18" width="9.77734375" customWidth="1"/>
    <col min="19" max="19" width="11.44140625" customWidth="1"/>
  </cols>
  <sheetData>
    <row r="1" spans="1:19" x14ac:dyDescent="0.3">
      <c r="A1" t="s">
        <v>0</v>
      </c>
      <c r="B1" t="s">
        <v>1</v>
      </c>
      <c r="C1" t="s">
        <v>2</v>
      </c>
      <c r="D1" s="4" t="s">
        <v>3</v>
      </c>
      <c r="E1" s="2" t="s">
        <v>4</v>
      </c>
      <c r="F1" t="s">
        <v>5</v>
      </c>
      <c r="G1" t="s">
        <v>6</v>
      </c>
      <c r="H1" t="s">
        <v>7</v>
      </c>
      <c r="I1" t="s">
        <v>8</v>
      </c>
      <c r="J1" t="s">
        <v>9</v>
      </c>
      <c r="K1" s="5" t="s">
        <v>10</v>
      </c>
      <c r="L1" t="s">
        <v>11</v>
      </c>
      <c r="M1" s="4" t="s">
        <v>12</v>
      </c>
      <c r="N1" s="3" t="s">
        <v>13</v>
      </c>
      <c r="O1" t="s">
        <v>14</v>
      </c>
      <c r="P1" t="s">
        <v>15</v>
      </c>
      <c r="Q1" t="s">
        <v>16</v>
      </c>
      <c r="R1" t="s">
        <v>17</v>
      </c>
      <c r="S1" t="s">
        <v>65</v>
      </c>
    </row>
    <row r="2" spans="1:19" x14ac:dyDescent="0.3">
      <c r="A2" s="1">
        <v>39815</v>
      </c>
      <c r="B2">
        <v>2009</v>
      </c>
      <c r="C2" t="s">
        <v>18</v>
      </c>
      <c r="D2" s="4">
        <v>111440</v>
      </c>
      <c r="E2" s="2">
        <v>185000</v>
      </c>
      <c r="F2" t="s">
        <v>19</v>
      </c>
      <c r="G2" t="s">
        <v>20</v>
      </c>
      <c r="H2">
        <v>3</v>
      </c>
      <c r="I2">
        <v>3</v>
      </c>
      <c r="J2">
        <v>996</v>
      </c>
      <c r="K2" s="5">
        <v>1.0259529999999999E-2</v>
      </c>
      <c r="L2" t="s">
        <v>21</v>
      </c>
      <c r="M2" s="4">
        <v>73560</v>
      </c>
      <c r="N2" s="3">
        <v>185.74299999999999</v>
      </c>
      <c r="O2" t="s">
        <v>22</v>
      </c>
      <c r="P2" t="s">
        <v>23</v>
      </c>
      <c r="Q2" t="s">
        <v>24</v>
      </c>
      <c r="R2" t="s">
        <v>25</v>
      </c>
      <c r="S2">
        <v>1</v>
      </c>
    </row>
    <row r="3" spans="1:19" x14ac:dyDescent="0.3">
      <c r="A3" s="1">
        <v>39816</v>
      </c>
      <c r="B3">
        <v>2009</v>
      </c>
      <c r="C3" t="s">
        <v>26</v>
      </c>
      <c r="D3" s="4">
        <v>444584.20699999999</v>
      </c>
      <c r="E3" s="2">
        <v>1340000</v>
      </c>
      <c r="F3" t="s">
        <v>19</v>
      </c>
      <c r="G3" t="s">
        <v>20</v>
      </c>
      <c r="H3">
        <v>3</v>
      </c>
      <c r="I3">
        <v>1</v>
      </c>
      <c r="J3">
        <v>936</v>
      </c>
      <c r="K3" s="5">
        <v>1.0259529999999999E-2</v>
      </c>
      <c r="L3" t="s">
        <v>27</v>
      </c>
      <c r="M3" s="4">
        <v>895415.79299999995</v>
      </c>
      <c r="N3" s="3">
        <v>1431.6239</v>
      </c>
      <c r="O3" t="s">
        <v>22</v>
      </c>
      <c r="P3" t="s">
        <v>28</v>
      </c>
      <c r="Q3" t="s">
        <v>24</v>
      </c>
      <c r="R3" t="s">
        <v>25</v>
      </c>
      <c r="S3">
        <v>1</v>
      </c>
    </row>
    <row r="4" spans="1:19" x14ac:dyDescent="0.3">
      <c r="A4" s="1">
        <v>39817</v>
      </c>
      <c r="B4">
        <v>2009</v>
      </c>
      <c r="C4" t="s">
        <v>29</v>
      </c>
      <c r="D4" s="4">
        <v>444584.20699999999</v>
      </c>
      <c r="E4" s="2">
        <v>410000</v>
      </c>
      <c r="F4" t="s">
        <v>30</v>
      </c>
      <c r="G4" t="s">
        <v>31</v>
      </c>
      <c r="H4">
        <v>4</v>
      </c>
      <c r="I4">
        <v>3</v>
      </c>
      <c r="J4">
        <v>1498</v>
      </c>
      <c r="K4" s="5">
        <v>1.0259529999999999E-2</v>
      </c>
      <c r="L4" t="s">
        <v>32</v>
      </c>
      <c r="M4" s="4">
        <v>-34584.207000000002</v>
      </c>
      <c r="N4" s="3">
        <v>273.69830000000002</v>
      </c>
      <c r="O4" t="s">
        <v>33</v>
      </c>
      <c r="P4" t="s">
        <v>24</v>
      </c>
      <c r="Q4" t="s">
        <v>34</v>
      </c>
      <c r="R4" t="s">
        <v>25</v>
      </c>
      <c r="S4">
        <v>1</v>
      </c>
    </row>
    <row r="5" spans="1:19" x14ac:dyDescent="0.3">
      <c r="A5" s="1">
        <v>39822</v>
      </c>
      <c r="B5">
        <v>2009</v>
      </c>
      <c r="C5" t="s">
        <v>29</v>
      </c>
      <c r="D5" s="4">
        <v>135870</v>
      </c>
      <c r="E5" s="2">
        <v>362560</v>
      </c>
      <c r="F5" t="s">
        <v>30</v>
      </c>
      <c r="G5" t="s">
        <v>31</v>
      </c>
      <c r="H5">
        <v>4</v>
      </c>
      <c r="I5">
        <v>2</v>
      </c>
      <c r="J5">
        <v>1338</v>
      </c>
      <c r="K5" s="5">
        <v>1.0259529999999999E-2</v>
      </c>
      <c r="L5" t="s">
        <v>32</v>
      </c>
      <c r="M5" s="4">
        <v>226690</v>
      </c>
      <c r="N5" s="3">
        <v>270.97160000000002</v>
      </c>
      <c r="O5" t="s">
        <v>22</v>
      </c>
      <c r="P5" t="s">
        <v>24</v>
      </c>
      <c r="Q5" t="s">
        <v>34</v>
      </c>
      <c r="R5" t="s">
        <v>25</v>
      </c>
      <c r="S5">
        <v>1</v>
      </c>
    </row>
    <row r="6" spans="1:19" x14ac:dyDescent="0.3">
      <c r="A6" s="1">
        <v>39823</v>
      </c>
      <c r="B6">
        <v>2009</v>
      </c>
      <c r="C6" t="s">
        <v>29</v>
      </c>
      <c r="D6" s="4">
        <v>444584.20699999999</v>
      </c>
      <c r="E6" s="2">
        <v>269900</v>
      </c>
      <c r="F6" t="s">
        <v>19</v>
      </c>
      <c r="G6" t="s">
        <v>20</v>
      </c>
      <c r="H6">
        <v>3</v>
      </c>
      <c r="I6">
        <v>1</v>
      </c>
      <c r="J6">
        <v>1008</v>
      </c>
      <c r="K6" s="5">
        <v>1.0259529999999999E-2</v>
      </c>
      <c r="L6" t="s">
        <v>32</v>
      </c>
      <c r="M6" s="4">
        <v>-174684.20699999999</v>
      </c>
      <c r="N6" s="3">
        <v>267.75790000000001</v>
      </c>
      <c r="O6" t="s">
        <v>33</v>
      </c>
      <c r="P6" t="s">
        <v>24</v>
      </c>
      <c r="Q6" t="s">
        <v>24</v>
      </c>
      <c r="R6" t="s">
        <v>25</v>
      </c>
      <c r="S6">
        <v>1</v>
      </c>
    </row>
    <row r="7" spans="1:19" x14ac:dyDescent="0.3">
      <c r="A7" s="1">
        <v>39825</v>
      </c>
      <c r="B7">
        <v>2009</v>
      </c>
      <c r="C7" t="s">
        <v>35</v>
      </c>
      <c r="D7" s="4">
        <v>2215010</v>
      </c>
      <c r="E7" s="2">
        <v>2925000</v>
      </c>
      <c r="F7" t="s">
        <v>19</v>
      </c>
      <c r="G7" t="s">
        <v>20</v>
      </c>
      <c r="H7">
        <v>3</v>
      </c>
      <c r="I7">
        <v>2</v>
      </c>
      <c r="J7">
        <v>1065</v>
      </c>
      <c r="K7" s="5">
        <v>1.0259529999999999E-2</v>
      </c>
      <c r="L7" t="s">
        <v>32</v>
      </c>
      <c r="M7" s="4">
        <v>709990</v>
      </c>
      <c r="N7" s="3">
        <v>2746.4789000000001</v>
      </c>
      <c r="O7" t="s">
        <v>22</v>
      </c>
      <c r="P7" t="s">
        <v>28</v>
      </c>
      <c r="Q7" t="s">
        <v>24</v>
      </c>
      <c r="R7" t="s">
        <v>25</v>
      </c>
      <c r="S7">
        <v>1</v>
      </c>
    </row>
    <row r="8" spans="1:19" x14ac:dyDescent="0.3">
      <c r="A8" s="1">
        <v>39829</v>
      </c>
      <c r="B8">
        <v>2009</v>
      </c>
      <c r="C8" t="s">
        <v>29</v>
      </c>
      <c r="D8" s="4">
        <v>159460</v>
      </c>
      <c r="E8" s="2">
        <v>384000</v>
      </c>
      <c r="F8" t="s">
        <v>36</v>
      </c>
      <c r="G8" t="s">
        <v>37</v>
      </c>
      <c r="H8">
        <v>6</v>
      </c>
      <c r="I8">
        <v>4</v>
      </c>
      <c r="J8">
        <v>2131</v>
      </c>
      <c r="K8" s="5">
        <v>1.0259529999999999E-2</v>
      </c>
      <c r="L8" t="s">
        <v>32</v>
      </c>
      <c r="M8" s="4">
        <v>224540</v>
      </c>
      <c r="N8" s="3">
        <v>180.19710000000001</v>
      </c>
      <c r="O8" t="s">
        <v>22</v>
      </c>
      <c r="P8" t="s">
        <v>24</v>
      </c>
      <c r="Q8" t="s">
        <v>34</v>
      </c>
      <c r="R8" t="s">
        <v>25</v>
      </c>
      <c r="S8">
        <v>1</v>
      </c>
    </row>
    <row r="9" spans="1:19" x14ac:dyDescent="0.3">
      <c r="A9" s="1">
        <v>39830</v>
      </c>
      <c r="B9">
        <v>2009</v>
      </c>
      <c r="C9" t="s">
        <v>18</v>
      </c>
      <c r="D9" s="4">
        <v>444584.20699999999</v>
      </c>
      <c r="E9" s="2">
        <v>265000</v>
      </c>
      <c r="F9" t="s">
        <v>36</v>
      </c>
      <c r="G9" t="s">
        <v>37</v>
      </c>
      <c r="H9">
        <v>6</v>
      </c>
      <c r="I9">
        <v>5</v>
      </c>
      <c r="J9">
        <v>1892</v>
      </c>
      <c r="K9" s="5">
        <v>1.0259529999999999E-2</v>
      </c>
      <c r="L9" t="s">
        <v>21</v>
      </c>
      <c r="M9" s="4">
        <v>-179584.20699999999</v>
      </c>
      <c r="N9" s="3">
        <v>140.0634</v>
      </c>
      <c r="O9" t="s">
        <v>33</v>
      </c>
      <c r="P9" t="s">
        <v>24</v>
      </c>
      <c r="Q9" t="s">
        <v>34</v>
      </c>
      <c r="R9" t="s">
        <v>25</v>
      </c>
      <c r="S9">
        <v>1</v>
      </c>
    </row>
    <row r="10" spans="1:19" x14ac:dyDescent="0.3">
      <c r="A10" s="1">
        <v>39831</v>
      </c>
      <c r="B10">
        <v>2009</v>
      </c>
      <c r="C10" t="s">
        <v>29</v>
      </c>
      <c r="D10" s="4">
        <v>128381</v>
      </c>
      <c r="E10" s="2">
        <v>330000</v>
      </c>
      <c r="F10" t="s">
        <v>19</v>
      </c>
      <c r="G10" t="s">
        <v>20</v>
      </c>
      <c r="H10">
        <v>3</v>
      </c>
      <c r="I10">
        <v>3</v>
      </c>
      <c r="J10">
        <v>959</v>
      </c>
      <c r="K10" s="5">
        <v>1.0259529999999999E-2</v>
      </c>
      <c r="L10" t="s">
        <v>27</v>
      </c>
      <c r="M10" s="4">
        <v>201619</v>
      </c>
      <c r="N10" s="3">
        <v>344.10840000000002</v>
      </c>
      <c r="O10" t="s">
        <v>22</v>
      </c>
      <c r="P10" t="s">
        <v>24</v>
      </c>
      <c r="Q10" t="s">
        <v>24</v>
      </c>
      <c r="R10" t="s">
        <v>25</v>
      </c>
      <c r="S10">
        <v>1</v>
      </c>
    </row>
    <row r="11" spans="1:19" x14ac:dyDescent="0.3">
      <c r="A11" s="1">
        <v>39832</v>
      </c>
      <c r="B11">
        <v>2009</v>
      </c>
      <c r="C11" t="s">
        <v>29</v>
      </c>
      <c r="D11" s="4">
        <v>444584.20699999999</v>
      </c>
      <c r="E11" s="2">
        <v>137000</v>
      </c>
      <c r="F11" t="s">
        <v>19</v>
      </c>
      <c r="G11" t="s">
        <v>20</v>
      </c>
      <c r="H11">
        <v>3</v>
      </c>
      <c r="I11">
        <v>1</v>
      </c>
      <c r="J11">
        <v>1079</v>
      </c>
      <c r="K11" s="5">
        <v>1.0259529999999999E-2</v>
      </c>
      <c r="L11" t="s">
        <v>27</v>
      </c>
      <c r="M11" s="4">
        <v>-307584.20699999999</v>
      </c>
      <c r="N11" s="3">
        <v>126.96939999999999</v>
      </c>
      <c r="O11" t="s">
        <v>33</v>
      </c>
      <c r="P11" t="s">
        <v>23</v>
      </c>
      <c r="Q11" t="s">
        <v>24</v>
      </c>
      <c r="R11" t="s">
        <v>25</v>
      </c>
      <c r="S11">
        <v>1</v>
      </c>
    </row>
    <row r="12" spans="1:19" x14ac:dyDescent="0.3">
      <c r="A12" s="1">
        <v>39835</v>
      </c>
      <c r="B12">
        <v>2009</v>
      </c>
      <c r="C12" t="s">
        <v>18</v>
      </c>
      <c r="D12" s="4">
        <v>53200</v>
      </c>
      <c r="E12" s="2">
        <v>289000</v>
      </c>
      <c r="F12" t="s">
        <v>19</v>
      </c>
      <c r="G12" t="s">
        <v>20</v>
      </c>
      <c r="H12">
        <v>3</v>
      </c>
      <c r="I12">
        <v>3</v>
      </c>
      <c r="J12">
        <v>999</v>
      </c>
      <c r="K12" s="5">
        <v>1.0259529999999999E-2</v>
      </c>
      <c r="L12" t="s">
        <v>27</v>
      </c>
      <c r="M12" s="4">
        <v>235800</v>
      </c>
      <c r="N12" s="3">
        <v>289.28930000000003</v>
      </c>
      <c r="O12" t="s">
        <v>22</v>
      </c>
      <c r="P12" t="s">
        <v>24</v>
      </c>
      <c r="Q12" t="s">
        <v>24</v>
      </c>
      <c r="R12" t="s">
        <v>25</v>
      </c>
      <c r="S12">
        <v>1</v>
      </c>
    </row>
    <row r="13" spans="1:19" x14ac:dyDescent="0.3">
      <c r="A13" s="1">
        <v>39836</v>
      </c>
      <c r="B13">
        <v>2009</v>
      </c>
      <c r="C13" t="s">
        <v>29</v>
      </c>
      <c r="D13" s="4">
        <v>105560</v>
      </c>
      <c r="E13" s="2">
        <v>224500</v>
      </c>
      <c r="F13" t="s">
        <v>19</v>
      </c>
      <c r="G13" t="s">
        <v>20</v>
      </c>
      <c r="H13">
        <v>3</v>
      </c>
      <c r="I13">
        <v>1</v>
      </c>
      <c r="J13">
        <v>1062</v>
      </c>
      <c r="K13" s="5">
        <v>1.0259529999999999E-2</v>
      </c>
      <c r="L13" t="s">
        <v>38</v>
      </c>
      <c r="M13" s="4">
        <v>118940</v>
      </c>
      <c r="N13" s="3">
        <v>211.39359999999999</v>
      </c>
      <c r="O13" t="s">
        <v>22</v>
      </c>
      <c r="P13" t="s">
        <v>24</v>
      </c>
      <c r="Q13" t="s">
        <v>24</v>
      </c>
      <c r="R13" t="s">
        <v>25</v>
      </c>
      <c r="S13">
        <v>1</v>
      </c>
    </row>
    <row r="14" spans="1:19" x14ac:dyDescent="0.3">
      <c r="A14" s="1">
        <v>39839</v>
      </c>
      <c r="B14">
        <v>2009</v>
      </c>
      <c r="C14" t="s">
        <v>39</v>
      </c>
      <c r="D14" s="4">
        <v>451500</v>
      </c>
      <c r="E14" s="2">
        <v>1000000</v>
      </c>
      <c r="F14" t="s">
        <v>19</v>
      </c>
      <c r="G14" t="s">
        <v>20</v>
      </c>
      <c r="H14">
        <v>3</v>
      </c>
      <c r="I14">
        <v>1</v>
      </c>
      <c r="J14">
        <v>1064</v>
      </c>
      <c r="K14" s="5">
        <v>1.0259529999999999E-2</v>
      </c>
      <c r="L14" t="s">
        <v>21</v>
      </c>
      <c r="M14" s="4">
        <v>548500</v>
      </c>
      <c r="N14" s="3">
        <v>939.84960000000001</v>
      </c>
      <c r="O14" t="s">
        <v>22</v>
      </c>
      <c r="P14" t="s">
        <v>28</v>
      </c>
      <c r="Q14" t="s">
        <v>24</v>
      </c>
      <c r="R14" t="s">
        <v>25</v>
      </c>
      <c r="S14">
        <v>1</v>
      </c>
    </row>
    <row r="15" spans="1:19" x14ac:dyDescent="0.3">
      <c r="A15" s="1">
        <v>39840</v>
      </c>
      <c r="B15">
        <v>2009</v>
      </c>
      <c r="C15" t="s">
        <v>40</v>
      </c>
      <c r="D15" s="4">
        <v>78050</v>
      </c>
      <c r="E15" s="2">
        <v>82500</v>
      </c>
      <c r="F15" t="s">
        <v>19</v>
      </c>
      <c r="G15" t="s">
        <v>20</v>
      </c>
      <c r="H15">
        <v>3</v>
      </c>
      <c r="I15">
        <v>2</v>
      </c>
      <c r="J15">
        <v>934</v>
      </c>
      <c r="K15" s="5">
        <v>1.0259529999999999E-2</v>
      </c>
      <c r="L15" t="s">
        <v>27</v>
      </c>
      <c r="M15" s="4">
        <v>4450</v>
      </c>
      <c r="N15" s="3">
        <v>88.329800000000006</v>
      </c>
      <c r="O15" t="s">
        <v>22</v>
      </c>
      <c r="P15" t="s">
        <v>23</v>
      </c>
      <c r="Q15" t="s">
        <v>24</v>
      </c>
      <c r="R15" t="s">
        <v>25</v>
      </c>
      <c r="S15">
        <v>1</v>
      </c>
    </row>
    <row r="16" spans="1:19" x14ac:dyDescent="0.3">
      <c r="A16" s="1">
        <v>39842</v>
      </c>
      <c r="B16">
        <v>2009</v>
      </c>
      <c r="C16" t="s">
        <v>40</v>
      </c>
      <c r="D16" s="4">
        <v>2501660</v>
      </c>
      <c r="E16" s="2">
        <v>4475000</v>
      </c>
      <c r="F16" t="s">
        <v>19</v>
      </c>
      <c r="G16" t="s">
        <v>20</v>
      </c>
      <c r="H16">
        <v>3</v>
      </c>
      <c r="I16">
        <v>1</v>
      </c>
      <c r="J16">
        <v>1111.6589814177564</v>
      </c>
      <c r="K16" s="5">
        <v>1.0259529999999999E-2</v>
      </c>
      <c r="L16" t="s">
        <v>32</v>
      </c>
      <c r="M16" s="4">
        <v>1973340</v>
      </c>
      <c r="N16" s="3">
        <v>4025.5151000000001</v>
      </c>
      <c r="O16" t="s">
        <v>22</v>
      </c>
      <c r="P16" t="s">
        <v>28</v>
      </c>
      <c r="Q16" t="s">
        <v>24</v>
      </c>
      <c r="R16" t="s">
        <v>25</v>
      </c>
      <c r="S16">
        <v>1</v>
      </c>
    </row>
    <row r="17" spans="1:19" x14ac:dyDescent="0.3">
      <c r="A17" s="1">
        <v>39843</v>
      </c>
      <c r="B17">
        <v>2009</v>
      </c>
      <c r="C17" t="s">
        <v>18</v>
      </c>
      <c r="D17" s="4">
        <v>59010</v>
      </c>
      <c r="E17" s="2">
        <v>129900</v>
      </c>
      <c r="F17" t="s">
        <v>19</v>
      </c>
      <c r="G17" t="s">
        <v>20</v>
      </c>
      <c r="H17">
        <v>3</v>
      </c>
      <c r="I17">
        <v>1</v>
      </c>
      <c r="J17">
        <v>1046</v>
      </c>
      <c r="K17" s="5">
        <v>1.0259529999999999E-2</v>
      </c>
      <c r="L17" t="s">
        <v>21</v>
      </c>
      <c r="M17" s="4">
        <v>70890</v>
      </c>
      <c r="N17" s="3">
        <v>124.1874</v>
      </c>
      <c r="O17" t="s">
        <v>22</v>
      </c>
      <c r="P17" t="s">
        <v>23</v>
      </c>
      <c r="Q17" t="s">
        <v>24</v>
      </c>
      <c r="R17" t="s">
        <v>25</v>
      </c>
      <c r="S17">
        <v>1</v>
      </c>
    </row>
    <row r="18" spans="1:19" x14ac:dyDescent="0.3">
      <c r="A18" s="1">
        <v>39844</v>
      </c>
      <c r="B18">
        <v>2009</v>
      </c>
      <c r="C18" t="s">
        <v>35</v>
      </c>
      <c r="D18" s="4">
        <v>6246170</v>
      </c>
      <c r="E18" s="2">
        <v>8500000</v>
      </c>
      <c r="F18" t="s">
        <v>19</v>
      </c>
      <c r="G18" t="s">
        <v>20</v>
      </c>
      <c r="H18">
        <v>3</v>
      </c>
      <c r="I18">
        <v>1</v>
      </c>
      <c r="J18">
        <v>1080</v>
      </c>
      <c r="K18" s="5">
        <v>1.0259529999999999E-2</v>
      </c>
      <c r="L18" t="s">
        <v>21</v>
      </c>
      <c r="M18" s="4">
        <v>2253830</v>
      </c>
      <c r="N18" s="3">
        <v>7870.3703999999998</v>
      </c>
      <c r="O18" t="s">
        <v>22</v>
      </c>
      <c r="P18" t="s">
        <v>28</v>
      </c>
      <c r="Q18" t="s">
        <v>24</v>
      </c>
      <c r="R18" t="s">
        <v>25</v>
      </c>
      <c r="S18">
        <v>1</v>
      </c>
    </row>
    <row r="19" spans="1:19" x14ac:dyDescent="0.3">
      <c r="A19" s="1">
        <v>39846</v>
      </c>
      <c r="B19">
        <v>2009</v>
      </c>
      <c r="C19" t="s">
        <v>40</v>
      </c>
      <c r="D19" s="4">
        <v>95410</v>
      </c>
      <c r="E19" s="2">
        <v>159000</v>
      </c>
      <c r="F19" t="s">
        <v>19</v>
      </c>
      <c r="G19" t="s">
        <v>20</v>
      </c>
      <c r="H19">
        <v>3</v>
      </c>
      <c r="I19">
        <v>1</v>
      </c>
      <c r="J19">
        <v>947</v>
      </c>
      <c r="K19" s="5">
        <v>1.0259529999999999E-2</v>
      </c>
      <c r="L19" t="s">
        <v>38</v>
      </c>
      <c r="M19" s="4">
        <v>63590</v>
      </c>
      <c r="N19" s="3">
        <v>167.89859999999999</v>
      </c>
      <c r="O19" t="s">
        <v>22</v>
      </c>
      <c r="P19" t="s">
        <v>23</v>
      </c>
      <c r="Q19" t="s">
        <v>24</v>
      </c>
      <c r="R19" t="s">
        <v>41</v>
      </c>
      <c r="S19">
        <v>2</v>
      </c>
    </row>
    <row r="20" spans="1:19" x14ac:dyDescent="0.3">
      <c r="A20" s="1">
        <v>39849</v>
      </c>
      <c r="B20">
        <v>2009</v>
      </c>
      <c r="C20" t="s">
        <v>29</v>
      </c>
      <c r="D20" s="4">
        <v>133070</v>
      </c>
      <c r="E20" s="2">
        <v>290000</v>
      </c>
      <c r="F20" t="s">
        <v>19</v>
      </c>
      <c r="G20" t="s">
        <v>20</v>
      </c>
      <c r="H20">
        <v>3</v>
      </c>
      <c r="I20">
        <v>3</v>
      </c>
      <c r="J20">
        <v>1023</v>
      </c>
      <c r="K20" s="5">
        <v>1.0259529999999999E-2</v>
      </c>
      <c r="L20" t="s">
        <v>38</v>
      </c>
      <c r="M20" s="4">
        <v>156930</v>
      </c>
      <c r="N20" s="3">
        <v>283.48</v>
      </c>
      <c r="O20" t="s">
        <v>22</v>
      </c>
      <c r="P20" t="s">
        <v>24</v>
      </c>
      <c r="Q20" t="s">
        <v>24</v>
      </c>
      <c r="R20" t="s">
        <v>41</v>
      </c>
      <c r="S20">
        <v>2</v>
      </c>
    </row>
    <row r="21" spans="1:19" x14ac:dyDescent="0.3">
      <c r="A21" s="1">
        <v>39852</v>
      </c>
      <c r="B21">
        <v>2009</v>
      </c>
      <c r="C21" t="s">
        <v>29</v>
      </c>
      <c r="D21" s="4">
        <v>174231</v>
      </c>
      <c r="E21" s="2">
        <v>363000</v>
      </c>
      <c r="F21" t="s">
        <v>42</v>
      </c>
      <c r="G21" t="s">
        <v>43</v>
      </c>
      <c r="H21">
        <v>8</v>
      </c>
      <c r="I21">
        <v>6</v>
      </c>
      <c r="J21">
        <v>2935</v>
      </c>
      <c r="K21" s="5">
        <v>1.0259529999999999E-2</v>
      </c>
      <c r="L21" t="s">
        <v>21</v>
      </c>
      <c r="M21" s="4">
        <v>188769</v>
      </c>
      <c r="N21" s="3">
        <v>123.6797</v>
      </c>
      <c r="O21" t="s">
        <v>22</v>
      </c>
      <c r="P21" t="s">
        <v>24</v>
      </c>
      <c r="Q21" t="s">
        <v>34</v>
      </c>
      <c r="R21" t="s">
        <v>41</v>
      </c>
      <c r="S21">
        <v>2</v>
      </c>
    </row>
    <row r="22" spans="1:19" x14ac:dyDescent="0.3">
      <c r="A22" s="1">
        <v>39853</v>
      </c>
      <c r="B22">
        <v>2009</v>
      </c>
      <c r="C22" t="s">
        <v>40</v>
      </c>
      <c r="D22" s="4">
        <v>162890</v>
      </c>
      <c r="E22" s="2">
        <v>288000</v>
      </c>
      <c r="F22" t="s">
        <v>19</v>
      </c>
      <c r="G22" t="s">
        <v>20</v>
      </c>
      <c r="H22">
        <v>3</v>
      </c>
      <c r="I22">
        <v>3</v>
      </c>
      <c r="J22">
        <v>1111.6589814177564</v>
      </c>
      <c r="K22" s="5">
        <v>1.0259529999999999E-2</v>
      </c>
      <c r="L22" t="s">
        <v>38</v>
      </c>
      <c r="M22" s="4">
        <v>125110</v>
      </c>
      <c r="N22" s="3">
        <v>259.07229999999998</v>
      </c>
      <c r="O22" t="s">
        <v>22</v>
      </c>
      <c r="P22" t="s">
        <v>24</v>
      </c>
      <c r="Q22" t="s">
        <v>24</v>
      </c>
      <c r="R22" t="s">
        <v>41</v>
      </c>
      <c r="S22">
        <v>2</v>
      </c>
    </row>
    <row r="23" spans="1:19" x14ac:dyDescent="0.3">
      <c r="A23" s="1">
        <v>39856</v>
      </c>
      <c r="B23">
        <v>2009</v>
      </c>
      <c r="C23" t="s">
        <v>35</v>
      </c>
      <c r="D23" s="4">
        <v>2828910</v>
      </c>
      <c r="E23" s="2">
        <v>4450000</v>
      </c>
      <c r="F23" t="s">
        <v>19</v>
      </c>
      <c r="G23" t="s">
        <v>20</v>
      </c>
      <c r="H23">
        <v>3</v>
      </c>
      <c r="I23">
        <v>2</v>
      </c>
      <c r="J23">
        <v>920</v>
      </c>
      <c r="K23" s="5">
        <v>1.0259529999999999E-2</v>
      </c>
      <c r="L23" t="s">
        <v>38</v>
      </c>
      <c r="M23" s="4">
        <v>1621090</v>
      </c>
      <c r="N23" s="3">
        <v>4836.9565000000002</v>
      </c>
      <c r="O23" t="s">
        <v>22</v>
      </c>
      <c r="P23" t="s">
        <v>28</v>
      </c>
      <c r="Q23" t="s">
        <v>24</v>
      </c>
      <c r="R23" t="s">
        <v>41</v>
      </c>
      <c r="S23">
        <v>2</v>
      </c>
    </row>
    <row r="24" spans="1:19" x14ac:dyDescent="0.3">
      <c r="A24" s="1">
        <v>39859</v>
      </c>
      <c r="B24">
        <v>2009</v>
      </c>
      <c r="C24" t="s">
        <v>29</v>
      </c>
      <c r="D24" s="4">
        <v>73220</v>
      </c>
      <c r="E24" s="2">
        <v>299900</v>
      </c>
      <c r="F24" t="s">
        <v>36</v>
      </c>
      <c r="G24" t="s">
        <v>37</v>
      </c>
      <c r="H24">
        <v>6</v>
      </c>
      <c r="I24">
        <v>4</v>
      </c>
      <c r="J24">
        <v>2142</v>
      </c>
      <c r="K24" s="5">
        <v>1.0259529999999999E-2</v>
      </c>
      <c r="L24" t="s">
        <v>32</v>
      </c>
      <c r="M24" s="4">
        <v>226680</v>
      </c>
      <c r="N24" s="3">
        <v>140.0093</v>
      </c>
      <c r="O24" t="s">
        <v>22</v>
      </c>
      <c r="P24" t="s">
        <v>24</v>
      </c>
      <c r="Q24" t="s">
        <v>34</v>
      </c>
      <c r="R24" t="s">
        <v>41</v>
      </c>
      <c r="S24">
        <v>2</v>
      </c>
    </row>
    <row r="25" spans="1:19" x14ac:dyDescent="0.3">
      <c r="A25" s="1">
        <v>39864</v>
      </c>
      <c r="B25">
        <v>2009</v>
      </c>
      <c r="C25" t="s">
        <v>29</v>
      </c>
      <c r="D25" s="4">
        <v>61228</v>
      </c>
      <c r="E25" s="2">
        <v>7000</v>
      </c>
      <c r="F25" t="s">
        <v>19</v>
      </c>
      <c r="G25" t="s">
        <v>20</v>
      </c>
      <c r="H25">
        <v>3</v>
      </c>
      <c r="I25">
        <v>1</v>
      </c>
      <c r="J25">
        <v>1058</v>
      </c>
      <c r="K25" s="5">
        <v>1.0259529999999999E-2</v>
      </c>
      <c r="L25" t="s">
        <v>38</v>
      </c>
      <c r="M25" s="4">
        <v>-54228</v>
      </c>
      <c r="N25" s="3">
        <v>6.6162999999999998</v>
      </c>
      <c r="O25" t="s">
        <v>33</v>
      </c>
      <c r="P25" t="s">
        <v>23</v>
      </c>
      <c r="Q25" t="s">
        <v>24</v>
      </c>
      <c r="R25" t="s">
        <v>41</v>
      </c>
      <c r="S25">
        <v>2</v>
      </c>
    </row>
    <row r="26" spans="1:19" x14ac:dyDescent="0.3">
      <c r="A26" s="1">
        <v>39865</v>
      </c>
      <c r="B26">
        <v>2009</v>
      </c>
      <c r="C26" t="s">
        <v>35</v>
      </c>
      <c r="D26" s="4">
        <v>653450</v>
      </c>
      <c r="E26" s="2">
        <v>1250000</v>
      </c>
      <c r="F26" t="s">
        <v>19</v>
      </c>
      <c r="G26" t="s">
        <v>20</v>
      </c>
      <c r="H26">
        <v>3</v>
      </c>
      <c r="I26">
        <v>2</v>
      </c>
      <c r="J26">
        <v>932</v>
      </c>
      <c r="K26" s="5">
        <v>1.0259529999999999E-2</v>
      </c>
      <c r="L26" t="s">
        <v>21</v>
      </c>
      <c r="M26" s="4">
        <v>596550</v>
      </c>
      <c r="N26" s="3">
        <v>1341.2017000000001</v>
      </c>
      <c r="O26" t="s">
        <v>22</v>
      </c>
      <c r="P26" t="s">
        <v>28</v>
      </c>
      <c r="Q26" t="s">
        <v>24</v>
      </c>
      <c r="R26" t="s">
        <v>41</v>
      </c>
      <c r="S26">
        <v>2</v>
      </c>
    </row>
    <row r="27" spans="1:19" x14ac:dyDescent="0.3">
      <c r="A27" s="1">
        <v>39870</v>
      </c>
      <c r="B27">
        <v>2009</v>
      </c>
      <c r="C27" t="s">
        <v>39</v>
      </c>
      <c r="D27" s="4">
        <v>221060</v>
      </c>
      <c r="E27" s="2">
        <v>300000</v>
      </c>
      <c r="F27" t="s">
        <v>19</v>
      </c>
      <c r="G27" t="s">
        <v>20</v>
      </c>
      <c r="H27">
        <v>3</v>
      </c>
      <c r="I27">
        <v>3</v>
      </c>
      <c r="J27">
        <v>1009</v>
      </c>
      <c r="K27" s="5">
        <v>1.0259529999999999E-2</v>
      </c>
      <c r="L27" t="s">
        <v>27</v>
      </c>
      <c r="M27" s="4">
        <v>78940</v>
      </c>
      <c r="N27" s="3">
        <v>297.32409999999999</v>
      </c>
      <c r="O27" t="s">
        <v>22</v>
      </c>
      <c r="P27" t="s">
        <v>24</v>
      </c>
      <c r="Q27" t="s">
        <v>24</v>
      </c>
      <c r="R27" t="s">
        <v>41</v>
      </c>
      <c r="S27">
        <v>2</v>
      </c>
    </row>
    <row r="28" spans="1:19" x14ac:dyDescent="0.3">
      <c r="A28" s="1">
        <v>39871</v>
      </c>
      <c r="B28">
        <v>2009</v>
      </c>
      <c r="C28" t="s">
        <v>18</v>
      </c>
      <c r="D28" s="4">
        <v>59010</v>
      </c>
      <c r="E28" s="2">
        <v>230000</v>
      </c>
      <c r="F28" t="s">
        <v>36</v>
      </c>
      <c r="G28" t="s">
        <v>37</v>
      </c>
      <c r="H28">
        <v>6</v>
      </c>
      <c r="I28">
        <v>5</v>
      </c>
      <c r="J28">
        <v>2041</v>
      </c>
      <c r="K28" s="5">
        <v>1.0259529999999999E-2</v>
      </c>
      <c r="L28" t="s">
        <v>27</v>
      </c>
      <c r="M28" s="4">
        <v>170990</v>
      </c>
      <c r="N28" s="3">
        <v>112.68989999999999</v>
      </c>
      <c r="O28" t="s">
        <v>22</v>
      </c>
      <c r="P28" t="s">
        <v>24</v>
      </c>
      <c r="Q28" t="s">
        <v>34</v>
      </c>
      <c r="R28" t="s">
        <v>41</v>
      </c>
      <c r="S28">
        <v>2</v>
      </c>
    </row>
    <row r="29" spans="1:19" x14ac:dyDescent="0.3">
      <c r="A29" s="1">
        <v>39872</v>
      </c>
      <c r="B29">
        <v>2009</v>
      </c>
      <c r="C29" t="s">
        <v>35</v>
      </c>
      <c r="D29" s="4">
        <v>608720</v>
      </c>
      <c r="E29" s="2">
        <v>826000</v>
      </c>
      <c r="F29" t="s">
        <v>30</v>
      </c>
      <c r="G29" t="s">
        <v>31</v>
      </c>
      <c r="H29">
        <v>4</v>
      </c>
      <c r="I29">
        <v>4</v>
      </c>
      <c r="J29">
        <v>1365</v>
      </c>
      <c r="K29" s="5">
        <v>1.0259529999999999E-2</v>
      </c>
      <c r="L29" t="s">
        <v>21</v>
      </c>
      <c r="M29" s="4">
        <v>217280</v>
      </c>
      <c r="N29" s="3">
        <v>605.12819999999999</v>
      </c>
      <c r="O29" t="s">
        <v>22</v>
      </c>
      <c r="P29" t="s">
        <v>28</v>
      </c>
      <c r="Q29" t="s">
        <v>34</v>
      </c>
      <c r="R29" t="s">
        <v>41</v>
      </c>
      <c r="S29">
        <v>2</v>
      </c>
    </row>
    <row r="30" spans="1:19" x14ac:dyDescent="0.3">
      <c r="A30" s="1">
        <v>39873</v>
      </c>
      <c r="B30">
        <v>2009</v>
      </c>
      <c r="C30" t="s">
        <v>35</v>
      </c>
      <c r="D30" s="4">
        <v>1400910</v>
      </c>
      <c r="E30" s="2">
        <v>1900000</v>
      </c>
      <c r="F30" t="s">
        <v>19</v>
      </c>
      <c r="G30" t="s">
        <v>20</v>
      </c>
      <c r="H30">
        <v>3</v>
      </c>
      <c r="I30">
        <v>2</v>
      </c>
      <c r="J30">
        <v>960</v>
      </c>
      <c r="K30" s="5">
        <v>1.0259529999999999E-2</v>
      </c>
      <c r="L30" t="s">
        <v>32</v>
      </c>
      <c r="M30" s="4">
        <v>499090</v>
      </c>
      <c r="N30" s="3">
        <v>1979.1667</v>
      </c>
      <c r="O30" t="s">
        <v>22</v>
      </c>
      <c r="P30" t="s">
        <v>28</v>
      </c>
      <c r="Q30" t="s">
        <v>24</v>
      </c>
      <c r="R30" t="s">
        <v>44</v>
      </c>
      <c r="S30">
        <v>3</v>
      </c>
    </row>
    <row r="31" spans="1:19" x14ac:dyDescent="0.3">
      <c r="A31" s="1">
        <v>39874</v>
      </c>
      <c r="B31">
        <v>2009</v>
      </c>
      <c r="C31" t="s">
        <v>40</v>
      </c>
      <c r="D31" s="4">
        <v>139300</v>
      </c>
      <c r="E31" s="2">
        <v>285000</v>
      </c>
      <c r="F31" t="s">
        <v>19</v>
      </c>
      <c r="G31" t="s">
        <v>20</v>
      </c>
      <c r="H31">
        <v>3</v>
      </c>
      <c r="I31">
        <v>3</v>
      </c>
      <c r="J31">
        <v>929</v>
      </c>
      <c r="K31" s="5">
        <v>1.0259529999999999E-2</v>
      </c>
      <c r="L31" t="s">
        <v>21</v>
      </c>
      <c r="M31" s="4">
        <v>145700</v>
      </c>
      <c r="N31" s="3">
        <v>306.78149999999999</v>
      </c>
      <c r="O31" t="s">
        <v>22</v>
      </c>
      <c r="P31" t="s">
        <v>24</v>
      </c>
      <c r="Q31" t="s">
        <v>24</v>
      </c>
      <c r="R31" t="s">
        <v>44</v>
      </c>
      <c r="S31">
        <v>3</v>
      </c>
    </row>
    <row r="32" spans="1:19" x14ac:dyDescent="0.3">
      <c r="A32" s="1">
        <v>39877</v>
      </c>
      <c r="B32">
        <v>2009</v>
      </c>
      <c r="C32" t="s">
        <v>29</v>
      </c>
      <c r="D32" s="4">
        <v>96600</v>
      </c>
      <c r="E32" s="2">
        <v>183000</v>
      </c>
      <c r="F32" t="s">
        <v>30</v>
      </c>
      <c r="G32" t="s">
        <v>31</v>
      </c>
      <c r="H32">
        <v>4</v>
      </c>
      <c r="I32">
        <v>3</v>
      </c>
      <c r="J32">
        <v>1426</v>
      </c>
      <c r="K32" s="5">
        <v>1.0259529999999999E-2</v>
      </c>
      <c r="L32" t="s">
        <v>38</v>
      </c>
      <c r="M32" s="4">
        <v>86400</v>
      </c>
      <c r="N32" s="3">
        <v>128.33099999999999</v>
      </c>
      <c r="O32" t="s">
        <v>22</v>
      </c>
      <c r="P32" t="s">
        <v>23</v>
      </c>
      <c r="Q32" t="s">
        <v>34</v>
      </c>
      <c r="R32" t="s">
        <v>44</v>
      </c>
      <c r="S32">
        <v>3</v>
      </c>
    </row>
    <row r="33" spans="1:19" x14ac:dyDescent="0.3">
      <c r="A33" s="1">
        <v>39878</v>
      </c>
      <c r="B33">
        <v>2009</v>
      </c>
      <c r="C33" t="s">
        <v>26</v>
      </c>
      <c r="D33" s="4">
        <v>444584.20699999999</v>
      </c>
      <c r="E33" s="2">
        <v>448000</v>
      </c>
      <c r="F33" t="s">
        <v>30</v>
      </c>
      <c r="G33" t="s">
        <v>31</v>
      </c>
      <c r="H33">
        <v>4</v>
      </c>
      <c r="I33">
        <v>4</v>
      </c>
      <c r="J33">
        <v>1261</v>
      </c>
      <c r="K33" s="5">
        <v>1.0259529999999999E-2</v>
      </c>
      <c r="L33" t="s">
        <v>27</v>
      </c>
      <c r="M33" s="4">
        <v>3415.7930000000001</v>
      </c>
      <c r="N33" s="3">
        <v>355.27359999999999</v>
      </c>
      <c r="O33" t="s">
        <v>22</v>
      </c>
      <c r="P33" t="s">
        <v>24</v>
      </c>
      <c r="Q33" t="s">
        <v>24</v>
      </c>
      <c r="R33" t="s">
        <v>44</v>
      </c>
      <c r="S33">
        <v>3</v>
      </c>
    </row>
    <row r="34" spans="1:19" x14ac:dyDescent="0.3">
      <c r="A34" s="1">
        <v>39879</v>
      </c>
      <c r="B34">
        <v>2009</v>
      </c>
      <c r="C34" t="s">
        <v>26</v>
      </c>
      <c r="D34" s="4">
        <v>444584.20699999999</v>
      </c>
      <c r="E34" s="2">
        <v>370000</v>
      </c>
      <c r="F34" t="s">
        <v>30</v>
      </c>
      <c r="G34" t="s">
        <v>31</v>
      </c>
      <c r="H34">
        <v>4</v>
      </c>
      <c r="I34">
        <v>2</v>
      </c>
      <c r="J34">
        <v>1490</v>
      </c>
      <c r="K34" s="5">
        <v>1.0259529999999999E-2</v>
      </c>
      <c r="L34" t="s">
        <v>32</v>
      </c>
      <c r="M34" s="4">
        <v>-74584.206999999995</v>
      </c>
      <c r="N34" s="3">
        <v>248.32210000000001</v>
      </c>
      <c r="O34" t="s">
        <v>33</v>
      </c>
      <c r="P34" t="s">
        <v>24</v>
      </c>
      <c r="Q34" t="s">
        <v>34</v>
      </c>
      <c r="R34" t="s">
        <v>44</v>
      </c>
      <c r="S34">
        <v>3</v>
      </c>
    </row>
    <row r="35" spans="1:19" x14ac:dyDescent="0.3">
      <c r="A35" s="1">
        <v>39880</v>
      </c>
      <c r="B35">
        <v>2009</v>
      </c>
      <c r="C35" t="s">
        <v>18</v>
      </c>
      <c r="D35" s="4">
        <v>85820</v>
      </c>
      <c r="E35" s="2">
        <v>229000</v>
      </c>
      <c r="F35" t="s">
        <v>36</v>
      </c>
      <c r="G35" t="s">
        <v>37</v>
      </c>
      <c r="H35">
        <v>6</v>
      </c>
      <c r="I35">
        <v>6</v>
      </c>
      <c r="J35">
        <v>1111.6589814177564</v>
      </c>
      <c r="K35" s="5">
        <v>1.0259529999999999E-2</v>
      </c>
      <c r="L35" t="s">
        <v>32</v>
      </c>
      <c r="M35" s="4">
        <v>143180</v>
      </c>
      <c r="N35" s="3">
        <v>205.9984</v>
      </c>
      <c r="O35" t="s">
        <v>22</v>
      </c>
      <c r="P35" t="s">
        <v>24</v>
      </c>
      <c r="Q35" t="s">
        <v>24</v>
      </c>
      <c r="R35" t="s">
        <v>44</v>
      </c>
      <c r="S35">
        <v>3</v>
      </c>
    </row>
    <row r="36" spans="1:19" x14ac:dyDescent="0.3">
      <c r="A36" s="1">
        <v>39884</v>
      </c>
      <c r="B36">
        <v>2009</v>
      </c>
      <c r="C36" t="s">
        <v>18</v>
      </c>
      <c r="D36" s="4">
        <v>15050</v>
      </c>
      <c r="E36" s="2">
        <v>102000</v>
      </c>
      <c r="F36" t="s">
        <v>19</v>
      </c>
      <c r="G36" t="s">
        <v>20</v>
      </c>
      <c r="H36">
        <v>3</v>
      </c>
      <c r="I36">
        <v>2</v>
      </c>
      <c r="J36">
        <v>1111.6589814177564</v>
      </c>
      <c r="K36" s="5">
        <v>1.0259529999999999E-2</v>
      </c>
      <c r="L36" t="s">
        <v>32</v>
      </c>
      <c r="M36" s="4">
        <v>86950</v>
      </c>
      <c r="N36" s="3">
        <v>91.754800000000003</v>
      </c>
      <c r="O36" t="s">
        <v>22</v>
      </c>
      <c r="P36" t="s">
        <v>23</v>
      </c>
      <c r="Q36" t="s">
        <v>24</v>
      </c>
      <c r="R36" t="s">
        <v>44</v>
      </c>
      <c r="S36">
        <v>3</v>
      </c>
    </row>
    <row r="37" spans="1:19" x14ac:dyDescent="0.3">
      <c r="A37" s="1">
        <v>39885</v>
      </c>
      <c r="B37">
        <v>2009</v>
      </c>
      <c r="C37" t="s">
        <v>40</v>
      </c>
      <c r="D37" s="4">
        <v>113750</v>
      </c>
      <c r="E37" s="2">
        <v>195000</v>
      </c>
      <c r="F37" t="s">
        <v>36</v>
      </c>
      <c r="G37" t="s">
        <v>37</v>
      </c>
      <c r="H37">
        <v>6</v>
      </c>
      <c r="I37">
        <v>6</v>
      </c>
      <c r="J37">
        <v>2004</v>
      </c>
      <c r="K37" s="5">
        <v>1.0259529999999999E-2</v>
      </c>
      <c r="L37" t="s">
        <v>32</v>
      </c>
      <c r="M37" s="4">
        <v>81250</v>
      </c>
      <c r="N37" s="3">
        <v>97.305400000000006</v>
      </c>
      <c r="O37" t="s">
        <v>22</v>
      </c>
      <c r="P37" t="s">
        <v>23</v>
      </c>
      <c r="Q37" t="s">
        <v>34</v>
      </c>
      <c r="R37" t="s">
        <v>44</v>
      </c>
      <c r="S37">
        <v>3</v>
      </c>
    </row>
    <row r="38" spans="1:19" x14ac:dyDescent="0.3">
      <c r="A38" s="1">
        <v>39886</v>
      </c>
      <c r="B38">
        <v>2009</v>
      </c>
      <c r="C38" t="s">
        <v>26</v>
      </c>
      <c r="D38" s="4">
        <v>444584.20699999999</v>
      </c>
      <c r="E38" s="2">
        <v>589900</v>
      </c>
      <c r="F38" t="s">
        <v>19</v>
      </c>
      <c r="G38" t="s">
        <v>20</v>
      </c>
      <c r="H38">
        <v>3</v>
      </c>
      <c r="I38">
        <v>3</v>
      </c>
      <c r="J38">
        <v>1017</v>
      </c>
      <c r="K38" s="5">
        <v>1.0259529999999999E-2</v>
      </c>
      <c r="L38" t="s">
        <v>27</v>
      </c>
      <c r="M38" s="4">
        <v>145315.79300000001</v>
      </c>
      <c r="N38" s="3">
        <v>580.03930000000003</v>
      </c>
      <c r="O38" t="s">
        <v>22</v>
      </c>
      <c r="P38" t="s">
        <v>24</v>
      </c>
      <c r="Q38" t="s">
        <v>24</v>
      </c>
      <c r="R38" t="s">
        <v>44</v>
      </c>
      <c r="S38">
        <v>3</v>
      </c>
    </row>
    <row r="39" spans="1:19" x14ac:dyDescent="0.3">
      <c r="A39" s="1">
        <v>39887</v>
      </c>
      <c r="B39">
        <v>2009</v>
      </c>
      <c r="C39" t="s">
        <v>35</v>
      </c>
      <c r="D39" s="4">
        <v>1214570</v>
      </c>
      <c r="E39" s="2">
        <v>2200000</v>
      </c>
      <c r="F39" t="s">
        <v>19</v>
      </c>
      <c r="G39" t="s">
        <v>20</v>
      </c>
      <c r="H39">
        <v>3</v>
      </c>
      <c r="I39">
        <v>1</v>
      </c>
      <c r="J39">
        <v>908</v>
      </c>
      <c r="K39" s="5">
        <v>1.0259529999999999E-2</v>
      </c>
      <c r="L39" t="s">
        <v>38</v>
      </c>
      <c r="M39" s="4">
        <v>985430</v>
      </c>
      <c r="N39" s="3">
        <v>2422.9074999999998</v>
      </c>
      <c r="O39" t="s">
        <v>22</v>
      </c>
      <c r="P39" t="s">
        <v>28</v>
      </c>
      <c r="Q39" t="s">
        <v>24</v>
      </c>
      <c r="R39" t="s">
        <v>44</v>
      </c>
      <c r="S39">
        <v>3</v>
      </c>
    </row>
    <row r="40" spans="1:19" x14ac:dyDescent="0.3">
      <c r="A40" s="1">
        <v>39888</v>
      </c>
      <c r="B40">
        <v>2009</v>
      </c>
      <c r="C40" t="s">
        <v>18</v>
      </c>
      <c r="D40" s="4">
        <v>444584.20699999999</v>
      </c>
      <c r="E40" s="2">
        <v>149000</v>
      </c>
      <c r="F40" t="s">
        <v>19</v>
      </c>
      <c r="G40" t="s">
        <v>20</v>
      </c>
      <c r="H40">
        <v>3</v>
      </c>
      <c r="I40">
        <v>3</v>
      </c>
      <c r="J40">
        <v>1098</v>
      </c>
      <c r="K40" s="5">
        <v>1.0259529999999999E-2</v>
      </c>
      <c r="L40" t="s">
        <v>38</v>
      </c>
      <c r="M40" s="4">
        <v>-295584.20699999999</v>
      </c>
      <c r="N40" s="3">
        <v>135.7013</v>
      </c>
      <c r="O40" t="s">
        <v>33</v>
      </c>
      <c r="P40" t="s">
        <v>23</v>
      </c>
      <c r="Q40" t="s">
        <v>24</v>
      </c>
      <c r="R40" t="s">
        <v>44</v>
      </c>
      <c r="S40">
        <v>3</v>
      </c>
    </row>
    <row r="41" spans="1:19" x14ac:dyDescent="0.3">
      <c r="A41" s="1">
        <v>39891</v>
      </c>
      <c r="B41">
        <v>2009</v>
      </c>
      <c r="C41" t="s">
        <v>26</v>
      </c>
      <c r="D41" s="4">
        <v>197400</v>
      </c>
      <c r="E41" s="2">
        <v>340000</v>
      </c>
      <c r="F41" t="s">
        <v>19</v>
      </c>
      <c r="G41" t="s">
        <v>20</v>
      </c>
      <c r="H41">
        <v>3</v>
      </c>
      <c r="I41">
        <v>2</v>
      </c>
      <c r="J41">
        <v>1025</v>
      </c>
      <c r="K41" s="5">
        <v>1.0259529999999999E-2</v>
      </c>
      <c r="L41" t="s">
        <v>38</v>
      </c>
      <c r="M41" s="4">
        <v>142600</v>
      </c>
      <c r="N41" s="3">
        <v>331.70729999999998</v>
      </c>
      <c r="O41" t="s">
        <v>22</v>
      </c>
      <c r="P41" t="s">
        <v>24</v>
      </c>
      <c r="Q41" t="s">
        <v>24</v>
      </c>
      <c r="R41" t="s">
        <v>44</v>
      </c>
      <c r="S41">
        <v>3</v>
      </c>
    </row>
    <row r="42" spans="1:19" x14ac:dyDescent="0.3">
      <c r="A42" s="1">
        <v>39892</v>
      </c>
      <c r="B42">
        <v>2009</v>
      </c>
      <c r="C42" t="s">
        <v>29</v>
      </c>
      <c r="D42" s="4">
        <v>444584.20699999999</v>
      </c>
      <c r="E42" s="2">
        <v>67500</v>
      </c>
      <c r="F42" t="s">
        <v>30</v>
      </c>
      <c r="G42" t="s">
        <v>31</v>
      </c>
      <c r="H42">
        <v>4</v>
      </c>
      <c r="I42">
        <v>3</v>
      </c>
      <c r="J42">
        <v>1436</v>
      </c>
      <c r="K42" s="5">
        <v>1.0259529999999999E-2</v>
      </c>
      <c r="L42" t="s">
        <v>27</v>
      </c>
      <c r="M42" s="4">
        <v>-377084.20699999999</v>
      </c>
      <c r="N42" s="3">
        <v>47.005600000000001</v>
      </c>
      <c r="O42" t="s">
        <v>33</v>
      </c>
      <c r="P42" t="s">
        <v>23</v>
      </c>
      <c r="Q42" t="s">
        <v>34</v>
      </c>
      <c r="R42" t="s">
        <v>44</v>
      </c>
      <c r="S42">
        <v>3</v>
      </c>
    </row>
    <row r="43" spans="1:19" x14ac:dyDescent="0.3">
      <c r="A43" s="1">
        <v>39893</v>
      </c>
      <c r="B43">
        <v>2009</v>
      </c>
      <c r="C43" t="s">
        <v>39</v>
      </c>
      <c r="D43" s="4">
        <v>444584.20699999999</v>
      </c>
      <c r="E43" s="2">
        <v>345000</v>
      </c>
      <c r="F43" t="s">
        <v>19</v>
      </c>
      <c r="G43" t="s">
        <v>20</v>
      </c>
      <c r="H43">
        <v>3</v>
      </c>
      <c r="I43">
        <v>2</v>
      </c>
      <c r="J43">
        <v>955</v>
      </c>
      <c r="K43" s="5">
        <v>1.0259529999999999E-2</v>
      </c>
      <c r="L43" t="s">
        <v>32</v>
      </c>
      <c r="M43" s="4">
        <v>-99584.206999999995</v>
      </c>
      <c r="N43" s="3">
        <v>361.25650000000002</v>
      </c>
      <c r="O43" t="s">
        <v>33</v>
      </c>
      <c r="P43" t="s">
        <v>24</v>
      </c>
      <c r="Q43" t="s">
        <v>24</v>
      </c>
      <c r="R43" t="s">
        <v>44</v>
      </c>
      <c r="S43">
        <v>3</v>
      </c>
    </row>
    <row r="44" spans="1:19" x14ac:dyDescent="0.3">
      <c r="A44" s="1">
        <v>39894</v>
      </c>
      <c r="B44">
        <v>2009</v>
      </c>
      <c r="C44" t="s">
        <v>26</v>
      </c>
      <c r="D44" s="4">
        <v>219100</v>
      </c>
      <c r="E44" s="2">
        <v>427000</v>
      </c>
      <c r="F44" t="s">
        <v>19</v>
      </c>
      <c r="G44" t="s">
        <v>20</v>
      </c>
      <c r="H44">
        <v>3</v>
      </c>
      <c r="I44">
        <v>3</v>
      </c>
      <c r="J44">
        <v>1021</v>
      </c>
      <c r="K44" s="5">
        <v>1.0259529999999999E-2</v>
      </c>
      <c r="L44" t="s">
        <v>32</v>
      </c>
      <c r="M44" s="4">
        <v>207900</v>
      </c>
      <c r="N44" s="3">
        <v>418.2174</v>
      </c>
      <c r="O44" t="s">
        <v>22</v>
      </c>
      <c r="P44" t="s">
        <v>24</v>
      </c>
      <c r="Q44" t="s">
        <v>24</v>
      </c>
      <c r="R44" t="s">
        <v>44</v>
      </c>
      <c r="S44">
        <v>3</v>
      </c>
    </row>
    <row r="45" spans="1:19" x14ac:dyDescent="0.3">
      <c r="A45" s="1">
        <v>39895</v>
      </c>
      <c r="B45">
        <v>2009</v>
      </c>
      <c r="C45" t="s">
        <v>26</v>
      </c>
      <c r="D45" s="4">
        <v>382900</v>
      </c>
      <c r="E45" s="2">
        <v>777500</v>
      </c>
      <c r="F45" t="s">
        <v>19</v>
      </c>
      <c r="G45" t="s">
        <v>20</v>
      </c>
      <c r="H45">
        <v>3</v>
      </c>
      <c r="I45">
        <v>2</v>
      </c>
      <c r="J45">
        <v>900</v>
      </c>
      <c r="K45" s="5">
        <v>1.0259529999999999E-2</v>
      </c>
      <c r="L45" t="s">
        <v>38</v>
      </c>
      <c r="M45" s="4">
        <v>394600</v>
      </c>
      <c r="N45" s="3">
        <v>863.88890000000004</v>
      </c>
      <c r="O45" t="s">
        <v>22</v>
      </c>
      <c r="P45" t="s">
        <v>28</v>
      </c>
      <c r="Q45" t="s">
        <v>24</v>
      </c>
      <c r="R45" t="s">
        <v>44</v>
      </c>
      <c r="S45">
        <v>3</v>
      </c>
    </row>
    <row r="46" spans="1:19" x14ac:dyDescent="0.3">
      <c r="A46" s="1">
        <v>39901</v>
      </c>
      <c r="B46">
        <v>2009</v>
      </c>
      <c r="C46" t="s">
        <v>29</v>
      </c>
      <c r="D46" s="4">
        <v>72380</v>
      </c>
      <c r="E46" s="2">
        <v>249900</v>
      </c>
      <c r="F46" t="s">
        <v>30</v>
      </c>
      <c r="G46" t="s">
        <v>31</v>
      </c>
      <c r="H46">
        <v>4</v>
      </c>
      <c r="I46">
        <v>4</v>
      </c>
      <c r="J46">
        <v>1347</v>
      </c>
      <c r="K46" s="5">
        <v>1.0259529999999999E-2</v>
      </c>
      <c r="L46" t="s">
        <v>21</v>
      </c>
      <c r="M46" s="4">
        <v>177520</v>
      </c>
      <c r="N46" s="3">
        <v>185.52340000000001</v>
      </c>
      <c r="O46" t="s">
        <v>22</v>
      </c>
      <c r="P46" t="s">
        <v>24</v>
      </c>
      <c r="Q46" t="s">
        <v>34</v>
      </c>
      <c r="R46" t="s">
        <v>44</v>
      </c>
      <c r="S46">
        <v>3</v>
      </c>
    </row>
    <row r="47" spans="1:19" x14ac:dyDescent="0.3">
      <c r="A47" s="1">
        <v>39902</v>
      </c>
      <c r="B47">
        <v>2009</v>
      </c>
      <c r="C47" t="s">
        <v>26</v>
      </c>
      <c r="D47" s="4">
        <v>262500</v>
      </c>
      <c r="E47" s="2">
        <v>412000</v>
      </c>
      <c r="F47" t="s">
        <v>19</v>
      </c>
      <c r="G47" t="s">
        <v>20</v>
      </c>
      <c r="H47">
        <v>3</v>
      </c>
      <c r="I47">
        <v>3</v>
      </c>
      <c r="J47">
        <v>1064</v>
      </c>
      <c r="K47" s="5">
        <v>1.0259529999999999E-2</v>
      </c>
      <c r="L47" t="s">
        <v>21</v>
      </c>
      <c r="M47" s="4">
        <v>149500</v>
      </c>
      <c r="N47" s="3">
        <v>387.21800000000002</v>
      </c>
      <c r="O47" t="s">
        <v>22</v>
      </c>
      <c r="P47" t="s">
        <v>24</v>
      </c>
      <c r="Q47" t="s">
        <v>24</v>
      </c>
      <c r="R47" t="s">
        <v>44</v>
      </c>
      <c r="S47">
        <v>3</v>
      </c>
    </row>
    <row r="48" spans="1:19" x14ac:dyDescent="0.3">
      <c r="A48" s="1">
        <v>39905</v>
      </c>
      <c r="B48">
        <v>2009</v>
      </c>
      <c r="C48" t="s">
        <v>39</v>
      </c>
      <c r="D48" s="4">
        <v>303170</v>
      </c>
      <c r="E48" s="2">
        <v>490000</v>
      </c>
      <c r="F48" t="s">
        <v>19</v>
      </c>
      <c r="G48" t="s">
        <v>20</v>
      </c>
      <c r="H48">
        <v>3</v>
      </c>
      <c r="I48">
        <v>1</v>
      </c>
      <c r="J48">
        <v>1111.6589814177564</v>
      </c>
      <c r="K48" s="5">
        <v>1.0259529999999999E-2</v>
      </c>
      <c r="L48" t="s">
        <v>32</v>
      </c>
      <c r="M48" s="4">
        <v>186830</v>
      </c>
      <c r="N48" s="3">
        <v>440.78269999999998</v>
      </c>
      <c r="O48" t="s">
        <v>22</v>
      </c>
      <c r="P48" t="s">
        <v>24</v>
      </c>
      <c r="Q48" t="s">
        <v>24</v>
      </c>
      <c r="R48" t="s">
        <v>45</v>
      </c>
      <c r="S48">
        <v>4</v>
      </c>
    </row>
    <row r="49" spans="1:19" x14ac:dyDescent="0.3">
      <c r="A49" s="1">
        <v>39907</v>
      </c>
      <c r="B49">
        <v>2009</v>
      </c>
      <c r="C49" t="s">
        <v>18</v>
      </c>
      <c r="D49" s="4">
        <v>101430</v>
      </c>
      <c r="E49" s="2">
        <v>329000</v>
      </c>
      <c r="F49" t="s">
        <v>36</v>
      </c>
      <c r="G49" t="s">
        <v>37</v>
      </c>
      <c r="H49">
        <v>6</v>
      </c>
      <c r="I49">
        <v>6</v>
      </c>
      <c r="J49">
        <v>2019</v>
      </c>
      <c r="K49" s="5">
        <v>1.0259529999999999E-2</v>
      </c>
      <c r="L49" t="s">
        <v>27</v>
      </c>
      <c r="M49" s="4">
        <v>227570</v>
      </c>
      <c r="N49" s="3">
        <v>162.952</v>
      </c>
      <c r="O49" t="s">
        <v>22</v>
      </c>
      <c r="P49" t="s">
        <v>24</v>
      </c>
      <c r="Q49" t="s">
        <v>34</v>
      </c>
      <c r="R49" t="s">
        <v>45</v>
      </c>
      <c r="S49">
        <v>4</v>
      </c>
    </row>
    <row r="50" spans="1:19" x14ac:dyDescent="0.3">
      <c r="A50" s="1">
        <v>39908</v>
      </c>
      <c r="B50">
        <v>2009</v>
      </c>
      <c r="C50" t="s">
        <v>29</v>
      </c>
      <c r="D50" s="4">
        <v>245210</v>
      </c>
      <c r="E50" s="2">
        <v>445000</v>
      </c>
      <c r="F50" t="s">
        <v>19</v>
      </c>
      <c r="G50" t="s">
        <v>20</v>
      </c>
      <c r="H50">
        <v>3</v>
      </c>
      <c r="I50">
        <v>3</v>
      </c>
      <c r="J50">
        <v>980</v>
      </c>
      <c r="K50" s="5">
        <v>1.0259529999999999E-2</v>
      </c>
      <c r="L50" t="s">
        <v>38</v>
      </c>
      <c r="M50" s="4">
        <v>199790</v>
      </c>
      <c r="N50" s="3">
        <v>454.08159999999998</v>
      </c>
      <c r="O50" t="s">
        <v>22</v>
      </c>
      <c r="P50" t="s">
        <v>24</v>
      </c>
      <c r="Q50" t="s">
        <v>24</v>
      </c>
      <c r="R50" t="s">
        <v>45</v>
      </c>
      <c r="S50">
        <v>4</v>
      </c>
    </row>
    <row r="51" spans="1:19" x14ac:dyDescent="0.3">
      <c r="A51" s="1">
        <v>39912</v>
      </c>
      <c r="B51">
        <v>2009</v>
      </c>
      <c r="C51" t="s">
        <v>18</v>
      </c>
      <c r="D51" s="4">
        <v>444584.20699999999</v>
      </c>
      <c r="E51" s="2">
        <v>163000</v>
      </c>
      <c r="F51" t="s">
        <v>19</v>
      </c>
      <c r="G51" t="s">
        <v>20</v>
      </c>
      <c r="H51">
        <v>3</v>
      </c>
      <c r="I51">
        <v>1</v>
      </c>
      <c r="J51">
        <v>997</v>
      </c>
      <c r="K51" s="5">
        <v>1.0259529999999999E-2</v>
      </c>
      <c r="L51" t="s">
        <v>38</v>
      </c>
      <c r="M51" s="4">
        <v>-281584.20699999999</v>
      </c>
      <c r="N51" s="3">
        <v>163.4905</v>
      </c>
      <c r="O51" t="s">
        <v>33</v>
      </c>
      <c r="P51" t="s">
        <v>23</v>
      </c>
      <c r="Q51" t="s">
        <v>24</v>
      </c>
      <c r="R51" t="s">
        <v>45</v>
      </c>
      <c r="S51">
        <v>4</v>
      </c>
    </row>
    <row r="52" spans="1:19" x14ac:dyDescent="0.3">
      <c r="A52" s="1">
        <v>39913</v>
      </c>
      <c r="B52">
        <v>2009</v>
      </c>
      <c r="C52" t="s">
        <v>39</v>
      </c>
      <c r="D52" s="4">
        <v>343980</v>
      </c>
      <c r="E52" s="2">
        <v>410000</v>
      </c>
      <c r="F52" t="s">
        <v>19</v>
      </c>
      <c r="G52" t="s">
        <v>20</v>
      </c>
      <c r="H52">
        <v>3</v>
      </c>
      <c r="I52">
        <v>1</v>
      </c>
      <c r="J52">
        <v>991</v>
      </c>
      <c r="K52" s="5">
        <v>1.0259529999999999E-2</v>
      </c>
      <c r="L52" t="s">
        <v>32</v>
      </c>
      <c r="M52" s="4">
        <v>66020</v>
      </c>
      <c r="N52" s="3">
        <v>413.7235</v>
      </c>
      <c r="O52" t="s">
        <v>22</v>
      </c>
      <c r="P52" t="s">
        <v>24</v>
      </c>
      <c r="Q52" t="s">
        <v>24</v>
      </c>
      <c r="R52" t="s">
        <v>45</v>
      </c>
      <c r="S52">
        <v>4</v>
      </c>
    </row>
    <row r="53" spans="1:19" x14ac:dyDescent="0.3">
      <c r="A53" s="1">
        <v>39914</v>
      </c>
      <c r="B53">
        <v>2009</v>
      </c>
      <c r="C53" t="s">
        <v>35</v>
      </c>
      <c r="D53" s="4">
        <v>1120350</v>
      </c>
      <c r="E53" s="2">
        <v>1575000</v>
      </c>
      <c r="F53" t="s">
        <v>19</v>
      </c>
      <c r="G53" t="s">
        <v>20</v>
      </c>
      <c r="H53">
        <v>3</v>
      </c>
      <c r="I53">
        <v>3</v>
      </c>
      <c r="J53">
        <v>945</v>
      </c>
      <c r="K53" s="5">
        <v>1.0259529999999999E-2</v>
      </c>
      <c r="L53" t="s">
        <v>21</v>
      </c>
      <c r="M53" s="4">
        <v>454650</v>
      </c>
      <c r="N53" s="3">
        <v>1666.6667</v>
      </c>
      <c r="O53" t="s">
        <v>22</v>
      </c>
      <c r="P53" t="s">
        <v>28</v>
      </c>
      <c r="Q53" t="s">
        <v>24</v>
      </c>
      <c r="R53" t="s">
        <v>45</v>
      </c>
      <c r="S53">
        <v>4</v>
      </c>
    </row>
    <row r="54" spans="1:19" x14ac:dyDescent="0.3">
      <c r="A54" s="1">
        <v>39915</v>
      </c>
      <c r="B54">
        <v>2009</v>
      </c>
      <c r="C54" t="s">
        <v>29</v>
      </c>
      <c r="D54" s="4">
        <v>11830</v>
      </c>
      <c r="E54" s="2">
        <v>206000</v>
      </c>
      <c r="F54" t="s">
        <v>19</v>
      </c>
      <c r="G54" t="s">
        <v>20</v>
      </c>
      <c r="H54">
        <v>3</v>
      </c>
      <c r="I54">
        <v>1</v>
      </c>
      <c r="J54">
        <v>913</v>
      </c>
      <c r="K54" s="5">
        <v>1.0259529999999999E-2</v>
      </c>
      <c r="L54" t="s">
        <v>38</v>
      </c>
      <c r="M54" s="4">
        <v>194170</v>
      </c>
      <c r="N54" s="3">
        <v>225.62979999999999</v>
      </c>
      <c r="O54" t="s">
        <v>22</v>
      </c>
      <c r="P54" t="s">
        <v>24</v>
      </c>
      <c r="Q54" t="s">
        <v>24</v>
      </c>
      <c r="R54" t="s">
        <v>45</v>
      </c>
      <c r="S54">
        <v>4</v>
      </c>
    </row>
    <row r="55" spans="1:19" x14ac:dyDescent="0.3">
      <c r="A55" s="1">
        <v>39916</v>
      </c>
      <c r="B55">
        <v>2009</v>
      </c>
      <c r="C55" t="s">
        <v>39</v>
      </c>
      <c r="D55" s="4">
        <v>444584.20699999999</v>
      </c>
      <c r="E55" s="2">
        <v>407500</v>
      </c>
      <c r="F55" t="s">
        <v>19</v>
      </c>
      <c r="G55" t="s">
        <v>20</v>
      </c>
      <c r="H55">
        <v>3</v>
      </c>
      <c r="I55">
        <v>2</v>
      </c>
      <c r="J55">
        <v>981</v>
      </c>
      <c r="K55" s="5">
        <v>1.0259529999999999E-2</v>
      </c>
      <c r="L55" t="s">
        <v>27</v>
      </c>
      <c r="M55" s="4">
        <v>-37084.207000000002</v>
      </c>
      <c r="N55" s="3">
        <v>415.39249999999998</v>
      </c>
      <c r="O55" t="s">
        <v>33</v>
      </c>
      <c r="P55" t="s">
        <v>24</v>
      </c>
      <c r="Q55" t="s">
        <v>24</v>
      </c>
      <c r="R55" t="s">
        <v>45</v>
      </c>
      <c r="S55">
        <v>4</v>
      </c>
    </row>
    <row r="56" spans="1:19" x14ac:dyDescent="0.3">
      <c r="A56" s="1">
        <v>39919</v>
      </c>
      <c r="B56">
        <v>2009</v>
      </c>
      <c r="C56" t="s">
        <v>29</v>
      </c>
      <c r="D56" s="4">
        <v>115850</v>
      </c>
      <c r="E56" s="2">
        <v>243750</v>
      </c>
      <c r="F56" t="s">
        <v>30</v>
      </c>
      <c r="G56" t="s">
        <v>31</v>
      </c>
      <c r="H56">
        <v>4</v>
      </c>
      <c r="I56">
        <v>2</v>
      </c>
      <c r="J56">
        <v>1241</v>
      </c>
      <c r="K56" s="5">
        <v>1.0259529999999999E-2</v>
      </c>
      <c r="L56" t="s">
        <v>27</v>
      </c>
      <c r="M56" s="4">
        <v>127900</v>
      </c>
      <c r="N56" s="3">
        <v>196.41419999999999</v>
      </c>
      <c r="O56" t="s">
        <v>22</v>
      </c>
      <c r="P56" t="s">
        <v>24</v>
      </c>
      <c r="Q56" t="s">
        <v>24</v>
      </c>
      <c r="R56" t="s">
        <v>45</v>
      </c>
      <c r="S56">
        <v>4</v>
      </c>
    </row>
    <row r="57" spans="1:19" x14ac:dyDescent="0.3">
      <c r="A57" s="1">
        <v>39920</v>
      </c>
      <c r="B57">
        <v>2009</v>
      </c>
      <c r="C57" t="s">
        <v>35</v>
      </c>
      <c r="D57" s="4">
        <v>2624790</v>
      </c>
      <c r="E57" s="2">
        <v>2899000</v>
      </c>
      <c r="F57" t="s">
        <v>19</v>
      </c>
      <c r="G57" t="s">
        <v>20</v>
      </c>
      <c r="H57">
        <v>3</v>
      </c>
      <c r="I57">
        <v>3</v>
      </c>
      <c r="J57">
        <v>1044</v>
      </c>
      <c r="K57" s="5">
        <v>1.0259529999999999E-2</v>
      </c>
      <c r="L57" t="s">
        <v>38</v>
      </c>
      <c r="M57" s="4">
        <v>274210</v>
      </c>
      <c r="N57" s="3">
        <v>2776.8199</v>
      </c>
      <c r="O57" t="s">
        <v>22</v>
      </c>
      <c r="P57" t="s">
        <v>28</v>
      </c>
      <c r="Q57" t="s">
        <v>24</v>
      </c>
      <c r="R57" t="s">
        <v>45</v>
      </c>
      <c r="S57">
        <v>4</v>
      </c>
    </row>
    <row r="58" spans="1:19" x14ac:dyDescent="0.3">
      <c r="A58" s="1">
        <v>39921</v>
      </c>
      <c r="B58">
        <v>2009</v>
      </c>
      <c r="C58" t="s">
        <v>29</v>
      </c>
      <c r="D58" s="4">
        <v>71680</v>
      </c>
      <c r="E58" s="2">
        <v>164000</v>
      </c>
      <c r="F58" t="s">
        <v>19</v>
      </c>
      <c r="G58" t="s">
        <v>20</v>
      </c>
      <c r="H58">
        <v>3</v>
      </c>
      <c r="I58">
        <v>1</v>
      </c>
      <c r="J58">
        <v>1054</v>
      </c>
      <c r="K58" s="5">
        <v>1.0259529999999999E-2</v>
      </c>
      <c r="L58" t="s">
        <v>21</v>
      </c>
      <c r="M58" s="4">
        <v>92320</v>
      </c>
      <c r="N58" s="3">
        <v>155.5977</v>
      </c>
      <c r="O58" t="s">
        <v>22</v>
      </c>
      <c r="P58" t="s">
        <v>23</v>
      </c>
      <c r="Q58" t="s">
        <v>24</v>
      </c>
      <c r="R58" t="s">
        <v>45</v>
      </c>
      <c r="S58">
        <v>4</v>
      </c>
    </row>
    <row r="59" spans="1:19" x14ac:dyDescent="0.3">
      <c r="A59" s="1">
        <v>39922</v>
      </c>
      <c r="B59">
        <v>2009</v>
      </c>
      <c r="C59" t="s">
        <v>40</v>
      </c>
      <c r="D59" s="4">
        <v>75810</v>
      </c>
      <c r="E59" s="2">
        <v>193400</v>
      </c>
      <c r="F59" t="s">
        <v>30</v>
      </c>
      <c r="G59" t="s">
        <v>31</v>
      </c>
      <c r="H59">
        <v>4</v>
      </c>
      <c r="I59">
        <v>4</v>
      </c>
      <c r="J59">
        <v>1307</v>
      </c>
      <c r="K59" s="5">
        <v>1.0259529999999999E-2</v>
      </c>
      <c r="L59" t="s">
        <v>32</v>
      </c>
      <c r="M59" s="4">
        <v>117590</v>
      </c>
      <c r="N59" s="3">
        <v>147.9725</v>
      </c>
      <c r="O59" t="s">
        <v>22</v>
      </c>
      <c r="P59" t="s">
        <v>23</v>
      </c>
      <c r="Q59" t="s">
        <v>34</v>
      </c>
      <c r="R59" t="s">
        <v>45</v>
      </c>
      <c r="S59">
        <v>4</v>
      </c>
    </row>
    <row r="60" spans="1:19" x14ac:dyDescent="0.3">
      <c r="A60" s="1">
        <v>39923</v>
      </c>
      <c r="B60">
        <v>2009</v>
      </c>
      <c r="C60" t="s">
        <v>29</v>
      </c>
      <c r="D60" s="4">
        <v>184800</v>
      </c>
      <c r="E60" s="2">
        <v>130000</v>
      </c>
      <c r="F60" t="s">
        <v>19</v>
      </c>
      <c r="G60" t="s">
        <v>20</v>
      </c>
      <c r="H60">
        <v>3</v>
      </c>
      <c r="I60">
        <v>3</v>
      </c>
      <c r="J60">
        <v>909</v>
      </c>
      <c r="K60" s="5">
        <v>1.0259529999999999E-2</v>
      </c>
      <c r="L60" t="s">
        <v>27</v>
      </c>
      <c r="M60" s="4">
        <v>-54800</v>
      </c>
      <c r="N60" s="3">
        <v>143.01429999999999</v>
      </c>
      <c r="O60" t="s">
        <v>33</v>
      </c>
      <c r="P60" t="s">
        <v>23</v>
      </c>
      <c r="Q60" t="s">
        <v>24</v>
      </c>
      <c r="R60" t="s">
        <v>45</v>
      </c>
      <c r="S60">
        <v>4</v>
      </c>
    </row>
    <row r="61" spans="1:19" x14ac:dyDescent="0.3">
      <c r="A61" s="1">
        <v>39926</v>
      </c>
      <c r="B61">
        <v>2009</v>
      </c>
      <c r="C61" t="s">
        <v>29</v>
      </c>
      <c r="D61" s="4">
        <v>113890</v>
      </c>
      <c r="E61" s="2">
        <v>225000</v>
      </c>
      <c r="F61" t="s">
        <v>30</v>
      </c>
      <c r="G61" t="s">
        <v>31</v>
      </c>
      <c r="H61">
        <v>4</v>
      </c>
      <c r="I61">
        <v>3</v>
      </c>
      <c r="J61">
        <v>1111.6589814177564</v>
      </c>
      <c r="K61" s="5">
        <v>1.0259529999999999E-2</v>
      </c>
      <c r="L61" t="s">
        <v>27</v>
      </c>
      <c r="M61" s="4">
        <v>111110</v>
      </c>
      <c r="N61" s="3">
        <v>202.40020000000001</v>
      </c>
      <c r="O61" t="s">
        <v>22</v>
      </c>
      <c r="P61" t="s">
        <v>24</v>
      </c>
      <c r="Q61" t="s">
        <v>24</v>
      </c>
      <c r="R61" t="s">
        <v>45</v>
      </c>
      <c r="S61">
        <v>4</v>
      </c>
    </row>
    <row r="62" spans="1:19" x14ac:dyDescent="0.3">
      <c r="A62" s="1">
        <v>39927</v>
      </c>
      <c r="B62">
        <v>2009</v>
      </c>
      <c r="C62" t="s">
        <v>39</v>
      </c>
      <c r="D62" s="4">
        <v>389900</v>
      </c>
      <c r="E62" s="2">
        <v>389900</v>
      </c>
      <c r="F62" t="s">
        <v>19</v>
      </c>
      <c r="G62" t="s">
        <v>20</v>
      </c>
      <c r="H62">
        <v>3</v>
      </c>
      <c r="I62">
        <v>1</v>
      </c>
      <c r="J62">
        <v>1023</v>
      </c>
      <c r="K62" s="5">
        <v>1.0259529999999999E-2</v>
      </c>
      <c r="L62" t="s">
        <v>38</v>
      </c>
      <c r="M62" s="4">
        <v>0</v>
      </c>
      <c r="N62" s="3">
        <v>381.13389999999998</v>
      </c>
      <c r="O62" t="s">
        <v>46</v>
      </c>
      <c r="P62" t="s">
        <v>24</v>
      </c>
      <c r="Q62" t="s">
        <v>24</v>
      </c>
      <c r="R62" t="s">
        <v>45</v>
      </c>
      <c r="S62">
        <v>4</v>
      </c>
    </row>
    <row r="63" spans="1:19" x14ac:dyDescent="0.3">
      <c r="A63" s="1">
        <v>39928</v>
      </c>
      <c r="B63">
        <v>2009</v>
      </c>
      <c r="C63" t="s">
        <v>29</v>
      </c>
      <c r="D63" s="4">
        <v>176890</v>
      </c>
      <c r="E63" s="2">
        <v>320000</v>
      </c>
      <c r="F63" t="s">
        <v>19</v>
      </c>
      <c r="G63" t="s">
        <v>20</v>
      </c>
      <c r="H63">
        <v>3</v>
      </c>
      <c r="I63">
        <v>3</v>
      </c>
      <c r="J63">
        <v>1111.6589814177564</v>
      </c>
      <c r="K63" s="5">
        <v>1.0259529999999999E-2</v>
      </c>
      <c r="L63" t="s">
        <v>21</v>
      </c>
      <c r="M63" s="4">
        <v>143110</v>
      </c>
      <c r="N63" s="3">
        <v>287.85809999999998</v>
      </c>
      <c r="O63" t="s">
        <v>22</v>
      </c>
      <c r="P63" t="s">
        <v>24</v>
      </c>
      <c r="Q63" t="s">
        <v>24</v>
      </c>
      <c r="R63" t="s">
        <v>45</v>
      </c>
      <c r="S63">
        <v>4</v>
      </c>
    </row>
    <row r="64" spans="1:19" x14ac:dyDescent="0.3">
      <c r="A64" s="1">
        <v>39929</v>
      </c>
      <c r="B64">
        <v>2009</v>
      </c>
      <c r="C64" t="s">
        <v>40</v>
      </c>
      <c r="D64" s="4">
        <v>70210</v>
      </c>
      <c r="E64" s="2">
        <v>160000</v>
      </c>
      <c r="F64" t="s">
        <v>19</v>
      </c>
      <c r="G64" t="s">
        <v>20</v>
      </c>
      <c r="H64">
        <v>3</v>
      </c>
      <c r="I64">
        <v>3</v>
      </c>
      <c r="J64">
        <v>1008</v>
      </c>
      <c r="K64" s="5">
        <v>1.0259529999999999E-2</v>
      </c>
      <c r="L64" t="s">
        <v>32</v>
      </c>
      <c r="M64" s="4">
        <v>89790</v>
      </c>
      <c r="N64" s="3">
        <v>158.7302</v>
      </c>
      <c r="O64" t="s">
        <v>22</v>
      </c>
      <c r="P64" t="s">
        <v>23</v>
      </c>
      <c r="Q64" t="s">
        <v>24</v>
      </c>
      <c r="R64" t="s">
        <v>45</v>
      </c>
      <c r="S64">
        <v>4</v>
      </c>
    </row>
    <row r="65" spans="1:19" x14ac:dyDescent="0.3">
      <c r="A65" s="1">
        <v>39930</v>
      </c>
      <c r="B65">
        <v>2009</v>
      </c>
      <c r="C65" t="s">
        <v>18</v>
      </c>
      <c r="D65" s="4">
        <v>104090</v>
      </c>
      <c r="E65" s="2">
        <v>254000</v>
      </c>
      <c r="F65" t="s">
        <v>19</v>
      </c>
      <c r="G65" t="s">
        <v>20</v>
      </c>
      <c r="H65">
        <v>3</v>
      </c>
      <c r="I65">
        <v>2</v>
      </c>
      <c r="J65">
        <v>1010</v>
      </c>
      <c r="K65" s="5">
        <v>1.0259529999999999E-2</v>
      </c>
      <c r="L65" t="s">
        <v>21</v>
      </c>
      <c r="M65" s="4">
        <v>149910</v>
      </c>
      <c r="N65" s="3">
        <v>251.48509999999999</v>
      </c>
      <c r="O65" t="s">
        <v>22</v>
      </c>
      <c r="P65" t="s">
        <v>24</v>
      </c>
      <c r="Q65" t="s">
        <v>24</v>
      </c>
      <c r="R65" t="s">
        <v>45</v>
      </c>
      <c r="S65">
        <v>4</v>
      </c>
    </row>
    <row r="66" spans="1:19" x14ac:dyDescent="0.3">
      <c r="A66" s="1">
        <v>39933</v>
      </c>
      <c r="B66">
        <v>2009</v>
      </c>
      <c r="C66" t="s">
        <v>26</v>
      </c>
      <c r="D66" s="4">
        <v>297780</v>
      </c>
      <c r="E66" s="2">
        <v>570000</v>
      </c>
      <c r="F66" t="s">
        <v>19</v>
      </c>
      <c r="G66" t="s">
        <v>20</v>
      </c>
      <c r="H66">
        <v>3</v>
      </c>
      <c r="I66">
        <v>2</v>
      </c>
      <c r="J66">
        <v>976</v>
      </c>
      <c r="K66" s="5">
        <v>1.0259529999999999E-2</v>
      </c>
      <c r="L66" t="s">
        <v>32</v>
      </c>
      <c r="M66" s="4">
        <v>272220</v>
      </c>
      <c r="N66" s="3">
        <v>584.01639999999998</v>
      </c>
      <c r="O66" t="s">
        <v>22</v>
      </c>
      <c r="P66" t="s">
        <v>24</v>
      </c>
      <c r="Q66" t="s">
        <v>24</v>
      </c>
      <c r="R66" t="s">
        <v>45</v>
      </c>
      <c r="S66">
        <v>4</v>
      </c>
    </row>
    <row r="67" spans="1:19" x14ac:dyDescent="0.3">
      <c r="A67" s="1">
        <v>39934</v>
      </c>
      <c r="B67">
        <v>2009</v>
      </c>
      <c r="C67" t="s">
        <v>18</v>
      </c>
      <c r="D67" s="4">
        <v>3500</v>
      </c>
      <c r="E67" s="2">
        <v>195900</v>
      </c>
      <c r="F67" t="s">
        <v>19</v>
      </c>
      <c r="G67" t="s">
        <v>20</v>
      </c>
      <c r="H67">
        <v>3</v>
      </c>
      <c r="I67">
        <v>2</v>
      </c>
      <c r="J67">
        <v>988</v>
      </c>
      <c r="K67" s="5">
        <v>1.0259529999999999E-2</v>
      </c>
      <c r="L67" t="s">
        <v>32</v>
      </c>
      <c r="M67" s="4">
        <v>192400</v>
      </c>
      <c r="N67" s="3">
        <v>198.27940000000001</v>
      </c>
      <c r="O67" t="s">
        <v>22</v>
      </c>
      <c r="P67" t="s">
        <v>23</v>
      </c>
      <c r="Q67" t="s">
        <v>24</v>
      </c>
      <c r="R67" t="s">
        <v>47</v>
      </c>
      <c r="S67">
        <v>5</v>
      </c>
    </row>
    <row r="68" spans="1:19" x14ac:dyDescent="0.3">
      <c r="A68" s="1">
        <v>39935</v>
      </c>
      <c r="B68">
        <v>2009</v>
      </c>
      <c r="C68" t="s">
        <v>39</v>
      </c>
      <c r="D68" s="4">
        <v>1515640</v>
      </c>
      <c r="E68" s="2">
        <v>2100000</v>
      </c>
      <c r="F68" t="s">
        <v>19</v>
      </c>
      <c r="G68" t="s">
        <v>20</v>
      </c>
      <c r="H68">
        <v>3</v>
      </c>
      <c r="I68">
        <v>1</v>
      </c>
      <c r="J68">
        <v>1111.6589814177564</v>
      </c>
      <c r="K68" s="5">
        <v>1.0259529999999999E-2</v>
      </c>
      <c r="L68" t="s">
        <v>27</v>
      </c>
      <c r="M68" s="4">
        <v>584360</v>
      </c>
      <c r="N68" s="3">
        <v>1889.0685000000001</v>
      </c>
      <c r="O68" t="s">
        <v>22</v>
      </c>
      <c r="P68" t="s">
        <v>28</v>
      </c>
      <c r="Q68" t="s">
        <v>24</v>
      </c>
      <c r="R68" t="s">
        <v>47</v>
      </c>
      <c r="S68">
        <v>5</v>
      </c>
    </row>
    <row r="69" spans="1:19" x14ac:dyDescent="0.3">
      <c r="A69" s="1">
        <v>39936</v>
      </c>
      <c r="B69">
        <v>2009</v>
      </c>
      <c r="C69" t="s">
        <v>39</v>
      </c>
      <c r="D69" s="4">
        <v>1064840</v>
      </c>
      <c r="E69" s="2">
        <v>1550000</v>
      </c>
      <c r="F69" t="s">
        <v>19</v>
      </c>
      <c r="G69" t="s">
        <v>20</v>
      </c>
      <c r="H69">
        <v>3</v>
      </c>
      <c r="I69">
        <v>2</v>
      </c>
      <c r="J69">
        <v>1015</v>
      </c>
      <c r="K69" s="5">
        <v>1.0259529999999999E-2</v>
      </c>
      <c r="L69" t="s">
        <v>32</v>
      </c>
      <c r="M69" s="4">
        <v>485160</v>
      </c>
      <c r="N69" s="3">
        <v>1527.0935999999999</v>
      </c>
      <c r="O69" t="s">
        <v>22</v>
      </c>
      <c r="P69" t="s">
        <v>28</v>
      </c>
      <c r="Q69" t="s">
        <v>24</v>
      </c>
      <c r="R69" t="s">
        <v>47</v>
      </c>
      <c r="S69">
        <v>5</v>
      </c>
    </row>
    <row r="70" spans="1:19" x14ac:dyDescent="0.3">
      <c r="A70" s="1">
        <v>39937</v>
      </c>
      <c r="B70">
        <v>2009</v>
      </c>
      <c r="C70" t="s">
        <v>26</v>
      </c>
      <c r="D70" s="4">
        <v>325290</v>
      </c>
      <c r="E70" s="2">
        <v>400000</v>
      </c>
      <c r="F70" t="s">
        <v>19</v>
      </c>
      <c r="G70" t="s">
        <v>20</v>
      </c>
      <c r="H70">
        <v>3</v>
      </c>
      <c r="I70">
        <v>1</v>
      </c>
      <c r="J70">
        <v>1059</v>
      </c>
      <c r="K70" s="5">
        <v>1.0259529999999999E-2</v>
      </c>
      <c r="L70" t="s">
        <v>32</v>
      </c>
      <c r="M70" s="4">
        <v>74710</v>
      </c>
      <c r="N70" s="3">
        <v>377.71480000000003</v>
      </c>
      <c r="O70" t="s">
        <v>22</v>
      </c>
      <c r="P70" t="s">
        <v>24</v>
      </c>
      <c r="Q70" t="s">
        <v>24</v>
      </c>
      <c r="R70" t="s">
        <v>47</v>
      </c>
      <c r="S70">
        <v>5</v>
      </c>
    </row>
    <row r="71" spans="1:19" x14ac:dyDescent="0.3">
      <c r="A71" s="1">
        <v>39940</v>
      </c>
      <c r="B71">
        <v>2009</v>
      </c>
      <c r="C71" t="s">
        <v>29</v>
      </c>
      <c r="D71" s="4">
        <v>104580</v>
      </c>
      <c r="E71" s="2">
        <v>226000</v>
      </c>
      <c r="F71" t="s">
        <v>19</v>
      </c>
      <c r="G71" t="s">
        <v>20</v>
      </c>
      <c r="H71">
        <v>3</v>
      </c>
      <c r="I71">
        <v>2</v>
      </c>
      <c r="J71">
        <v>1078</v>
      </c>
      <c r="K71" s="5">
        <v>1.0259529999999999E-2</v>
      </c>
      <c r="L71" t="s">
        <v>27</v>
      </c>
      <c r="M71" s="4">
        <v>121420</v>
      </c>
      <c r="N71" s="3">
        <v>209.64750000000001</v>
      </c>
      <c r="O71" t="s">
        <v>22</v>
      </c>
      <c r="P71" t="s">
        <v>24</v>
      </c>
      <c r="Q71" t="s">
        <v>24</v>
      </c>
      <c r="R71" t="s">
        <v>47</v>
      </c>
      <c r="S71">
        <v>5</v>
      </c>
    </row>
    <row r="72" spans="1:19" x14ac:dyDescent="0.3">
      <c r="A72" s="1">
        <v>39941</v>
      </c>
      <c r="B72">
        <v>2009</v>
      </c>
      <c r="C72" t="s">
        <v>26</v>
      </c>
      <c r="D72" s="4">
        <v>444584.20699999999</v>
      </c>
      <c r="E72" s="2">
        <v>755000</v>
      </c>
      <c r="F72" t="s">
        <v>19</v>
      </c>
      <c r="G72" t="s">
        <v>20</v>
      </c>
      <c r="H72">
        <v>3</v>
      </c>
      <c r="I72">
        <v>2</v>
      </c>
      <c r="J72">
        <v>996</v>
      </c>
      <c r="K72" s="5">
        <v>1.0259529999999999E-2</v>
      </c>
      <c r="L72" t="s">
        <v>27</v>
      </c>
      <c r="M72" s="4">
        <v>310415.79300000001</v>
      </c>
      <c r="N72" s="3">
        <v>758.03210000000001</v>
      </c>
      <c r="O72" t="s">
        <v>22</v>
      </c>
      <c r="P72" t="s">
        <v>28</v>
      </c>
      <c r="Q72" t="s">
        <v>24</v>
      </c>
      <c r="R72" t="s">
        <v>47</v>
      </c>
      <c r="S72">
        <v>5</v>
      </c>
    </row>
    <row r="73" spans="1:19" x14ac:dyDescent="0.3">
      <c r="A73" s="1">
        <v>39942</v>
      </c>
      <c r="B73">
        <v>2009</v>
      </c>
      <c r="C73" t="s">
        <v>29</v>
      </c>
      <c r="D73" s="4">
        <v>68320</v>
      </c>
      <c r="E73" s="2">
        <v>137120</v>
      </c>
      <c r="F73" t="s">
        <v>30</v>
      </c>
      <c r="G73" t="s">
        <v>31</v>
      </c>
      <c r="H73">
        <v>4</v>
      </c>
      <c r="I73">
        <v>4</v>
      </c>
      <c r="J73">
        <v>1343</v>
      </c>
      <c r="K73" s="5">
        <v>1.0259529999999999E-2</v>
      </c>
      <c r="L73" t="s">
        <v>21</v>
      </c>
      <c r="M73" s="4">
        <v>68800</v>
      </c>
      <c r="N73" s="3">
        <v>102.0998</v>
      </c>
      <c r="O73" t="s">
        <v>22</v>
      </c>
      <c r="P73" t="s">
        <v>23</v>
      </c>
      <c r="Q73" t="s">
        <v>34</v>
      </c>
      <c r="R73" t="s">
        <v>47</v>
      </c>
      <c r="S73">
        <v>5</v>
      </c>
    </row>
    <row r="74" spans="1:19" x14ac:dyDescent="0.3">
      <c r="A74" s="1">
        <v>39947</v>
      </c>
      <c r="B74">
        <v>2009</v>
      </c>
      <c r="C74" t="s">
        <v>29</v>
      </c>
      <c r="D74" s="4">
        <v>131670</v>
      </c>
      <c r="E74" s="2">
        <v>190000</v>
      </c>
      <c r="F74" t="s">
        <v>19</v>
      </c>
      <c r="G74" t="s">
        <v>20</v>
      </c>
      <c r="H74">
        <v>3</v>
      </c>
      <c r="I74">
        <v>3</v>
      </c>
      <c r="J74">
        <v>1099</v>
      </c>
      <c r="K74" s="5">
        <v>1.0259529999999999E-2</v>
      </c>
      <c r="L74" t="s">
        <v>21</v>
      </c>
      <c r="M74" s="4">
        <v>58330</v>
      </c>
      <c r="N74" s="3">
        <v>172.8844</v>
      </c>
      <c r="O74" t="s">
        <v>22</v>
      </c>
      <c r="P74" t="s">
        <v>23</v>
      </c>
      <c r="Q74" t="s">
        <v>24</v>
      </c>
      <c r="R74" t="s">
        <v>47</v>
      </c>
      <c r="S74">
        <v>5</v>
      </c>
    </row>
    <row r="75" spans="1:19" x14ac:dyDescent="0.3">
      <c r="A75" s="1">
        <v>39948</v>
      </c>
      <c r="B75">
        <v>2009</v>
      </c>
      <c r="C75" t="s">
        <v>35</v>
      </c>
      <c r="D75" s="4">
        <v>640150</v>
      </c>
      <c r="E75" s="2">
        <v>407500</v>
      </c>
      <c r="F75" t="s">
        <v>19</v>
      </c>
      <c r="G75" t="s">
        <v>20</v>
      </c>
      <c r="H75">
        <v>3</v>
      </c>
      <c r="I75">
        <v>1</v>
      </c>
      <c r="J75">
        <v>908</v>
      </c>
      <c r="K75" s="5">
        <v>1.0259529999999999E-2</v>
      </c>
      <c r="L75" t="s">
        <v>27</v>
      </c>
      <c r="M75" s="4">
        <v>-232650</v>
      </c>
      <c r="N75" s="3">
        <v>448.7885</v>
      </c>
      <c r="O75" t="s">
        <v>33</v>
      </c>
      <c r="P75" t="s">
        <v>24</v>
      </c>
      <c r="Q75" t="s">
        <v>24</v>
      </c>
      <c r="R75" t="s">
        <v>47</v>
      </c>
      <c r="S75">
        <v>5</v>
      </c>
    </row>
    <row r="76" spans="1:19" x14ac:dyDescent="0.3">
      <c r="A76" s="1">
        <v>39949</v>
      </c>
      <c r="B76">
        <v>2009</v>
      </c>
      <c r="C76" t="s">
        <v>18</v>
      </c>
      <c r="D76" s="4">
        <v>68040</v>
      </c>
      <c r="E76" s="2">
        <v>178000</v>
      </c>
      <c r="F76" t="s">
        <v>30</v>
      </c>
      <c r="G76" t="s">
        <v>31</v>
      </c>
      <c r="H76">
        <v>4</v>
      </c>
      <c r="I76">
        <v>2</v>
      </c>
      <c r="J76">
        <v>1300</v>
      </c>
      <c r="K76" s="5">
        <v>1.0259529999999999E-2</v>
      </c>
      <c r="L76" t="s">
        <v>27</v>
      </c>
      <c r="M76" s="4">
        <v>109960</v>
      </c>
      <c r="N76" s="3">
        <v>136.92310000000001</v>
      </c>
      <c r="O76" t="s">
        <v>22</v>
      </c>
      <c r="P76" t="s">
        <v>23</v>
      </c>
      <c r="Q76" t="s">
        <v>34</v>
      </c>
      <c r="R76" t="s">
        <v>47</v>
      </c>
      <c r="S76">
        <v>5</v>
      </c>
    </row>
    <row r="77" spans="1:19" x14ac:dyDescent="0.3">
      <c r="A77" s="1">
        <v>39950</v>
      </c>
      <c r="B77">
        <v>2009</v>
      </c>
      <c r="C77" t="s">
        <v>18</v>
      </c>
      <c r="D77" s="4">
        <v>84700</v>
      </c>
      <c r="E77" s="2">
        <v>174900</v>
      </c>
      <c r="F77" t="s">
        <v>19</v>
      </c>
      <c r="G77" t="s">
        <v>20</v>
      </c>
      <c r="H77">
        <v>3</v>
      </c>
      <c r="I77">
        <v>3</v>
      </c>
      <c r="J77">
        <v>951</v>
      </c>
      <c r="K77" s="5">
        <v>1.0259529999999999E-2</v>
      </c>
      <c r="L77" t="s">
        <v>32</v>
      </c>
      <c r="M77" s="4">
        <v>90200</v>
      </c>
      <c r="N77" s="3">
        <v>183.9117</v>
      </c>
      <c r="O77" t="s">
        <v>22</v>
      </c>
      <c r="P77" t="s">
        <v>23</v>
      </c>
      <c r="Q77" t="s">
        <v>24</v>
      </c>
      <c r="R77" t="s">
        <v>47</v>
      </c>
      <c r="S77">
        <v>5</v>
      </c>
    </row>
    <row r="78" spans="1:19" x14ac:dyDescent="0.3">
      <c r="A78" s="1">
        <v>39951</v>
      </c>
      <c r="B78">
        <v>2009</v>
      </c>
      <c r="C78" t="s">
        <v>39</v>
      </c>
      <c r="D78" s="4">
        <v>617820</v>
      </c>
      <c r="E78" s="2">
        <v>575000</v>
      </c>
      <c r="F78" t="s">
        <v>19</v>
      </c>
      <c r="G78" t="s">
        <v>20</v>
      </c>
      <c r="H78">
        <v>3</v>
      </c>
      <c r="I78">
        <v>2</v>
      </c>
      <c r="J78">
        <v>926</v>
      </c>
      <c r="K78" s="5">
        <v>1.0259529999999999E-2</v>
      </c>
      <c r="L78" t="s">
        <v>32</v>
      </c>
      <c r="M78" s="4">
        <v>-42820</v>
      </c>
      <c r="N78" s="3">
        <v>620.95029999999997</v>
      </c>
      <c r="O78" t="s">
        <v>33</v>
      </c>
      <c r="P78" t="s">
        <v>24</v>
      </c>
      <c r="Q78" t="s">
        <v>24</v>
      </c>
      <c r="R78" t="s">
        <v>47</v>
      </c>
      <c r="S78">
        <v>5</v>
      </c>
    </row>
    <row r="79" spans="1:19" x14ac:dyDescent="0.3">
      <c r="A79" s="1">
        <v>39954</v>
      </c>
      <c r="B79">
        <v>2009</v>
      </c>
      <c r="C79" t="s">
        <v>18</v>
      </c>
      <c r="D79" s="4">
        <v>71190</v>
      </c>
      <c r="E79" s="2">
        <v>209000</v>
      </c>
      <c r="F79" t="s">
        <v>36</v>
      </c>
      <c r="G79" t="s">
        <v>37</v>
      </c>
      <c r="H79">
        <v>6</v>
      </c>
      <c r="I79">
        <v>6</v>
      </c>
      <c r="J79">
        <v>1838</v>
      </c>
      <c r="K79" s="5">
        <v>1.0259529999999999E-2</v>
      </c>
      <c r="L79" t="s">
        <v>21</v>
      </c>
      <c r="M79" s="4">
        <v>137810</v>
      </c>
      <c r="N79" s="3">
        <v>113.7106</v>
      </c>
      <c r="O79" t="s">
        <v>22</v>
      </c>
      <c r="P79" t="s">
        <v>24</v>
      </c>
      <c r="Q79" t="s">
        <v>34</v>
      </c>
      <c r="R79" t="s">
        <v>47</v>
      </c>
      <c r="S79">
        <v>5</v>
      </c>
    </row>
    <row r="80" spans="1:19" x14ac:dyDescent="0.3">
      <c r="A80" s="1">
        <v>39955</v>
      </c>
      <c r="B80">
        <v>2009</v>
      </c>
      <c r="C80" t="s">
        <v>39</v>
      </c>
      <c r="D80" s="4">
        <v>212940</v>
      </c>
      <c r="E80" s="2">
        <v>290000</v>
      </c>
      <c r="F80" t="s">
        <v>19</v>
      </c>
      <c r="G80" t="s">
        <v>20</v>
      </c>
      <c r="H80">
        <v>3</v>
      </c>
      <c r="I80">
        <v>1</v>
      </c>
      <c r="J80">
        <v>1032</v>
      </c>
      <c r="K80" s="5">
        <v>1.0259529999999999E-2</v>
      </c>
      <c r="L80" t="s">
        <v>27</v>
      </c>
      <c r="M80" s="4">
        <v>77060</v>
      </c>
      <c r="N80" s="3">
        <v>281.00779999999997</v>
      </c>
      <c r="O80" t="s">
        <v>22</v>
      </c>
      <c r="P80" t="s">
        <v>24</v>
      </c>
      <c r="Q80" t="s">
        <v>24</v>
      </c>
      <c r="R80" t="s">
        <v>47</v>
      </c>
      <c r="S80">
        <v>5</v>
      </c>
    </row>
    <row r="81" spans="1:19" x14ac:dyDescent="0.3">
      <c r="A81" s="1">
        <v>39956</v>
      </c>
      <c r="B81">
        <v>2009</v>
      </c>
      <c r="C81" t="s">
        <v>40</v>
      </c>
      <c r="D81" s="4">
        <v>68880</v>
      </c>
      <c r="E81" s="2">
        <v>172000</v>
      </c>
      <c r="F81" t="s">
        <v>19</v>
      </c>
      <c r="G81" t="s">
        <v>20</v>
      </c>
      <c r="H81">
        <v>3</v>
      </c>
      <c r="I81">
        <v>2</v>
      </c>
      <c r="J81">
        <v>991</v>
      </c>
      <c r="K81" s="5">
        <v>1.0259529999999999E-2</v>
      </c>
      <c r="L81" t="s">
        <v>38</v>
      </c>
      <c r="M81" s="4">
        <v>103120</v>
      </c>
      <c r="N81" s="3">
        <v>173.56209999999999</v>
      </c>
      <c r="O81" t="s">
        <v>22</v>
      </c>
      <c r="P81" t="s">
        <v>23</v>
      </c>
      <c r="Q81" t="s">
        <v>24</v>
      </c>
      <c r="R81" t="s">
        <v>47</v>
      </c>
      <c r="S81">
        <v>5</v>
      </c>
    </row>
    <row r="82" spans="1:19" x14ac:dyDescent="0.3">
      <c r="A82" s="1">
        <v>39957</v>
      </c>
      <c r="B82">
        <v>2009</v>
      </c>
      <c r="C82" t="s">
        <v>26</v>
      </c>
      <c r="D82" s="4">
        <v>286226</v>
      </c>
      <c r="E82" s="2">
        <v>679000</v>
      </c>
      <c r="F82" t="s">
        <v>19</v>
      </c>
      <c r="G82" t="s">
        <v>20</v>
      </c>
      <c r="H82">
        <v>3</v>
      </c>
      <c r="I82">
        <v>1</v>
      </c>
      <c r="J82">
        <v>925</v>
      </c>
      <c r="K82" s="5">
        <v>1.0259529999999999E-2</v>
      </c>
      <c r="L82" t="s">
        <v>27</v>
      </c>
      <c r="M82" s="4">
        <v>392774</v>
      </c>
      <c r="N82" s="3">
        <v>734.05409999999995</v>
      </c>
      <c r="O82" t="s">
        <v>22</v>
      </c>
      <c r="P82" t="s">
        <v>28</v>
      </c>
      <c r="Q82" t="s">
        <v>24</v>
      </c>
      <c r="R82" t="s">
        <v>47</v>
      </c>
      <c r="S82">
        <v>5</v>
      </c>
    </row>
    <row r="83" spans="1:19" x14ac:dyDescent="0.3">
      <c r="A83" s="1">
        <v>39958</v>
      </c>
      <c r="B83">
        <v>2009</v>
      </c>
      <c r="C83" t="s">
        <v>18</v>
      </c>
      <c r="D83" s="4">
        <v>104860</v>
      </c>
      <c r="E83" s="2">
        <v>191250</v>
      </c>
      <c r="F83" t="s">
        <v>19</v>
      </c>
      <c r="G83" t="s">
        <v>20</v>
      </c>
      <c r="H83">
        <v>3</v>
      </c>
      <c r="I83">
        <v>3</v>
      </c>
      <c r="J83">
        <v>1086</v>
      </c>
      <c r="K83" s="5">
        <v>1.0259529999999999E-2</v>
      </c>
      <c r="L83" t="s">
        <v>21</v>
      </c>
      <c r="M83" s="4">
        <v>86390</v>
      </c>
      <c r="N83" s="3">
        <v>176.10499999999999</v>
      </c>
      <c r="O83" t="s">
        <v>22</v>
      </c>
      <c r="P83" t="s">
        <v>23</v>
      </c>
      <c r="Q83" t="s">
        <v>24</v>
      </c>
      <c r="R83" t="s">
        <v>47</v>
      </c>
      <c r="S83">
        <v>5</v>
      </c>
    </row>
    <row r="84" spans="1:19" x14ac:dyDescent="0.3">
      <c r="A84" s="1">
        <v>39962</v>
      </c>
      <c r="B84">
        <v>2009</v>
      </c>
      <c r="C84" t="s">
        <v>29</v>
      </c>
      <c r="D84" s="4">
        <v>108710</v>
      </c>
      <c r="E84" s="2">
        <v>78833</v>
      </c>
      <c r="F84" t="s">
        <v>19</v>
      </c>
      <c r="G84" t="s">
        <v>20</v>
      </c>
      <c r="H84">
        <v>3</v>
      </c>
      <c r="I84">
        <v>1</v>
      </c>
      <c r="J84">
        <v>1081</v>
      </c>
      <c r="K84" s="5">
        <v>1.0259529999999999E-2</v>
      </c>
      <c r="L84" t="s">
        <v>32</v>
      </c>
      <c r="M84" s="4">
        <v>-29877</v>
      </c>
      <c r="N84" s="3">
        <v>72.926000000000002</v>
      </c>
      <c r="O84" t="s">
        <v>33</v>
      </c>
      <c r="P84" t="s">
        <v>23</v>
      </c>
      <c r="Q84" t="s">
        <v>24</v>
      </c>
      <c r="R84" t="s">
        <v>47</v>
      </c>
      <c r="S84">
        <v>5</v>
      </c>
    </row>
    <row r="85" spans="1:19" x14ac:dyDescent="0.3">
      <c r="A85" s="1">
        <v>39963</v>
      </c>
      <c r="B85">
        <v>2009</v>
      </c>
      <c r="C85" t="s">
        <v>26</v>
      </c>
      <c r="D85" s="4">
        <v>310800</v>
      </c>
      <c r="E85" s="2">
        <v>635000</v>
      </c>
      <c r="F85" t="s">
        <v>19</v>
      </c>
      <c r="G85" t="s">
        <v>20</v>
      </c>
      <c r="H85">
        <v>3</v>
      </c>
      <c r="I85">
        <v>1</v>
      </c>
      <c r="J85">
        <v>923</v>
      </c>
      <c r="K85" s="5">
        <v>1.0259529999999999E-2</v>
      </c>
      <c r="L85" t="s">
        <v>21</v>
      </c>
      <c r="M85" s="4">
        <v>324200</v>
      </c>
      <c r="N85" s="3">
        <v>687.97400000000005</v>
      </c>
      <c r="O85" t="s">
        <v>22</v>
      </c>
      <c r="P85" t="s">
        <v>28</v>
      </c>
      <c r="Q85" t="s">
        <v>24</v>
      </c>
      <c r="R85" t="s">
        <v>47</v>
      </c>
      <c r="S85">
        <v>5</v>
      </c>
    </row>
    <row r="86" spans="1:19" x14ac:dyDescent="0.3">
      <c r="A86" s="1">
        <v>39964</v>
      </c>
      <c r="B86">
        <v>2009</v>
      </c>
      <c r="C86" t="s">
        <v>35</v>
      </c>
      <c r="D86" s="4">
        <v>1577240</v>
      </c>
      <c r="E86" s="2">
        <v>2400000</v>
      </c>
      <c r="F86" t="s">
        <v>19</v>
      </c>
      <c r="G86" t="s">
        <v>20</v>
      </c>
      <c r="H86">
        <v>3</v>
      </c>
      <c r="I86">
        <v>3</v>
      </c>
      <c r="J86">
        <v>1111.6589814177564</v>
      </c>
      <c r="K86" s="5">
        <v>1.0259529999999999E-2</v>
      </c>
      <c r="L86" t="s">
        <v>32</v>
      </c>
      <c r="M86" s="4">
        <v>822760</v>
      </c>
      <c r="N86" s="3">
        <v>2158.9355</v>
      </c>
      <c r="O86" t="s">
        <v>22</v>
      </c>
      <c r="P86" t="s">
        <v>28</v>
      </c>
      <c r="Q86" t="s">
        <v>24</v>
      </c>
      <c r="R86" t="s">
        <v>47</v>
      </c>
      <c r="S86">
        <v>5</v>
      </c>
    </row>
    <row r="87" spans="1:19" x14ac:dyDescent="0.3">
      <c r="A87" s="1">
        <v>39965</v>
      </c>
      <c r="B87">
        <v>2009</v>
      </c>
      <c r="C87" t="s">
        <v>29</v>
      </c>
      <c r="D87" s="4">
        <v>114170</v>
      </c>
      <c r="E87" s="2">
        <v>197500</v>
      </c>
      <c r="F87" t="s">
        <v>19</v>
      </c>
      <c r="G87" t="s">
        <v>20</v>
      </c>
      <c r="H87">
        <v>3</v>
      </c>
      <c r="I87">
        <v>3</v>
      </c>
      <c r="J87">
        <v>1098</v>
      </c>
      <c r="K87" s="5">
        <v>1.0259529999999999E-2</v>
      </c>
      <c r="L87" t="s">
        <v>32</v>
      </c>
      <c r="M87" s="4">
        <v>83330</v>
      </c>
      <c r="N87" s="3">
        <v>179.8725</v>
      </c>
      <c r="O87" t="s">
        <v>22</v>
      </c>
      <c r="P87" t="s">
        <v>23</v>
      </c>
      <c r="Q87" t="s">
        <v>24</v>
      </c>
      <c r="R87" t="s">
        <v>48</v>
      </c>
      <c r="S87">
        <v>6</v>
      </c>
    </row>
    <row r="88" spans="1:19" x14ac:dyDescent="0.3">
      <c r="A88" s="1">
        <v>39968</v>
      </c>
      <c r="B88">
        <v>2009</v>
      </c>
      <c r="C88" t="s">
        <v>35</v>
      </c>
      <c r="D88" s="4">
        <v>1455300</v>
      </c>
      <c r="E88" s="2">
        <v>2200000</v>
      </c>
      <c r="F88" t="s">
        <v>19</v>
      </c>
      <c r="G88" t="s">
        <v>20</v>
      </c>
      <c r="H88">
        <v>3</v>
      </c>
      <c r="I88">
        <v>2</v>
      </c>
      <c r="J88">
        <v>1061</v>
      </c>
      <c r="K88" s="5">
        <v>1.0259529999999999E-2</v>
      </c>
      <c r="L88" t="s">
        <v>32</v>
      </c>
      <c r="M88" s="4">
        <v>744700</v>
      </c>
      <c r="N88" s="3">
        <v>2073.5156000000002</v>
      </c>
      <c r="O88" t="s">
        <v>22</v>
      </c>
      <c r="P88" t="s">
        <v>28</v>
      </c>
      <c r="Q88" t="s">
        <v>24</v>
      </c>
      <c r="R88" t="s">
        <v>48</v>
      </c>
      <c r="S88">
        <v>6</v>
      </c>
    </row>
    <row r="89" spans="1:19" x14ac:dyDescent="0.3">
      <c r="A89" s="1">
        <v>39971</v>
      </c>
      <c r="B89">
        <v>2009</v>
      </c>
      <c r="C89" t="s">
        <v>39</v>
      </c>
      <c r="D89" s="4">
        <v>444584.20699999999</v>
      </c>
      <c r="E89" s="2">
        <v>380000</v>
      </c>
      <c r="F89" t="s">
        <v>19</v>
      </c>
      <c r="G89" t="s">
        <v>20</v>
      </c>
      <c r="H89">
        <v>3</v>
      </c>
      <c r="I89">
        <v>2</v>
      </c>
      <c r="J89">
        <v>1111.6589814177564</v>
      </c>
      <c r="K89" s="5">
        <v>1.0259529999999999E-2</v>
      </c>
      <c r="L89" t="s">
        <v>38</v>
      </c>
      <c r="M89" s="4">
        <v>-64584.207000000002</v>
      </c>
      <c r="N89" s="3">
        <v>341.83139999999997</v>
      </c>
      <c r="O89" t="s">
        <v>33</v>
      </c>
      <c r="P89" t="s">
        <v>24</v>
      </c>
      <c r="Q89" t="s">
        <v>24</v>
      </c>
      <c r="R89" t="s">
        <v>48</v>
      </c>
      <c r="S89">
        <v>6</v>
      </c>
    </row>
    <row r="90" spans="1:19" x14ac:dyDescent="0.3">
      <c r="A90" s="1">
        <v>39975</v>
      </c>
      <c r="B90">
        <v>2009</v>
      </c>
      <c r="C90" t="s">
        <v>39</v>
      </c>
      <c r="D90" s="4">
        <v>341530</v>
      </c>
      <c r="E90" s="2">
        <v>497500</v>
      </c>
      <c r="F90" t="s">
        <v>19</v>
      </c>
      <c r="G90" t="s">
        <v>20</v>
      </c>
      <c r="H90">
        <v>3</v>
      </c>
      <c r="I90">
        <v>3</v>
      </c>
      <c r="J90">
        <v>1078</v>
      </c>
      <c r="K90" s="5">
        <v>1.0259529999999999E-2</v>
      </c>
      <c r="L90" t="s">
        <v>27</v>
      </c>
      <c r="M90" s="4">
        <v>155970</v>
      </c>
      <c r="N90" s="3">
        <v>461.50279999999998</v>
      </c>
      <c r="O90" t="s">
        <v>22</v>
      </c>
      <c r="P90" t="s">
        <v>24</v>
      </c>
      <c r="Q90" t="s">
        <v>24</v>
      </c>
      <c r="R90" t="s">
        <v>48</v>
      </c>
      <c r="S90">
        <v>6</v>
      </c>
    </row>
    <row r="91" spans="1:19" x14ac:dyDescent="0.3">
      <c r="A91" s="1">
        <v>39977</v>
      </c>
      <c r="B91">
        <v>2009</v>
      </c>
      <c r="C91" t="s">
        <v>29</v>
      </c>
      <c r="D91" s="4">
        <v>444584.20699999999</v>
      </c>
      <c r="E91" s="2">
        <v>399000</v>
      </c>
      <c r="F91" t="s">
        <v>30</v>
      </c>
      <c r="G91" t="s">
        <v>31</v>
      </c>
      <c r="H91">
        <v>4</v>
      </c>
      <c r="I91">
        <v>2</v>
      </c>
      <c r="J91">
        <v>1384</v>
      </c>
      <c r="K91" s="5">
        <v>1.0259529999999999E-2</v>
      </c>
      <c r="L91" t="s">
        <v>21</v>
      </c>
      <c r="M91" s="4">
        <v>-45584.207000000002</v>
      </c>
      <c r="N91" s="3">
        <v>288.29480000000001</v>
      </c>
      <c r="O91" t="s">
        <v>33</v>
      </c>
      <c r="P91" t="s">
        <v>24</v>
      </c>
      <c r="Q91" t="s">
        <v>34</v>
      </c>
      <c r="R91" t="s">
        <v>48</v>
      </c>
      <c r="S91">
        <v>6</v>
      </c>
    </row>
    <row r="92" spans="1:19" x14ac:dyDescent="0.3">
      <c r="A92" s="1">
        <v>39979</v>
      </c>
      <c r="B92">
        <v>2009</v>
      </c>
      <c r="C92" t="s">
        <v>29</v>
      </c>
      <c r="D92" s="4">
        <v>176890</v>
      </c>
      <c r="E92" s="2">
        <v>374500</v>
      </c>
      <c r="F92" t="s">
        <v>19</v>
      </c>
      <c r="G92" t="s">
        <v>20</v>
      </c>
      <c r="H92">
        <v>3</v>
      </c>
      <c r="I92">
        <v>2</v>
      </c>
      <c r="J92">
        <v>1046</v>
      </c>
      <c r="K92" s="5">
        <v>1.0259529999999999E-2</v>
      </c>
      <c r="L92" t="s">
        <v>21</v>
      </c>
      <c r="M92" s="4">
        <v>197610</v>
      </c>
      <c r="N92" s="3">
        <v>358.03059999999999</v>
      </c>
      <c r="O92" t="s">
        <v>22</v>
      </c>
      <c r="P92" t="s">
        <v>24</v>
      </c>
      <c r="Q92" t="s">
        <v>24</v>
      </c>
      <c r="R92" t="s">
        <v>48</v>
      </c>
      <c r="S92">
        <v>6</v>
      </c>
    </row>
    <row r="93" spans="1:19" x14ac:dyDescent="0.3">
      <c r="A93" s="1">
        <v>39982</v>
      </c>
      <c r="B93">
        <v>2009</v>
      </c>
      <c r="C93" t="s">
        <v>18</v>
      </c>
      <c r="D93" s="4">
        <v>81900</v>
      </c>
      <c r="E93" s="2">
        <v>234900</v>
      </c>
      <c r="F93" t="s">
        <v>19</v>
      </c>
      <c r="G93" t="s">
        <v>20</v>
      </c>
      <c r="H93">
        <v>3</v>
      </c>
      <c r="I93">
        <v>2</v>
      </c>
      <c r="J93">
        <v>906</v>
      </c>
      <c r="K93" s="5">
        <v>1.0259529999999999E-2</v>
      </c>
      <c r="L93" t="s">
        <v>32</v>
      </c>
      <c r="M93" s="4">
        <v>153000</v>
      </c>
      <c r="N93" s="3">
        <v>259.2715</v>
      </c>
      <c r="O93" t="s">
        <v>22</v>
      </c>
      <c r="P93" t="s">
        <v>24</v>
      </c>
      <c r="Q93" t="s">
        <v>24</v>
      </c>
      <c r="R93" t="s">
        <v>48</v>
      </c>
      <c r="S93">
        <v>6</v>
      </c>
    </row>
    <row r="94" spans="1:19" x14ac:dyDescent="0.3">
      <c r="A94" s="1">
        <v>39983</v>
      </c>
      <c r="B94">
        <v>2009</v>
      </c>
      <c r="C94" t="s">
        <v>29</v>
      </c>
      <c r="D94" s="4">
        <v>72660</v>
      </c>
      <c r="E94" s="2">
        <v>197000</v>
      </c>
      <c r="F94" t="s">
        <v>19</v>
      </c>
      <c r="G94" t="s">
        <v>20</v>
      </c>
      <c r="H94">
        <v>3</v>
      </c>
      <c r="I94">
        <v>2</v>
      </c>
      <c r="J94">
        <v>1051</v>
      </c>
      <c r="K94" s="5">
        <v>1.0259529999999999E-2</v>
      </c>
      <c r="L94" t="s">
        <v>27</v>
      </c>
      <c r="M94" s="4">
        <v>124340</v>
      </c>
      <c r="N94" s="3">
        <v>187.44049999999999</v>
      </c>
      <c r="O94" t="s">
        <v>22</v>
      </c>
      <c r="P94" t="s">
        <v>23</v>
      </c>
      <c r="Q94" t="s">
        <v>24</v>
      </c>
      <c r="R94" t="s">
        <v>48</v>
      </c>
      <c r="S94">
        <v>6</v>
      </c>
    </row>
    <row r="95" spans="1:19" x14ac:dyDescent="0.3">
      <c r="A95" s="1">
        <v>39984</v>
      </c>
      <c r="B95">
        <v>2009</v>
      </c>
      <c r="C95" t="s">
        <v>35</v>
      </c>
      <c r="D95" s="4">
        <v>1274560</v>
      </c>
      <c r="E95" s="2">
        <v>2000000</v>
      </c>
      <c r="F95" t="s">
        <v>19</v>
      </c>
      <c r="G95" t="s">
        <v>20</v>
      </c>
      <c r="H95">
        <v>3</v>
      </c>
      <c r="I95">
        <v>2</v>
      </c>
      <c r="J95">
        <v>1000</v>
      </c>
      <c r="K95" s="5">
        <v>1.0259529999999999E-2</v>
      </c>
      <c r="L95" t="s">
        <v>21</v>
      </c>
      <c r="M95" s="4">
        <v>725440</v>
      </c>
      <c r="N95" s="3">
        <v>2000</v>
      </c>
      <c r="O95" t="s">
        <v>22</v>
      </c>
      <c r="P95" t="s">
        <v>28</v>
      </c>
      <c r="Q95" t="s">
        <v>24</v>
      </c>
      <c r="R95" t="s">
        <v>48</v>
      </c>
      <c r="S95">
        <v>6</v>
      </c>
    </row>
    <row r="96" spans="1:19" x14ac:dyDescent="0.3">
      <c r="A96" s="1">
        <v>39985</v>
      </c>
      <c r="B96">
        <v>2009</v>
      </c>
      <c r="C96" t="s">
        <v>39</v>
      </c>
      <c r="D96" s="4">
        <v>416080</v>
      </c>
      <c r="E96" s="2">
        <v>675000</v>
      </c>
      <c r="F96" t="s">
        <v>19</v>
      </c>
      <c r="G96" t="s">
        <v>20</v>
      </c>
      <c r="H96">
        <v>3</v>
      </c>
      <c r="I96">
        <v>3</v>
      </c>
      <c r="J96">
        <v>1060</v>
      </c>
      <c r="K96" s="5">
        <v>1.0259529999999999E-2</v>
      </c>
      <c r="L96" t="s">
        <v>38</v>
      </c>
      <c r="M96" s="4">
        <v>258920</v>
      </c>
      <c r="N96" s="3">
        <v>636.79250000000002</v>
      </c>
      <c r="O96" t="s">
        <v>22</v>
      </c>
      <c r="P96" t="s">
        <v>28</v>
      </c>
      <c r="Q96" t="s">
        <v>24</v>
      </c>
      <c r="R96" t="s">
        <v>48</v>
      </c>
      <c r="S96">
        <v>6</v>
      </c>
    </row>
    <row r="97" spans="1:19" x14ac:dyDescent="0.3">
      <c r="A97" s="1">
        <v>39986</v>
      </c>
      <c r="B97">
        <v>2009</v>
      </c>
      <c r="C97" t="s">
        <v>29</v>
      </c>
      <c r="D97" s="4">
        <v>117321</v>
      </c>
      <c r="E97" s="2">
        <v>40000</v>
      </c>
      <c r="F97" t="s">
        <v>19</v>
      </c>
      <c r="G97" t="s">
        <v>20</v>
      </c>
      <c r="H97">
        <v>3</v>
      </c>
      <c r="I97">
        <v>2</v>
      </c>
      <c r="J97">
        <v>1074</v>
      </c>
      <c r="K97" s="5">
        <v>1.0259529999999999E-2</v>
      </c>
      <c r="L97" t="s">
        <v>38</v>
      </c>
      <c r="M97" s="4">
        <v>-77321</v>
      </c>
      <c r="N97" s="3">
        <v>37.243899999999996</v>
      </c>
      <c r="O97" t="s">
        <v>33</v>
      </c>
      <c r="P97" t="s">
        <v>23</v>
      </c>
      <c r="Q97" t="s">
        <v>24</v>
      </c>
      <c r="R97" t="s">
        <v>48</v>
      </c>
      <c r="S97">
        <v>6</v>
      </c>
    </row>
    <row r="98" spans="1:19" x14ac:dyDescent="0.3">
      <c r="A98" s="1">
        <v>39990</v>
      </c>
      <c r="B98">
        <v>2009</v>
      </c>
      <c r="C98" t="s">
        <v>26</v>
      </c>
      <c r="D98" s="4">
        <v>444584.20699999999</v>
      </c>
      <c r="E98" s="2">
        <v>570000</v>
      </c>
      <c r="F98" t="s">
        <v>30</v>
      </c>
      <c r="G98" t="s">
        <v>31</v>
      </c>
      <c r="H98">
        <v>4</v>
      </c>
      <c r="I98">
        <v>4</v>
      </c>
      <c r="J98">
        <v>1367</v>
      </c>
      <c r="K98" s="5">
        <v>1.0259529999999999E-2</v>
      </c>
      <c r="L98" t="s">
        <v>32</v>
      </c>
      <c r="M98" s="4">
        <v>125415.79300000001</v>
      </c>
      <c r="N98" s="3">
        <v>416.97149999999999</v>
      </c>
      <c r="O98" t="s">
        <v>22</v>
      </c>
      <c r="P98" t="s">
        <v>24</v>
      </c>
      <c r="Q98" t="s">
        <v>34</v>
      </c>
      <c r="R98" t="s">
        <v>48</v>
      </c>
      <c r="S98">
        <v>6</v>
      </c>
    </row>
    <row r="99" spans="1:19" x14ac:dyDescent="0.3">
      <c r="A99" s="1">
        <v>39991</v>
      </c>
      <c r="B99">
        <v>2009</v>
      </c>
      <c r="C99" t="s">
        <v>18</v>
      </c>
      <c r="D99" s="4">
        <v>36330</v>
      </c>
      <c r="E99" s="2">
        <v>143000</v>
      </c>
      <c r="F99" t="s">
        <v>30</v>
      </c>
      <c r="G99" t="s">
        <v>31</v>
      </c>
      <c r="H99">
        <v>4</v>
      </c>
      <c r="I99">
        <v>3</v>
      </c>
      <c r="J99">
        <v>1399</v>
      </c>
      <c r="K99" s="5">
        <v>1.0259529999999999E-2</v>
      </c>
      <c r="L99" t="s">
        <v>38</v>
      </c>
      <c r="M99" s="4">
        <v>106670</v>
      </c>
      <c r="N99" s="3">
        <v>102.2159</v>
      </c>
      <c r="O99" t="s">
        <v>22</v>
      </c>
      <c r="P99" t="s">
        <v>23</v>
      </c>
      <c r="Q99" t="s">
        <v>34</v>
      </c>
      <c r="R99" t="s">
        <v>48</v>
      </c>
      <c r="S99">
        <v>6</v>
      </c>
    </row>
    <row r="100" spans="1:19" x14ac:dyDescent="0.3">
      <c r="A100" s="1">
        <v>39992</v>
      </c>
      <c r="B100">
        <v>2009</v>
      </c>
      <c r="C100" t="s">
        <v>39</v>
      </c>
      <c r="D100" s="4">
        <v>1052590</v>
      </c>
      <c r="E100" s="2">
        <v>1100000</v>
      </c>
      <c r="F100" t="s">
        <v>19</v>
      </c>
      <c r="G100" t="s">
        <v>20</v>
      </c>
      <c r="H100">
        <v>3</v>
      </c>
      <c r="I100">
        <v>1</v>
      </c>
      <c r="J100">
        <v>936</v>
      </c>
      <c r="K100" s="5">
        <v>1.0259529999999999E-2</v>
      </c>
      <c r="L100" t="s">
        <v>32</v>
      </c>
      <c r="M100" s="4">
        <v>47410</v>
      </c>
      <c r="N100" s="3">
        <v>1175.2137</v>
      </c>
      <c r="O100" t="s">
        <v>22</v>
      </c>
      <c r="P100" t="s">
        <v>28</v>
      </c>
      <c r="Q100" t="s">
        <v>24</v>
      </c>
      <c r="R100" t="s">
        <v>48</v>
      </c>
      <c r="S100">
        <v>6</v>
      </c>
    </row>
    <row r="101" spans="1:19" x14ac:dyDescent="0.3">
      <c r="A101" s="1">
        <v>39996</v>
      </c>
      <c r="B101">
        <v>2009</v>
      </c>
      <c r="C101" t="s">
        <v>39</v>
      </c>
      <c r="D101" s="4">
        <v>394940</v>
      </c>
      <c r="E101" s="2">
        <v>655000</v>
      </c>
      <c r="F101" t="s">
        <v>19</v>
      </c>
      <c r="G101" t="s">
        <v>20</v>
      </c>
      <c r="H101">
        <v>3</v>
      </c>
      <c r="I101">
        <v>1</v>
      </c>
      <c r="J101">
        <v>1004</v>
      </c>
      <c r="K101" s="5">
        <v>1.0259529999999999E-2</v>
      </c>
      <c r="L101" t="s">
        <v>38</v>
      </c>
      <c r="M101" s="4">
        <v>260060</v>
      </c>
      <c r="N101" s="3">
        <v>652.3904</v>
      </c>
      <c r="O101" t="s">
        <v>22</v>
      </c>
      <c r="P101" t="s">
        <v>28</v>
      </c>
      <c r="Q101" t="s">
        <v>24</v>
      </c>
      <c r="R101" t="s">
        <v>49</v>
      </c>
      <c r="S101">
        <v>7</v>
      </c>
    </row>
    <row r="102" spans="1:19" x14ac:dyDescent="0.3">
      <c r="A102" s="1">
        <v>39997</v>
      </c>
      <c r="B102">
        <v>2009</v>
      </c>
      <c r="C102" t="s">
        <v>26</v>
      </c>
      <c r="D102" s="4">
        <v>444584.20699999999</v>
      </c>
      <c r="E102" s="2">
        <v>560000</v>
      </c>
      <c r="F102" t="s">
        <v>19</v>
      </c>
      <c r="G102" t="s">
        <v>20</v>
      </c>
      <c r="H102">
        <v>3</v>
      </c>
      <c r="I102">
        <v>1</v>
      </c>
      <c r="J102">
        <v>978</v>
      </c>
      <c r="K102" s="5">
        <v>1.0259529999999999E-2</v>
      </c>
      <c r="L102" t="s">
        <v>38</v>
      </c>
      <c r="M102" s="4">
        <v>115415.79300000001</v>
      </c>
      <c r="N102" s="3">
        <v>572.59709999999995</v>
      </c>
      <c r="O102" t="s">
        <v>22</v>
      </c>
      <c r="P102" t="s">
        <v>24</v>
      </c>
      <c r="Q102" t="s">
        <v>24</v>
      </c>
      <c r="R102" t="s">
        <v>49</v>
      </c>
      <c r="S102">
        <v>7</v>
      </c>
    </row>
    <row r="103" spans="1:19" x14ac:dyDescent="0.3">
      <c r="A103" s="1">
        <v>39999</v>
      </c>
      <c r="B103">
        <v>2009</v>
      </c>
      <c r="C103" t="s">
        <v>29</v>
      </c>
      <c r="D103" s="4">
        <v>109550</v>
      </c>
      <c r="E103" s="2">
        <v>230000</v>
      </c>
      <c r="F103" t="s">
        <v>19</v>
      </c>
      <c r="G103" t="s">
        <v>20</v>
      </c>
      <c r="H103">
        <v>3</v>
      </c>
      <c r="I103">
        <v>2</v>
      </c>
      <c r="J103">
        <v>1009</v>
      </c>
      <c r="K103" s="5">
        <v>1.0259529999999999E-2</v>
      </c>
      <c r="L103" t="s">
        <v>27</v>
      </c>
      <c r="M103" s="4">
        <v>120450</v>
      </c>
      <c r="N103" s="3">
        <v>227.9485</v>
      </c>
      <c r="O103" t="s">
        <v>22</v>
      </c>
      <c r="P103" t="s">
        <v>24</v>
      </c>
      <c r="Q103" t="s">
        <v>24</v>
      </c>
      <c r="R103" t="s">
        <v>49</v>
      </c>
      <c r="S103">
        <v>7</v>
      </c>
    </row>
    <row r="104" spans="1:19" x14ac:dyDescent="0.3">
      <c r="A104" s="1">
        <v>40000</v>
      </c>
      <c r="B104">
        <v>2009</v>
      </c>
      <c r="C104" t="s">
        <v>39</v>
      </c>
      <c r="D104" s="4">
        <v>1365140</v>
      </c>
      <c r="E104" s="2">
        <v>2650000</v>
      </c>
      <c r="F104" t="s">
        <v>19</v>
      </c>
      <c r="G104" t="s">
        <v>20</v>
      </c>
      <c r="H104">
        <v>3</v>
      </c>
      <c r="I104">
        <v>2</v>
      </c>
      <c r="J104">
        <v>1060</v>
      </c>
      <c r="K104" s="5">
        <v>1.0259529999999999E-2</v>
      </c>
      <c r="L104" t="s">
        <v>32</v>
      </c>
      <c r="M104" s="4">
        <v>1284860</v>
      </c>
      <c r="N104" s="3">
        <v>2500</v>
      </c>
      <c r="O104" t="s">
        <v>22</v>
      </c>
      <c r="P104" t="s">
        <v>28</v>
      </c>
      <c r="Q104" t="s">
        <v>24</v>
      </c>
      <c r="R104" t="s">
        <v>49</v>
      </c>
      <c r="S104">
        <v>7</v>
      </c>
    </row>
    <row r="105" spans="1:19" x14ac:dyDescent="0.3">
      <c r="A105" s="1">
        <v>40003</v>
      </c>
      <c r="B105">
        <v>2009</v>
      </c>
      <c r="C105" t="s">
        <v>35</v>
      </c>
      <c r="D105" s="4">
        <v>3850000</v>
      </c>
      <c r="E105" s="2">
        <v>7400000</v>
      </c>
      <c r="F105" t="s">
        <v>19</v>
      </c>
      <c r="G105" t="s">
        <v>20</v>
      </c>
      <c r="H105">
        <v>3</v>
      </c>
      <c r="I105">
        <v>3</v>
      </c>
      <c r="J105">
        <v>1006</v>
      </c>
      <c r="K105" s="5">
        <v>1.0259529999999999E-2</v>
      </c>
      <c r="L105" t="s">
        <v>21</v>
      </c>
      <c r="M105" s="4">
        <v>3550000</v>
      </c>
      <c r="N105" s="3">
        <v>7355.8648000000003</v>
      </c>
      <c r="O105" t="s">
        <v>22</v>
      </c>
      <c r="P105" t="s">
        <v>28</v>
      </c>
      <c r="Q105" t="s">
        <v>24</v>
      </c>
      <c r="R105" t="s">
        <v>49</v>
      </c>
      <c r="S105">
        <v>7</v>
      </c>
    </row>
    <row r="106" spans="1:19" x14ac:dyDescent="0.3">
      <c r="A106" s="1">
        <v>40004</v>
      </c>
      <c r="B106">
        <v>2009</v>
      </c>
      <c r="C106" t="s">
        <v>29</v>
      </c>
      <c r="D106" s="4">
        <v>126910</v>
      </c>
      <c r="E106" s="2">
        <v>335000</v>
      </c>
      <c r="F106" t="s">
        <v>30</v>
      </c>
      <c r="G106" t="s">
        <v>31</v>
      </c>
      <c r="H106">
        <v>4</v>
      </c>
      <c r="I106">
        <v>4</v>
      </c>
      <c r="J106">
        <v>1111.6589814177564</v>
      </c>
      <c r="K106" s="5">
        <v>1.0259529999999999E-2</v>
      </c>
      <c r="L106" t="s">
        <v>32</v>
      </c>
      <c r="M106" s="4">
        <v>208090</v>
      </c>
      <c r="N106" s="3">
        <v>301.35140000000001</v>
      </c>
      <c r="O106" t="s">
        <v>22</v>
      </c>
      <c r="P106" t="s">
        <v>24</v>
      </c>
      <c r="Q106" t="s">
        <v>24</v>
      </c>
      <c r="R106" t="s">
        <v>49</v>
      </c>
      <c r="S106">
        <v>7</v>
      </c>
    </row>
    <row r="107" spans="1:19" x14ac:dyDescent="0.3">
      <c r="A107" s="1">
        <v>40005</v>
      </c>
      <c r="B107">
        <v>2009</v>
      </c>
      <c r="C107" t="s">
        <v>26</v>
      </c>
      <c r="D107" s="4">
        <v>313810</v>
      </c>
      <c r="E107" s="2">
        <v>605000</v>
      </c>
      <c r="F107" t="s">
        <v>19</v>
      </c>
      <c r="G107" t="s">
        <v>20</v>
      </c>
      <c r="H107">
        <v>3</v>
      </c>
      <c r="I107">
        <v>1</v>
      </c>
      <c r="J107">
        <v>1068</v>
      </c>
      <c r="K107" s="5">
        <v>1.0259529999999999E-2</v>
      </c>
      <c r="L107" t="s">
        <v>21</v>
      </c>
      <c r="M107" s="4">
        <v>291190</v>
      </c>
      <c r="N107" s="3">
        <v>566.47940000000006</v>
      </c>
      <c r="O107" t="s">
        <v>22</v>
      </c>
      <c r="P107" t="s">
        <v>28</v>
      </c>
      <c r="Q107" t="s">
        <v>24</v>
      </c>
      <c r="R107" t="s">
        <v>49</v>
      </c>
      <c r="S107">
        <v>7</v>
      </c>
    </row>
    <row r="108" spans="1:19" x14ac:dyDescent="0.3">
      <c r="A108" s="1">
        <v>40006</v>
      </c>
      <c r="B108">
        <v>2009</v>
      </c>
      <c r="C108" t="s">
        <v>29</v>
      </c>
      <c r="D108" s="4">
        <v>106471</v>
      </c>
      <c r="E108" s="2">
        <v>234600</v>
      </c>
      <c r="F108" t="s">
        <v>19</v>
      </c>
      <c r="G108" t="s">
        <v>20</v>
      </c>
      <c r="H108">
        <v>3</v>
      </c>
      <c r="I108">
        <v>2</v>
      </c>
      <c r="J108">
        <v>1111.6589814177564</v>
      </c>
      <c r="K108" s="5">
        <v>1.0259529999999999E-2</v>
      </c>
      <c r="L108" t="s">
        <v>32</v>
      </c>
      <c r="M108" s="4">
        <v>128129</v>
      </c>
      <c r="N108" s="3">
        <v>211.0359</v>
      </c>
      <c r="O108" t="s">
        <v>22</v>
      </c>
      <c r="P108" t="s">
        <v>24</v>
      </c>
      <c r="Q108" t="s">
        <v>24</v>
      </c>
      <c r="R108" t="s">
        <v>49</v>
      </c>
      <c r="S108">
        <v>7</v>
      </c>
    </row>
    <row r="109" spans="1:19" x14ac:dyDescent="0.3">
      <c r="A109" s="1">
        <v>40007</v>
      </c>
      <c r="B109">
        <v>2009</v>
      </c>
      <c r="C109" t="s">
        <v>39</v>
      </c>
      <c r="D109" s="4">
        <v>611170</v>
      </c>
      <c r="E109" s="2">
        <v>715000</v>
      </c>
      <c r="F109" t="s">
        <v>19</v>
      </c>
      <c r="G109" t="s">
        <v>20</v>
      </c>
      <c r="H109">
        <v>3</v>
      </c>
      <c r="I109">
        <v>1</v>
      </c>
      <c r="J109">
        <v>948</v>
      </c>
      <c r="K109" s="5">
        <v>1.0259529999999999E-2</v>
      </c>
      <c r="L109" t="s">
        <v>21</v>
      </c>
      <c r="M109" s="4">
        <v>103830</v>
      </c>
      <c r="N109" s="3">
        <v>754.21939999999995</v>
      </c>
      <c r="O109" t="s">
        <v>22</v>
      </c>
      <c r="P109" t="s">
        <v>28</v>
      </c>
      <c r="Q109" t="s">
        <v>24</v>
      </c>
      <c r="R109" t="s">
        <v>49</v>
      </c>
      <c r="S109">
        <v>7</v>
      </c>
    </row>
    <row r="110" spans="1:19" x14ac:dyDescent="0.3">
      <c r="A110" s="1">
        <v>40010</v>
      </c>
      <c r="B110">
        <v>2009</v>
      </c>
      <c r="C110" t="s">
        <v>29</v>
      </c>
      <c r="D110" s="4">
        <v>93940</v>
      </c>
      <c r="E110" s="2">
        <v>150000</v>
      </c>
      <c r="F110" t="s">
        <v>19</v>
      </c>
      <c r="G110" t="s">
        <v>20</v>
      </c>
      <c r="H110">
        <v>3</v>
      </c>
      <c r="I110">
        <v>3</v>
      </c>
      <c r="J110">
        <v>1045</v>
      </c>
      <c r="K110" s="5">
        <v>1.0259529999999999E-2</v>
      </c>
      <c r="L110" t="s">
        <v>32</v>
      </c>
      <c r="M110" s="4">
        <v>56060</v>
      </c>
      <c r="N110" s="3">
        <v>143.54069999999999</v>
      </c>
      <c r="O110" t="s">
        <v>22</v>
      </c>
      <c r="P110" t="s">
        <v>23</v>
      </c>
      <c r="Q110" t="s">
        <v>24</v>
      </c>
      <c r="R110" t="s">
        <v>49</v>
      </c>
      <c r="S110">
        <v>7</v>
      </c>
    </row>
    <row r="111" spans="1:19" x14ac:dyDescent="0.3">
      <c r="A111" s="1">
        <v>40012</v>
      </c>
      <c r="B111">
        <v>2009</v>
      </c>
      <c r="C111" t="s">
        <v>35</v>
      </c>
      <c r="D111" s="4">
        <v>1260420</v>
      </c>
      <c r="E111" s="2">
        <v>2300000</v>
      </c>
      <c r="F111" t="s">
        <v>19</v>
      </c>
      <c r="G111" t="s">
        <v>20</v>
      </c>
      <c r="H111">
        <v>3</v>
      </c>
      <c r="I111">
        <v>2</v>
      </c>
      <c r="J111">
        <v>964</v>
      </c>
      <c r="K111" s="5">
        <v>1.0259529999999999E-2</v>
      </c>
      <c r="L111" t="s">
        <v>27</v>
      </c>
      <c r="M111" s="4">
        <v>1039580</v>
      </c>
      <c r="N111" s="3">
        <v>2385.8921</v>
      </c>
      <c r="O111" t="s">
        <v>22</v>
      </c>
      <c r="P111" t="s">
        <v>28</v>
      </c>
      <c r="Q111" t="s">
        <v>24</v>
      </c>
      <c r="R111" t="s">
        <v>49</v>
      </c>
      <c r="S111">
        <v>7</v>
      </c>
    </row>
    <row r="112" spans="1:19" x14ac:dyDescent="0.3">
      <c r="A112" s="1">
        <v>40013</v>
      </c>
      <c r="B112">
        <v>2009</v>
      </c>
      <c r="C112" t="s">
        <v>39</v>
      </c>
      <c r="D112" s="4">
        <v>354480</v>
      </c>
      <c r="E112" s="2">
        <v>500000</v>
      </c>
      <c r="F112" t="s">
        <v>19</v>
      </c>
      <c r="G112" t="s">
        <v>20</v>
      </c>
      <c r="H112">
        <v>3</v>
      </c>
      <c r="I112">
        <v>1</v>
      </c>
      <c r="J112">
        <v>925</v>
      </c>
      <c r="K112" s="5">
        <v>1.0259529999999999E-2</v>
      </c>
      <c r="L112" t="s">
        <v>21</v>
      </c>
      <c r="M112" s="4">
        <v>145520</v>
      </c>
      <c r="N112" s="3">
        <v>540.54049999999995</v>
      </c>
      <c r="O112" t="s">
        <v>22</v>
      </c>
      <c r="P112" t="s">
        <v>24</v>
      </c>
      <c r="Q112" t="s">
        <v>24</v>
      </c>
      <c r="R112" t="s">
        <v>49</v>
      </c>
      <c r="S112">
        <v>7</v>
      </c>
    </row>
    <row r="113" spans="1:19" x14ac:dyDescent="0.3">
      <c r="A113" s="1">
        <v>40017</v>
      </c>
      <c r="B113">
        <v>2009</v>
      </c>
      <c r="C113" t="s">
        <v>26</v>
      </c>
      <c r="D113" s="4">
        <v>266560</v>
      </c>
      <c r="E113" s="2">
        <v>430000</v>
      </c>
      <c r="F113" t="s">
        <v>30</v>
      </c>
      <c r="G113" t="s">
        <v>31</v>
      </c>
      <c r="H113">
        <v>4</v>
      </c>
      <c r="I113">
        <v>4</v>
      </c>
      <c r="J113">
        <v>1254</v>
      </c>
      <c r="K113" s="5">
        <v>1.0259529999999999E-2</v>
      </c>
      <c r="L113" t="s">
        <v>21</v>
      </c>
      <c r="M113" s="4">
        <v>163440</v>
      </c>
      <c r="N113" s="3">
        <v>342.90269999999998</v>
      </c>
      <c r="O113" t="s">
        <v>22</v>
      </c>
      <c r="P113" t="s">
        <v>24</v>
      </c>
      <c r="Q113" t="s">
        <v>24</v>
      </c>
      <c r="R113" t="s">
        <v>49</v>
      </c>
      <c r="S113">
        <v>7</v>
      </c>
    </row>
    <row r="114" spans="1:19" x14ac:dyDescent="0.3">
      <c r="A114" s="1">
        <v>40018</v>
      </c>
      <c r="B114">
        <v>2009</v>
      </c>
      <c r="C114" t="s">
        <v>29</v>
      </c>
      <c r="D114" s="4">
        <v>112490</v>
      </c>
      <c r="E114" s="2">
        <v>259000</v>
      </c>
      <c r="F114" t="s">
        <v>30</v>
      </c>
      <c r="G114" t="s">
        <v>31</v>
      </c>
      <c r="H114">
        <v>4</v>
      </c>
      <c r="I114">
        <v>3</v>
      </c>
      <c r="J114">
        <v>1296</v>
      </c>
      <c r="K114" s="5">
        <v>1.0259529999999999E-2</v>
      </c>
      <c r="L114" t="s">
        <v>27</v>
      </c>
      <c r="M114" s="4">
        <v>146510</v>
      </c>
      <c r="N114" s="3">
        <v>199.84569999999999</v>
      </c>
      <c r="O114" t="s">
        <v>22</v>
      </c>
      <c r="P114" t="s">
        <v>24</v>
      </c>
      <c r="Q114" t="s">
        <v>24</v>
      </c>
      <c r="R114" t="s">
        <v>49</v>
      </c>
      <c r="S114">
        <v>7</v>
      </c>
    </row>
    <row r="115" spans="1:19" x14ac:dyDescent="0.3">
      <c r="A115" s="1">
        <v>40019</v>
      </c>
      <c r="B115">
        <v>2009</v>
      </c>
      <c r="C115" t="s">
        <v>35</v>
      </c>
      <c r="D115" s="4">
        <v>4686290</v>
      </c>
      <c r="E115" s="2">
        <v>11200000</v>
      </c>
      <c r="F115" t="s">
        <v>19</v>
      </c>
      <c r="G115" t="s">
        <v>20</v>
      </c>
      <c r="H115">
        <v>3</v>
      </c>
      <c r="I115">
        <v>1</v>
      </c>
      <c r="J115">
        <v>969</v>
      </c>
      <c r="K115" s="5">
        <v>1.0259529999999999E-2</v>
      </c>
      <c r="L115" t="s">
        <v>32</v>
      </c>
      <c r="M115" s="4">
        <v>6513710</v>
      </c>
      <c r="N115" s="3">
        <v>11558.307500000001</v>
      </c>
      <c r="O115" t="s">
        <v>22</v>
      </c>
      <c r="P115" t="s">
        <v>28</v>
      </c>
      <c r="Q115" t="s">
        <v>24</v>
      </c>
      <c r="R115" t="s">
        <v>49</v>
      </c>
      <c r="S115">
        <v>7</v>
      </c>
    </row>
    <row r="116" spans="1:19" x14ac:dyDescent="0.3">
      <c r="A116" s="1">
        <v>40020</v>
      </c>
      <c r="B116">
        <v>2009</v>
      </c>
      <c r="C116" t="s">
        <v>39</v>
      </c>
      <c r="D116" s="4">
        <v>444584.20699999999</v>
      </c>
      <c r="E116" s="2">
        <v>744000</v>
      </c>
      <c r="F116" t="s">
        <v>19</v>
      </c>
      <c r="G116" t="s">
        <v>20</v>
      </c>
      <c r="H116">
        <v>3</v>
      </c>
      <c r="I116">
        <v>1</v>
      </c>
      <c r="J116">
        <v>1050</v>
      </c>
      <c r="K116" s="5">
        <v>1.0259529999999999E-2</v>
      </c>
      <c r="L116" t="s">
        <v>27</v>
      </c>
      <c r="M116" s="4">
        <v>299415.79300000001</v>
      </c>
      <c r="N116" s="3">
        <v>708.57140000000004</v>
      </c>
      <c r="O116" t="s">
        <v>22</v>
      </c>
      <c r="P116" t="s">
        <v>28</v>
      </c>
      <c r="Q116" t="s">
        <v>24</v>
      </c>
      <c r="R116" t="s">
        <v>49</v>
      </c>
      <c r="S116">
        <v>7</v>
      </c>
    </row>
    <row r="117" spans="1:19" x14ac:dyDescent="0.3">
      <c r="A117" s="1">
        <v>40021</v>
      </c>
      <c r="B117">
        <v>2009</v>
      </c>
      <c r="C117" t="s">
        <v>26</v>
      </c>
      <c r="D117" s="4">
        <v>256130</v>
      </c>
      <c r="E117" s="2">
        <v>555000</v>
      </c>
      <c r="F117" t="s">
        <v>19</v>
      </c>
      <c r="G117" t="s">
        <v>20</v>
      </c>
      <c r="H117">
        <v>3</v>
      </c>
      <c r="I117">
        <v>2</v>
      </c>
      <c r="J117">
        <v>1038</v>
      </c>
      <c r="K117" s="5">
        <v>1.0259529999999999E-2</v>
      </c>
      <c r="L117" t="s">
        <v>32</v>
      </c>
      <c r="M117" s="4">
        <v>298870</v>
      </c>
      <c r="N117" s="3">
        <v>534.68209999999999</v>
      </c>
      <c r="O117" t="s">
        <v>22</v>
      </c>
      <c r="P117" t="s">
        <v>24</v>
      </c>
      <c r="Q117" t="s">
        <v>24</v>
      </c>
      <c r="R117" t="s">
        <v>49</v>
      </c>
      <c r="S117">
        <v>7</v>
      </c>
    </row>
    <row r="118" spans="1:19" x14ac:dyDescent="0.3">
      <c r="A118" s="1">
        <v>40026</v>
      </c>
      <c r="B118">
        <v>2009</v>
      </c>
      <c r="C118" t="s">
        <v>29</v>
      </c>
      <c r="D118" s="4">
        <v>112420</v>
      </c>
      <c r="E118" s="2">
        <v>250000</v>
      </c>
      <c r="F118" t="s">
        <v>19</v>
      </c>
      <c r="G118" t="s">
        <v>20</v>
      </c>
      <c r="H118">
        <v>3</v>
      </c>
      <c r="I118">
        <v>2</v>
      </c>
      <c r="J118">
        <v>992</v>
      </c>
      <c r="K118" s="5">
        <v>1.0259529999999999E-2</v>
      </c>
      <c r="L118" t="s">
        <v>27</v>
      </c>
      <c r="M118" s="4">
        <v>137580</v>
      </c>
      <c r="N118" s="3">
        <v>252.01609999999999</v>
      </c>
      <c r="O118" t="s">
        <v>22</v>
      </c>
      <c r="P118" t="s">
        <v>24</v>
      </c>
      <c r="Q118" t="s">
        <v>24</v>
      </c>
      <c r="R118" t="s">
        <v>50</v>
      </c>
      <c r="S118">
        <v>8</v>
      </c>
    </row>
    <row r="119" spans="1:19" x14ac:dyDescent="0.3">
      <c r="A119" s="1">
        <v>40028</v>
      </c>
      <c r="B119">
        <v>2009</v>
      </c>
      <c r="C119" t="s">
        <v>40</v>
      </c>
      <c r="D119" s="4">
        <v>74970</v>
      </c>
      <c r="E119" s="2">
        <v>189000</v>
      </c>
      <c r="F119" t="s">
        <v>19</v>
      </c>
      <c r="G119" t="s">
        <v>20</v>
      </c>
      <c r="H119">
        <v>3</v>
      </c>
      <c r="I119">
        <v>1</v>
      </c>
      <c r="J119">
        <v>912</v>
      </c>
      <c r="K119" s="5">
        <v>1.0259529999999999E-2</v>
      </c>
      <c r="L119" t="s">
        <v>27</v>
      </c>
      <c r="M119" s="4">
        <v>114030</v>
      </c>
      <c r="N119" s="3">
        <v>207.23679999999999</v>
      </c>
      <c r="O119" t="s">
        <v>22</v>
      </c>
      <c r="P119" t="s">
        <v>23</v>
      </c>
      <c r="Q119" t="s">
        <v>24</v>
      </c>
      <c r="R119" t="s">
        <v>50</v>
      </c>
      <c r="S119">
        <v>8</v>
      </c>
    </row>
    <row r="120" spans="1:19" x14ac:dyDescent="0.3">
      <c r="A120" s="1">
        <v>40031</v>
      </c>
      <c r="B120">
        <v>2009</v>
      </c>
      <c r="C120" t="s">
        <v>40</v>
      </c>
      <c r="D120" s="4">
        <v>81760</v>
      </c>
      <c r="E120" s="2">
        <v>150000</v>
      </c>
      <c r="F120" t="s">
        <v>19</v>
      </c>
      <c r="G120" t="s">
        <v>20</v>
      </c>
      <c r="H120">
        <v>3</v>
      </c>
      <c r="I120">
        <v>2</v>
      </c>
      <c r="J120">
        <v>966</v>
      </c>
      <c r="K120" s="5">
        <v>1.0259529999999999E-2</v>
      </c>
      <c r="L120" t="s">
        <v>32</v>
      </c>
      <c r="M120" s="4">
        <v>68240</v>
      </c>
      <c r="N120" s="3">
        <v>155.27950000000001</v>
      </c>
      <c r="O120" t="s">
        <v>22</v>
      </c>
      <c r="P120" t="s">
        <v>23</v>
      </c>
      <c r="Q120" t="s">
        <v>24</v>
      </c>
      <c r="R120" t="s">
        <v>50</v>
      </c>
      <c r="S120">
        <v>8</v>
      </c>
    </row>
    <row r="121" spans="1:19" x14ac:dyDescent="0.3">
      <c r="A121" s="1">
        <v>40032</v>
      </c>
      <c r="B121">
        <v>2009</v>
      </c>
      <c r="C121" t="s">
        <v>35</v>
      </c>
      <c r="D121" s="4">
        <v>591500</v>
      </c>
      <c r="E121" s="2">
        <v>697500</v>
      </c>
      <c r="F121" t="s">
        <v>19</v>
      </c>
      <c r="G121" t="s">
        <v>20</v>
      </c>
      <c r="H121">
        <v>3</v>
      </c>
      <c r="I121">
        <v>3</v>
      </c>
      <c r="J121">
        <v>1099</v>
      </c>
      <c r="K121" s="5">
        <v>1.0259529999999999E-2</v>
      </c>
      <c r="L121" t="s">
        <v>38</v>
      </c>
      <c r="M121" s="4">
        <v>106000</v>
      </c>
      <c r="N121" s="3">
        <v>634.66790000000003</v>
      </c>
      <c r="O121" t="s">
        <v>22</v>
      </c>
      <c r="P121" t="s">
        <v>28</v>
      </c>
      <c r="Q121" t="s">
        <v>24</v>
      </c>
      <c r="R121" t="s">
        <v>50</v>
      </c>
      <c r="S121">
        <v>8</v>
      </c>
    </row>
    <row r="122" spans="1:19" x14ac:dyDescent="0.3">
      <c r="A122" s="1">
        <v>40033</v>
      </c>
      <c r="B122">
        <v>2009</v>
      </c>
      <c r="C122" t="s">
        <v>29</v>
      </c>
      <c r="D122" s="4">
        <v>444584.20699999999</v>
      </c>
      <c r="E122" s="2">
        <v>461000</v>
      </c>
      <c r="F122" t="s">
        <v>30</v>
      </c>
      <c r="G122" t="s">
        <v>31</v>
      </c>
      <c r="H122">
        <v>4</v>
      </c>
      <c r="I122">
        <v>3</v>
      </c>
      <c r="J122">
        <v>1404</v>
      </c>
      <c r="K122" s="5">
        <v>1.0259529999999999E-2</v>
      </c>
      <c r="L122" t="s">
        <v>38</v>
      </c>
      <c r="M122" s="4">
        <v>16415.793000000001</v>
      </c>
      <c r="N122" s="3">
        <v>328.3476</v>
      </c>
      <c r="O122" t="s">
        <v>22</v>
      </c>
      <c r="P122" t="s">
        <v>24</v>
      </c>
      <c r="Q122" t="s">
        <v>34</v>
      </c>
      <c r="R122" t="s">
        <v>50</v>
      </c>
      <c r="S122">
        <v>8</v>
      </c>
    </row>
    <row r="123" spans="1:19" x14ac:dyDescent="0.3">
      <c r="A123" s="1">
        <v>40034</v>
      </c>
      <c r="B123">
        <v>2009</v>
      </c>
      <c r="C123" t="s">
        <v>40</v>
      </c>
      <c r="D123" s="4">
        <v>290430</v>
      </c>
      <c r="E123" s="2">
        <v>433000</v>
      </c>
      <c r="F123" t="s">
        <v>19</v>
      </c>
      <c r="G123" t="s">
        <v>20</v>
      </c>
      <c r="H123">
        <v>3</v>
      </c>
      <c r="I123">
        <v>2</v>
      </c>
      <c r="J123">
        <v>996</v>
      </c>
      <c r="K123" s="5">
        <v>1.0259529999999999E-2</v>
      </c>
      <c r="L123" t="s">
        <v>38</v>
      </c>
      <c r="M123" s="4">
        <v>142570</v>
      </c>
      <c r="N123" s="3">
        <v>434.73899999999998</v>
      </c>
      <c r="O123" t="s">
        <v>22</v>
      </c>
      <c r="P123" t="s">
        <v>24</v>
      </c>
      <c r="Q123" t="s">
        <v>24</v>
      </c>
      <c r="R123" t="s">
        <v>50</v>
      </c>
      <c r="S123">
        <v>8</v>
      </c>
    </row>
    <row r="124" spans="1:19" x14ac:dyDescent="0.3">
      <c r="A124" s="1">
        <v>40035</v>
      </c>
      <c r="B124">
        <v>2009</v>
      </c>
      <c r="C124" t="s">
        <v>26</v>
      </c>
      <c r="D124" s="4">
        <v>269360</v>
      </c>
      <c r="E124" s="2">
        <v>550000</v>
      </c>
      <c r="F124" t="s">
        <v>30</v>
      </c>
      <c r="G124" t="s">
        <v>31</v>
      </c>
      <c r="H124">
        <v>4</v>
      </c>
      <c r="I124">
        <v>4</v>
      </c>
      <c r="J124">
        <v>1245</v>
      </c>
      <c r="K124" s="5">
        <v>1.0259529999999999E-2</v>
      </c>
      <c r="L124" t="s">
        <v>21</v>
      </c>
      <c r="M124" s="4">
        <v>280640</v>
      </c>
      <c r="N124" s="3">
        <v>441.76710000000003</v>
      </c>
      <c r="O124" t="s">
        <v>22</v>
      </c>
      <c r="P124" t="s">
        <v>24</v>
      </c>
      <c r="Q124" t="s">
        <v>24</v>
      </c>
      <c r="R124" t="s">
        <v>50</v>
      </c>
      <c r="S124">
        <v>8</v>
      </c>
    </row>
    <row r="125" spans="1:19" x14ac:dyDescent="0.3">
      <c r="A125" s="1">
        <v>40038</v>
      </c>
      <c r="B125">
        <v>2009</v>
      </c>
      <c r="C125" t="s">
        <v>26</v>
      </c>
      <c r="D125" s="4">
        <v>420210</v>
      </c>
      <c r="E125" s="2">
        <v>795100</v>
      </c>
      <c r="F125" t="s">
        <v>19</v>
      </c>
      <c r="G125" t="s">
        <v>20</v>
      </c>
      <c r="H125">
        <v>3</v>
      </c>
      <c r="I125">
        <v>2</v>
      </c>
      <c r="J125">
        <v>1111.6589814177564</v>
      </c>
      <c r="K125" s="5">
        <v>1.0259529999999999E-2</v>
      </c>
      <c r="L125" t="s">
        <v>27</v>
      </c>
      <c r="M125" s="4">
        <v>374890</v>
      </c>
      <c r="N125" s="3">
        <v>715.2373</v>
      </c>
      <c r="O125" t="s">
        <v>22</v>
      </c>
      <c r="P125" t="s">
        <v>28</v>
      </c>
      <c r="Q125" t="s">
        <v>24</v>
      </c>
      <c r="R125" t="s">
        <v>50</v>
      </c>
      <c r="S125">
        <v>8</v>
      </c>
    </row>
    <row r="126" spans="1:19" x14ac:dyDescent="0.3">
      <c r="A126" s="1">
        <v>40040</v>
      </c>
      <c r="B126">
        <v>2009</v>
      </c>
      <c r="C126" t="s">
        <v>29</v>
      </c>
      <c r="D126" s="4">
        <v>109060</v>
      </c>
      <c r="E126" s="2">
        <v>155000</v>
      </c>
      <c r="F126" t="s">
        <v>19</v>
      </c>
      <c r="G126" t="s">
        <v>20</v>
      </c>
      <c r="H126">
        <v>3</v>
      </c>
      <c r="I126">
        <v>1</v>
      </c>
      <c r="J126">
        <v>934</v>
      </c>
      <c r="K126" s="5">
        <v>1.0259529999999999E-2</v>
      </c>
      <c r="L126" t="s">
        <v>38</v>
      </c>
      <c r="M126" s="4">
        <v>45940</v>
      </c>
      <c r="N126" s="3">
        <v>165.9529</v>
      </c>
      <c r="O126" t="s">
        <v>22</v>
      </c>
      <c r="P126" t="s">
        <v>23</v>
      </c>
      <c r="Q126" t="s">
        <v>24</v>
      </c>
      <c r="R126" t="s">
        <v>50</v>
      </c>
      <c r="S126">
        <v>8</v>
      </c>
    </row>
    <row r="127" spans="1:19" x14ac:dyDescent="0.3">
      <c r="A127" s="1">
        <v>40042</v>
      </c>
      <c r="B127">
        <v>2009</v>
      </c>
      <c r="C127" t="s">
        <v>26</v>
      </c>
      <c r="D127" s="4">
        <v>257110</v>
      </c>
      <c r="E127" s="2">
        <v>580000</v>
      </c>
      <c r="F127" t="s">
        <v>30</v>
      </c>
      <c r="G127" t="s">
        <v>31</v>
      </c>
      <c r="H127">
        <v>4</v>
      </c>
      <c r="I127">
        <v>2</v>
      </c>
      <c r="J127">
        <v>1420</v>
      </c>
      <c r="K127" s="5">
        <v>1.0259529999999999E-2</v>
      </c>
      <c r="L127" t="s">
        <v>21</v>
      </c>
      <c r="M127" s="4">
        <v>322890</v>
      </c>
      <c r="N127" s="3">
        <v>408.45069999999998</v>
      </c>
      <c r="O127" t="s">
        <v>22</v>
      </c>
      <c r="P127" t="s">
        <v>24</v>
      </c>
      <c r="Q127" t="s">
        <v>34</v>
      </c>
      <c r="R127" t="s">
        <v>50</v>
      </c>
      <c r="S127">
        <v>8</v>
      </c>
    </row>
    <row r="128" spans="1:19" x14ac:dyDescent="0.3">
      <c r="A128" s="1">
        <v>40045</v>
      </c>
      <c r="B128">
        <v>2009</v>
      </c>
      <c r="C128" t="s">
        <v>39</v>
      </c>
      <c r="D128" s="4">
        <v>2060240</v>
      </c>
      <c r="E128" s="2">
        <v>3000000</v>
      </c>
      <c r="F128" t="s">
        <v>19</v>
      </c>
      <c r="G128" t="s">
        <v>20</v>
      </c>
      <c r="H128">
        <v>3</v>
      </c>
      <c r="I128">
        <v>2</v>
      </c>
      <c r="J128">
        <v>1070</v>
      </c>
      <c r="K128" s="5">
        <v>1.0259529999999999E-2</v>
      </c>
      <c r="L128" t="s">
        <v>38</v>
      </c>
      <c r="M128" s="4">
        <v>939760</v>
      </c>
      <c r="N128" s="3">
        <v>2803.7383</v>
      </c>
      <c r="O128" t="s">
        <v>22</v>
      </c>
      <c r="P128" t="s">
        <v>28</v>
      </c>
      <c r="Q128" t="s">
        <v>24</v>
      </c>
      <c r="R128" t="s">
        <v>50</v>
      </c>
      <c r="S128">
        <v>8</v>
      </c>
    </row>
    <row r="129" spans="1:19" x14ac:dyDescent="0.3">
      <c r="A129" s="1">
        <v>40046</v>
      </c>
      <c r="B129">
        <v>2009</v>
      </c>
      <c r="C129" t="s">
        <v>39</v>
      </c>
      <c r="D129" s="4">
        <v>924210</v>
      </c>
      <c r="E129" s="2">
        <v>1237500</v>
      </c>
      <c r="F129" t="s">
        <v>19</v>
      </c>
      <c r="G129" t="s">
        <v>20</v>
      </c>
      <c r="H129">
        <v>3</v>
      </c>
      <c r="I129">
        <v>3</v>
      </c>
      <c r="J129">
        <v>1033</v>
      </c>
      <c r="K129" s="5">
        <v>1.0259529999999999E-2</v>
      </c>
      <c r="L129" t="s">
        <v>21</v>
      </c>
      <c r="M129" s="4">
        <v>313290</v>
      </c>
      <c r="N129" s="3">
        <v>1197.9671000000001</v>
      </c>
      <c r="O129" t="s">
        <v>22</v>
      </c>
      <c r="P129" t="s">
        <v>28</v>
      </c>
      <c r="Q129" t="s">
        <v>24</v>
      </c>
      <c r="R129" t="s">
        <v>50</v>
      </c>
      <c r="S129">
        <v>8</v>
      </c>
    </row>
    <row r="130" spans="1:19" x14ac:dyDescent="0.3">
      <c r="A130" s="1">
        <v>40047</v>
      </c>
      <c r="B130">
        <v>2009</v>
      </c>
      <c r="C130" t="s">
        <v>18</v>
      </c>
      <c r="D130" s="4">
        <v>444584.20699999999</v>
      </c>
      <c r="E130" s="2">
        <v>219900</v>
      </c>
      <c r="F130" t="s">
        <v>19</v>
      </c>
      <c r="G130" t="s">
        <v>20</v>
      </c>
      <c r="H130">
        <v>3</v>
      </c>
      <c r="I130">
        <v>3</v>
      </c>
      <c r="J130">
        <v>915</v>
      </c>
      <c r="K130" s="5">
        <v>1.0259529999999999E-2</v>
      </c>
      <c r="L130" t="s">
        <v>38</v>
      </c>
      <c r="M130" s="4">
        <v>-224684.20699999999</v>
      </c>
      <c r="N130" s="3">
        <v>240.3279</v>
      </c>
      <c r="O130" t="s">
        <v>33</v>
      </c>
      <c r="P130" t="s">
        <v>24</v>
      </c>
      <c r="Q130" t="s">
        <v>24</v>
      </c>
      <c r="R130" t="s">
        <v>50</v>
      </c>
      <c r="S130">
        <v>8</v>
      </c>
    </row>
    <row r="131" spans="1:19" x14ac:dyDescent="0.3">
      <c r="A131" s="1">
        <v>40048</v>
      </c>
      <c r="B131">
        <v>2009</v>
      </c>
      <c r="C131" t="s">
        <v>18</v>
      </c>
      <c r="D131" s="4">
        <v>73780</v>
      </c>
      <c r="E131" s="2">
        <v>81450</v>
      </c>
      <c r="F131" t="s">
        <v>19</v>
      </c>
      <c r="G131" t="s">
        <v>20</v>
      </c>
      <c r="H131">
        <v>3</v>
      </c>
      <c r="I131">
        <v>3</v>
      </c>
      <c r="J131">
        <v>991</v>
      </c>
      <c r="K131" s="5">
        <v>1.0259529999999999E-2</v>
      </c>
      <c r="L131" t="s">
        <v>32</v>
      </c>
      <c r="M131" s="4">
        <v>7670</v>
      </c>
      <c r="N131" s="3">
        <v>82.189700000000002</v>
      </c>
      <c r="O131" t="s">
        <v>22</v>
      </c>
      <c r="P131" t="s">
        <v>23</v>
      </c>
      <c r="Q131" t="s">
        <v>24</v>
      </c>
      <c r="R131" t="s">
        <v>50</v>
      </c>
      <c r="S131">
        <v>8</v>
      </c>
    </row>
    <row r="132" spans="1:19" x14ac:dyDescent="0.3">
      <c r="A132" s="1">
        <v>40049</v>
      </c>
      <c r="B132">
        <v>2009</v>
      </c>
      <c r="C132" t="s">
        <v>18</v>
      </c>
      <c r="D132" s="4">
        <v>79380</v>
      </c>
      <c r="E132" s="2">
        <v>186000</v>
      </c>
      <c r="F132" t="s">
        <v>19</v>
      </c>
      <c r="G132" t="s">
        <v>20</v>
      </c>
      <c r="H132">
        <v>3</v>
      </c>
      <c r="I132">
        <v>3</v>
      </c>
      <c r="J132">
        <v>940</v>
      </c>
      <c r="K132" s="5">
        <v>1.0259529999999999E-2</v>
      </c>
      <c r="L132" t="s">
        <v>21</v>
      </c>
      <c r="M132" s="4">
        <v>106620</v>
      </c>
      <c r="N132" s="3">
        <v>197.8723</v>
      </c>
      <c r="O132" t="s">
        <v>22</v>
      </c>
      <c r="P132" t="s">
        <v>23</v>
      </c>
      <c r="Q132" t="s">
        <v>24</v>
      </c>
      <c r="R132" t="s">
        <v>50</v>
      </c>
      <c r="S132">
        <v>8</v>
      </c>
    </row>
    <row r="133" spans="1:19" x14ac:dyDescent="0.3">
      <c r="A133" s="1">
        <v>40052</v>
      </c>
      <c r="B133">
        <v>2009</v>
      </c>
      <c r="C133" t="s">
        <v>29</v>
      </c>
      <c r="D133" s="4">
        <v>131574</v>
      </c>
      <c r="E133" s="2">
        <v>175000</v>
      </c>
      <c r="F133" t="s">
        <v>19</v>
      </c>
      <c r="G133" t="s">
        <v>20</v>
      </c>
      <c r="H133">
        <v>3</v>
      </c>
      <c r="I133">
        <v>2</v>
      </c>
      <c r="J133">
        <v>1053</v>
      </c>
      <c r="K133" s="5">
        <v>1.0259529999999999E-2</v>
      </c>
      <c r="L133" t="s">
        <v>21</v>
      </c>
      <c r="M133" s="4">
        <v>43426</v>
      </c>
      <c r="N133" s="3">
        <v>166.1918</v>
      </c>
      <c r="O133" t="s">
        <v>22</v>
      </c>
      <c r="P133" t="s">
        <v>23</v>
      </c>
      <c r="Q133" t="s">
        <v>24</v>
      </c>
      <c r="R133" t="s">
        <v>50</v>
      </c>
      <c r="S133">
        <v>8</v>
      </c>
    </row>
    <row r="134" spans="1:19" x14ac:dyDescent="0.3">
      <c r="A134" s="1">
        <v>40053</v>
      </c>
      <c r="B134">
        <v>2009</v>
      </c>
      <c r="C134" t="s">
        <v>29</v>
      </c>
      <c r="D134" s="4">
        <v>130410</v>
      </c>
      <c r="E134" s="2">
        <v>282500</v>
      </c>
      <c r="F134" t="s">
        <v>19</v>
      </c>
      <c r="G134" t="s">
        <v>20</v>
      </c>
      <c r="H134">
        <v>3</v>
      </c>
      <c r="I134">
        <v>2</v>
      </c>
      <c r="J134">
        <v>1050</v>
      </c>
      <c r="K134" s="5">
        <v>1.0259529999999999E-2</v>
      </c>
      <c r="L134" t="s">
        <v>32</v>
      </c>
      <c r="M134" s="4">
        <v>152090</v>
      </c>
      <c r="N134" s="3">
        <v>269.04759999999999</v>
      </c>
      <c r="O134" t="s">
        <v>22</v>
      </c>
      <c r="P134" t="s">
        <v>24</v>
      </c>
      <c r="Q134" t="s">
        <v>24</v>
      </c>
      <c r="R134" t="s">
        <v>50</v>
      </c>
      <c r="S134">
        <v>8</v>
      </c>
    </row>
    <row r="135" spans="1:19" x14ac:dyDescent="0.3">
      <c r="A135" s="1">
        <v>40054</v>
      </c>
      <c r="B135">
        <v>2009</v>
      </c>
      <c r="C135" t="s">
        <v>29</v>
      </c>
      <c r="D135" s="4">
        <v>47040</v>
      </c>
      <c r="E135" s="2">
        <v>256000</v>
      </c>
      <c r="F135" t="s">
        <v>36</v>
      </c>
      <c r="G135" t="s">
        <v>37</v>
      </c>
      <c r="H135">
        <v>6</v>
      </c>
      <c r="I135">
        <v>4</v>
      </c>
      <c r="J135">
        <v>1811</v>
      </c>
      <c r="K135" s="5">
        <v>1.0259529999999999E-2</v>
      </c>
      <c r="L135" t="s">
        <v>27</v>
      </c>
      <c r="M135" s="4">
        <v>208960</v>
      </c>
      <c r="N135" s="3">
        <v>141.35839999999999</v>
      </c>
      <c r="O135" t="s">
        <v>22</v>
      </c>
      <c r="P135" t="s">
        <v>24</v>
      </c>
      <c r="Q135" t="s">
        <v>34</v>
      </c>
      <c r="R135" t="s">
        <v>50</v>
      </c>
      <c r="S135">
        <v>8</v>
      </c>
    </row>
    <row r="136" spans="1:19" x14ac:dyDescent="0.3">
      <c r="A136" s="1">
        <v>40055</v>
      </c>
      <c r="B136">
        <v>2009</v>
      </c>
      <c r="C136" t="s">
        <v>29</v>
      </c>
      <c r="D136" s="4">
        <v>46340</v>
      </c>
      <c r="E136" s="2">
        <v>113500</v>
      </c>
      <c r="F136" t="s">
        <v>19</v>
      </c>
      <c r="G136" t="s">
        <v>20</v>
      </c>
      <c r="H136">
        <v>3</v>
      </c>
      <c r="I136">
        <v>3</v>
      </c>
      <c r="J136">
        <v>1044</v>
      </c>
      <c r="K136" s="5">
        <v>1.0259529999999999E-2</v>
      </c>
      <c r="L136" t="s">
        <v>32</v>
      </c>
      <c r="M136" s="4">
        <v>67160</v>
      </c>
      <c r="N136" s="3">
        <v>108.7165</v>
      </c>
      <c r="O136" t="s">
        <v>22</v>
      </c>
      <c r="P136" t="s">
        <v>23</v>
      </c>
      <c r="Q136" t="s">
        <v>24</v>
      </c>
      <c r="R136" t="s">
        <v>50</v>
      </c>
      <c r="S136">
        <v>8</v>
      </c>
    </row>
    <row r="137" spans="1:19" x14ac:dyDescent="0.3">
      <c r="A137" s="1">
        <v>40060</v>
      </c>
      <c r="B137">
        <v>2009</v>
      </c>
      <c r="C137" t="s">
        <v>39</v>
      </c>
      <c r="D137" s="4">
        <v>1351000</v>
      </c>
      <c r="E137" s="2">
        <v>1999000</v>
      </c>
      <c r="F137" t="s">
        <v>19</v>
      </c>
      <c r="G137" t="s">
        <v>20</v>
      </c>
      <c r="H137">
        <v>3</v>
      </c>
      <c r="I137">
        <v>2</v>
      </c>
      <c r="J137">
        <v>1111.6589814177564</v>
      </c>
      <c r="K137" s="5">
        <v>1.0259529999999999E-2</v>
      </c>
      <c r="L137" t="s">
        <v>32</v>
      </c>
      <c r="M137" s="4">
        <v>648000</v>
      </c>
      <c r="N137" s="3">
        <v>1798.2132999999999</v>
      </c>
      <c r="O137" t="s">
        <v>22</v>
      </c>
      <c r="P137" t="s">
        <v>28</v>
      </c>
      <c r="Q137" t="s">
        <v>24</v>
      </c>
      <c r="R137" t="s">
        <v>51</v>
      </c>
      <c r="S137">
        <v>9</v>
      </c>
    </row>
    <row r="138" spans="1:19" x14ac:dyDescent="0.3">
      <c r="A138" s="1">
        <v>40061</v>
      </c>
      <c r="B138">
        <v>2009</v>
      </c>
      <c r="C138" t="s">
        <v>40</v>
      </c>
      <c r="D138" s="4">
        <v>73500</v>
      </c>
      <c r="E138" s="2">
        <v>200000</v>
      </c>
      <c r="F138" t="s">
        <v>36</v>
      </c>
      <c r="G138" t="s">
        <v>37</v>
      </c>
      <c r="H138">
        <v>6</v>
      </c>
      <c r="I138">
        <v>6</v>
      </c>
      <c r="J138">
        <v>2185</v>
      </c>
      <c r="K138" s="5">
        <v>1.0259529999999999E-2</v>
      </c>
      <c r="L138" t="s">
        <v>21</v>
      </c>
      <c r="M138" s="4">
        <v>126500</v>
      </c>
      <c r="N138" s="3">
        <v>91.533199999999994</v>
      </c>
      <c r="O138" t="s">
        <v>22</v>
      </c>
      <c r="P138" t="s">
        <v>24</v>
      </c>
      <c r="Q138" t="s">
        <v>34</v>
      </c>
      <c r="R138" t="s">
        <v>51</v>
      </c>
      <c r="S138">
        <v>9</v>
      </c>
    </row>
    <row r="139" spans="1:19" x14ac:dyDescent="0.3">
      <c r="A139" s="1">
        <v>40063</v>
      </c>
      <c r="B139">
        <v>2009</v>
      </c>
      <c r="C139" t="s">
        <v>39</v>
      </c>
      <c r="D139" s="4">
        <v>444584.20699999999</v>
      </c>
      <c r="E139" s="2">
        <v>1320000</v>
      </c>
      <c r="F139" t="s">
        <v>19</v>
      </c>
      <c r="G139" t="s">
        <v>20</v>
      </c>
      <c r="H139">
        <v>3</v>
      </c>
      <c r="I139">
        <v>1</v>
      </c>
      <c r="J139">
        <v>1078</v>
      </c>
      <c r="K139" s="5">
        <v>1.0259529999999999E-2</v>
      </c>
      <c r="L139" t="s">
        <v>32</v>
      </c>
      <c r="M139" s="4">
        <v>875415.79299999995</v>
      </c>
      <c r="N139" s="3">
        <v>1224.4898000000001</v>
      </c>
      <c r="O139" t="s">
        <v>22</v>
      </c>
      <c r="P139" t="s">
        <v>28</v>
      </c>
      <c r="Q139" t="s">
        <v>24</v>
      </c>
      <c r="R139" t="s">
        <v>51</v>
      </c>
      <c r="S139">
        <v>9</v>
      </c>
    </row>
    <row r="140" spans="1:19" x14ac:dyDescent="0.3">
      <c r="A140" s="1">
        <v>40066</v>
      </c>
      <c r="B140">
        <v>2009</v>
      </c>
      <c r="C140" t="s">
        <v>18</v>
      </c>
      <c r="D140" s="4">
        <v>70770</v>
      </c>
      <c r="E140" s="2">
        <v>140000</v>
      </c>
      <c r="F140" t="s">
        <v>19</v>
      </c>
      <c r="G140" t="s">
        <v>20</v>
      </c>
      <c r="H140">
        <v>3</v>
      </c>
      <c r="I140">
        <v>2</v>
      </c>
      <c r="J140">
        <v>1012</v>
      </c>
      <c r="K140" s="5">
        <v>1.0259529999999999E-2</v>
      </c>
      <c r="L140" t="s">
        <v>32</v>
      </c>
      <c r="M140" s="4">
        <v>69230</v>
      </c>
      <c r="N140" s="3">
        <v>138.3399</v>
      </c>
      <c r="O140" t="s">
        <v>22</v>
      </c>
      <c r="P140" t="s">
        <v>23</v>
      </c>
      <c r="Q140" t="s">
        <v>24</v>
      </c>
      <c r="R140" t="s">
        <v>51</v>
      </c>
      <c r="S140">
        <v>9</v>
      </c>
    </row>
    <row r="141" spans="1:19" x14ac:dyDescent="0.3">
      <c r="A141" s="1">
        <v>40073</v>
      </c>
      <c r="B141">
        <v>2009</v>
      </c>
      <c r="C141" t="s">
        <v>26</v>
      </c>
      <c r="D141" s="4">
        <v>271950</v>
      </c>
      <c r="E141" s="2">
        <v>520000</v>
      </c>
      <c r="F141" t="s">
        <v>19</v>
      </c>
      <c r="G141" t="s">
        <v>20</v>
      </c>
      <c r="H141">
        <v>3</v>
      </c>
      <c r="I141">
        <v>1</v>
      </c>
      <c r="J141">
        <v>937</v>
      </c>
      <c r="K141" s="5">
        <v>1.0259529999999999E-2</v>
      </c>
      <c r="L141" t="s">
        <v>38</v>
      </c>
      <c r="M141" s="4">
        <v>248050</v>
      </c>
      <c r="N141" s="3">
        <v>554.96259999999995</v>
      </c>
      <c r="O141" t="s">
        <v>22</v>
      </c>
      <c r="P141" t="s">
        <v>24</v>
      </c>
      <c r="Q141" t="s">
        <v>24</v>
      </c>
      <c r="R141" t="s">
        <v>51</v>
      </c>
      <c r="S141">
        <v>9</v>
      </c>
    </row>
    <row r="142" spans="1:19" x14ac:dyDescent="0.3">
      <c r="A142" s="1">
        <v>40074</v>
      </c>
      <c r="B142">
        <v>2009</v>
      </c>
      <c r="C142" t="s">
        <v>40</v>
      </c>
      <c r="D142" s="4">
        <v>115150</v>
      </c>
      <c r="E142" s="2">
        <v>183000</v>
      </c>
      <c r="F142" t="s">
        <v>19</v>
      </c>
      <c r="G142" t="s">
        <v>20</v>
      </c>
      <c r="H142">
        <v>3</v>
      </c>
      <c r="I142">
        <v>2</v>
      </c>
      <c r="J142">
        <v>979</v>
      </c>
      <c r="K142" s="5">
        <v>1.0259529999999999E-2</v>
      </c>
      <c r="L142" t="s">
        <v>27</v>
      </c>
      <c r="M142" s="4">
        <v>67850</v>
      </c>
      <c r="N142" s="3">
        <v>186.9254</v>
      </c>
      <c r="O142" t="s">
        <v>22</v>
      </c>
      <c r="P142" t="s">
        <v>23</v>
      </c>
      <c r="Q142" t="s">
        <v>24</v>
      </c>
      <c r="R142" t="s">
        <v>51</v>
      </c>
      <c r="S142">
        <v>9</v>
      </c>
    </row>
    <row r="143" spans="1:19" x14ac:dyDescent="0.3">
      <c r="A143" s="1">
        <v>40076</v>
      </c>
      <c r="B143">
        <v>2009</v>
      </c>
      <c r="C143" t="s">
        <v>40</v>
      </c>
      <c r="D143" s="4">
        <v>115290</v>
      </c>
      <c r="E143" s="2">
        <v>200000</v>
      </c>
      <c r="F143" t="s">
        <v>19</v>
      </c>
      <c r="G143" t="s">
        <v>20</v>
      </c>
      <c r="H143">
        <v>3</v>
      </c>
      <c r="I143">
        <v>1</v>
      </c>
      <c r="J143">
        <v>1028</v>
      </c>
      <c r="K143" s="5">
        <v>1.0259529999999999E-2</v>
      </c>
      <c r="L143" t="s">
        <v>32</v>
      </c>
      <c r="M143" s="4">
        <v>84710</v>
      </c>
      <c r="N143" s="3">
        <v>194.55250000000001</v>
      </c>
      <c r="O143" t="s">
        <v>22</v>
      </c>
      <c r="P143" t="s">
        <v>24</v>
      </c>
      <c r="Q143" t="s">
        <v>24</v>
      </c>
      <c r="R143" t="s">
        <v>51</v>
      </c>
      <c r="S143">
        <v>9</v>
      </c>
    </row>
    <row r="144" spans="1:19" x14ac:dyDescent="0.3">
      <c r="A144" s="1">
        <v>40077</v>
      </c>
      <c r="B144">
        <v>2009</v>
      </c>
      <c r="C144" t="s">
        <v>39</v>
      </c>
      <c r="D144" s="4">
        <v>367290</v>
      </c>
      <c r="E144" s="2">
        <v>470000</v>
      </c>
      <c r="F144" t="s">
        <v>19</v>
      </c>
      <c r="G144" t="s">
        <v>20</v>
      </c>
      <c r="H144">
        <v>3</v>
      </c>
      <c r="I144">
        <v>2</v>
      </c>
      <c r="J144">
        <v>945</v>
      </c>
      <c r="K144" s="5">
        <v>1.0259529999999999E-2</v>
      </c>
      <c r="L144" t="s">
        <v>27</v>
      </c>
      <c r="M144" s="4">
        <v>102710</v>
      </c>
      <c r="N144" s="3">
        <v>497.35449999999997</v>
      </c>
      <c r="O144" t="s">
        <v>22</v>
      </c>
      <c r="P144" t="s">
        <v>24</v>
      </c>
      <c r="Q144" t="s">
        <v>24</v>
      </c>
      <c r="R144" t="s">
        <v>51</v>
      </c>
      <c r="S144">
        <v>9</v>
      </c>
    </row>
    <row r="145" spans="1:19" x14ac:dyDescent="0.3">
      <c r="A145" s="1">
        <v>40080</v>
      </c>
      <c r="B145">
        <v>2009</v>
      </c>
      <c r="C145" t="s">
        <v>35</v>
      </c>
      <c r="D145" s="4">
        <v>1017730</v>
      </c>
      <c r="E145" s="2">
        <v>1950000</v>
      </c>
      <c r="F145" t="s">
        <v>19</v>
      </c>
      <c r="G145" t="s">
        <v>20</v>
      </c>
      <c r="H145">
        <v>3</v>
      </c>
      <c r="I145">
        <v>3</v>
      </c>
      <c r="J145">
        <v>967</v>
      </c>
      <c r="K145" s="5">
        <v>1.0259529999999999E-2</v>
      </c>
      <c r="L145" t="s">
        <v>32</v>
      </c>
      <c r="M145" s="4">
        <v>932270</v>
      </c>
      <c r="N145" s="3">
        <v>2016.546</v>
      </c>
      <c r="O145" t="s">
        <v>22</v>
      </c>
      <c r="P145" t="s">
        <v>28</v>
      </c>
      <c r="Q145" t="s">
        <v>24</v>
      </c>
      <c r="R145" t="s">
        <v>51</v>
      </c>
      <c r="S145">
        <v>9</v>
      </c>
    </row>
    <row r="146" spans="1:19" x14ac:dyDescent="0.3">
      <c r="A146" s="1">
        <v>40081</v>
      </c>
      <c r="B146">
        <v>2009</v>
      </c>
      <c r="C146" t="s">
        <v>39</v>
      </c>
      <c r="D146" s="4">
        <v>325920</v>
      </c>
      <c r="E146" s="2">
        <v>370000</v>
      </c>
      <c r="F146" t="s">
        <v>19</v>
      </c>
      <c r="G146" t="s">
        <v>20</v>
      </c>
      <c r="H146">
        <v>3</v>
      </c>
      <c r="I146">
        <v>1</v>
      </c>
      <c r="J146">
        <v>1094</v>
      </c>
      <c r="K146" s="5">
        <v>1.0259529999999999E-2</v>
      </c>
      <c r="L146" t="s">
        <v>21</v>
      </c>
      <c r="M146" s="4">
        <v>44080</v>
      </c>
      <c r="N146" s="3">
        <v>338.20839999999998</v>
      </c>
      <c r="O146" t="s">
        <v>22</v>
      </c>
      <c r="P146" t="s">
        <v>24</v>
      </c>
      <c r="Q146" t="s">
        <v>24</v>
      </c>
      <c r="R146" t="s">
        <v>51</v>
      </c>
      <c r="S146">
        <v>9</v>
      </c>
    </row>
    <row r="147" spans="1:19" x14ac:dyDescent="0.3">
      <c r="A147" s="1">
        <v>40082</v>
      </c>
      <c r="B147">
        <v>2009</v>
      </c>
      <c r="C147" t="s">
        <v>18</v>
      </c>
      <c r="D147" s="4">
        <v>91980</v>
      </c>
      <c r="E147" s="2">
        <v>270000</v>
      </c>
      <c r="F147" t="s">
        <v>19</v>
      </c>
      <c r="G147" t="s">
        <v>20</v>
      </c>
      <c r="H147">
        <v>3</v>
      </c>
      <c r="I147">
        <v>3</v>
      </c>
      <c r="J147">
        <v>900</v>
      </c>
      <c r="K147" s="5">
        <v>1.0259529999999999E-2</v>
      </c>
      <c r="L147" t="s">
        <v>21</v>
      </c>
      <c r="M147" s="4">
        <v>178020</v>
      </c>
      <c r="N147" s="3">
        <v>300</v>
      </c>
      <c r="O147" t="s">
        <v>22</v>
      </c>
      <c r="P147" t="s">
        <v>24</v>
      </c>
      <c r="Q147" t="s">
        <v>24</v>
      </c>
      <c r="R147" t="s">
        <v>51</v>
      </c>
      <c r="S147">
        <v>9</v>
      </c>
    </row>
    <row r="148" spans="1:19" x14ac:dyDescent="0.3">
      <c r="A148" s="1">
        <v>40084</v>
      </c>
      <c r="B148">
        <v>2009</v>
      </c>
      <c r="C148" t="s">
        <v>29</v>
      </c>
      <c r="D148" s="4">
        <v>137130</v>
      </c>
      <c r="E148" s="2">
        <v>255000</v>
      </c>
      <c r="F148" t="s">
        <v>30</v>
      </c>
      <c r="G148" t="s">
        <v>31</v>
      </c>
      <c r="H148">
        <v>4</v>
      </c>
      <c r="I148">
        <v>3</v>
      </c>
      <c r="J148">
        <v>1200</v>
      </c>
      <c r="K148" s="5">
        <v>1.0259529999999999E-2</v>
      </c>
      <c r="L148" t="s">
        <v>32</v>
      </c>
      <c r="M148" s="4">
        <v>117870</v>
      </c>
      <c r="N148" s="3">
        <v>212.5</v>
      </c>
      <c r="O148" t="s">
        <v>22</v>
      </c>
      <c r="P148" t="s">
        <v>24</v>
      </c>
      <c r="Q148" t="s">
        <v>24</v>
      </c>
      <c r="R148" t="s">
        <v>51</v>
      </c>
      <c r="S148">
        <v>9</v>
      </c>
    </row>
    <row r="149" spans="1:19" x14ac:dyDescent="0.3">
      <c r="A149" s="1">
        <v>40087</v>
      </c>
      <c r="B149">
        <v>2009</v>
      </c>
      <c r="C149" t="s">
        <v>52</v>
      </c>
      <c r="D149" s="4">
        <v>174800</v>
      </c>
      <c r="E149" s="2">
        <v>275000</v>
      </c>
      <c r="F149" t="s">
        <v>19</v>
      </c>
      <c r="G149" t="s">
        <v>20</v>
      </c>
      <c r="H149">
        <v>3</v>
      </c>
      <c r="I149">
        <v>1</v>
      </c>
      <c r="J149">
        <v>917</v>
      </c>
      <c r="K149" s="5">
        <v>1.0259529999999999E-2</v>
      </c>
      <c r="L149" t="s">
        <v>21</v>
      </c>
      <c r="M149" s="4">
        <v>100200</v>
      </c>
      <c r="N149" s="3">
        <v>299.89089999999999</v>
      </c>
      <c r="O149" t="s">
        <v>22</v>
      </c>
      <c r="P149" t="s">
        <v>24</v>
      </c>
      <c r="Q149" t="s">
        <v>24</v>
      </c>
      <c r="R149" t="s">
        <v>53</v>
      </c>
      <c r="S149">
        <v>10</v>
      </c>
    </row>
    <row r="150" spans="1:19" x14ac:dyDescent="0.3">
      <c r="A150" s="1">
        <v>40088</v>
      </c>
      <c r="B150">
        <v>2009</v>
      </c>
      <c r="C150" t="s">
        <v>26</v>
      </c>
      <c r="D150" s="4">
        <v>258720</v>
      </c>
      <c r="E150" s="2">
        <v>510000</v>
      </c>
      <c r="F150" t="s">
        <v>19</v>
      </c>
      <c r="G150" t="s">
        <v>20</v>
      </c>
      <c r="H150">
        <v>3</v>
      </c>
      <c r="I150">
        <v>3</v>
      </c>
      <c r="J150">
        <v>1111.6589814177564</v>
      </c>
      <c r="K150" s="5">
        <v>1.0259529999999999E-2</v>
      </c>
      <c r="L150" t="s">
        <v>27</v>
      </c>
      <c r="M150" s="4">
        <v>251280</v>
      </c>
      <c r="N150" s="3">
        <v>458.77379999999999</v>
      </c>
      <c r="O150" t="s">
        <v>22</v>
      </c>
      <c r="P150" t="s">
        <v>24</v>
      </c>
      <c r="Q150" t="s">
        <v>24</v>
      </c>
      <c r="R150" t="s">
        <v>53</v>
      </c>
      <c r="S150">
        <v>10</v>
      </c>
    </row>
    <row r="151" spans="1:19" x14ac:dyDescent="0.3">
      <c r="A151" s="1">
        <v>40089</v>
      </c>
      <c r="B151">
        <v>2009</v>
      </c>
      <c r="C151" t="s">
        <v>40</v>
      </c>
      <c r="D151" s="4">
        <v>82320</v>
      </c>
      <c r="E151" s="2">
        <v>170000</v>
      </c>
      <c r="F151" t="s">
        <v>19</v>
      </c>
      <c r="G151" t="s">
        <v>20</v>
      </c>
      <c r="H151">
        <v>3</v>
      </c>
      <c r="I151">
        <v>1</v>
      </c>
      <c r="J151">
        <v>903</v>
      </c>
      <c r="K151" s="5">
        <v>1.0259529999999999E-2</v>
      </c>
      <c r="L151" t="s">
        <v>27</v>
      </c>
      <c r="M151" s="4">
        <v>87680</v>
      </c>
      <c r="N151" s="3">
        <v>188.26140000000001</v>
      </c>
      <c r="O151" t="s">
        <v>22</v>
      </c>
      <c r="P151" t="s">
        <v>23</v>
      </c>
      <c r="Q151" t="s">
        <v>24</v>
      </c>
      <c r="R151" t="s">
        <v>53</v>
      </c>
      <c r="S151">
        <v>10</v>
      </c>
    </row>
    <row r="152" spans="1:19" x14ac:dyDescent="0.3">
      <c r="A152" s="1">
        <v>40091</v>
      </c>
      <c r="B152">
        <v>2009</v>
      </c>
      <c r="C152" t="s">
        <v>26</v>
      </c>
      <c r="D152" s="4">
        <v>444584.20699999999</v>
      </c>
      <c r="E152" s="2">
        <v>400000</v>
      </c>
      <c r="F152" t="s">
        <v>19</v>
      </c>
      <c r="G152" t="s">
        <v>20</v>
      </c>
      <c r="H152">
        <v>3</v>
      </c>
      <c r="I152">
        <v>2</v>
      </c>
      <c r="J152">
        <v>935</v>
      </c>
      <c r="K152" s="5">
        <v>1.0259529999999999E-2</v>
      </c>
      <c r="L152" t="s">
        <v>27</v>
      </c>
      <c r="M152" s="4">
        <v>-44584.207000000002</v>
      </c>
      <c r="N152" s="3">
        <v>427.8075</v>
      </c>
      <c r="O152" t="s">
        <v>33</v>
      </c>
      <c r="P152" t="s">
        <v>24</v>
      </c>
      <c r="Q152" t="s">
        <v>24</v>
      </c>
      <c r="R152" t="s">
        <v>53</v>
      </c>
      <c r="S152">
        <v>10</v>
      </c>
    </row>
    <row r="153" spans="1:19" x14ac:dyDescent="0.3">
      <c r="A153" s="1">
        <v>40095</v>
      </c>
      <c r="B153">
        <v>2009</v>
      </c>
      <c r="C153" t="s">
        <v>39</v>
      </c>
      <c r="D153" s="4">
        <v>1249080</v>
      </c>
      <c r="E153" s="2">
        <v>1620000</v>
      </c>
      <c r="F153" t="s">
        <v>19</v>
      </c>
      <c r="G153" t="s">
        <v>20</v>
      </c>
      <c r="H153">
        <v>3</v>
      </c>
      <c r="I153">
        <v>2</v>
      </c>
      <c r="J153">
        <v>975</v>
      </c>
      <c r="K153" s="5">
        <v>1.0259529999999999E-2</v>
      </c>
      <c r="L153" t="s">
        <v>27</v>
      </c>
      <c r="M153" s="4">
        <v>370920</v>
      </c>
      <c r="N153" s="3">
        <v>1661.5385000000001</v>
      </c>
      <c r="O153" t="s">
        <v>22</v>
      </c>
      <c r="P153" t="s">
        <v>28</v>
      </c>
      <c r="Q153" t="s">
        <v>24</v>
      </c>
      <c r="R153" t="s">
        <v>53</v>
      </c>
      <c r="S153">
        <v>10</v>
      </c>
    </row>
    <row r="154" spans="1:19" x14ac:dyDescent="0.3">
      <c r="A154" s="1">
        <v>40096</v>
      </c>
      <c r="B154">
        <v>2009</v>
      </c>
      <c r="C154" t="s">
        <v>26</v>
      </c>
      <c r="D154" s="4">
        <v>300440</v>
      </c>
      <c r="E154" s="2">
        <v>560000</v>
      </c>
      <c r="F154" t="s">
        <v>19</v>
      </c>
      <c r="G154" t="s">
        <v>20</v>
      </c>
      <c r="H154">
        <v>3</v>
      </c>
      <c r="I154">
        <v>2</v>
      </c>
      <c r="J154">
        <v>971</v>
      </c>
      <c r="K154" s="5">
        <v>1.0259529999999999E-2</v>
      </c>
      <c r="L154" t="s">
        <v>38</v>
      </c>
      <c r="M154" s="4">
        <v>259560</v>
      </c>
      <c r="N154" s="3">
        <v>576.72500000000002</v>
      </c>
      <c r="O154" t="s">
        <v>22</v>
      </c>
      <c r="P154" t="s">
        <v>24</v>
      </c>
      <c r="Q154" t="s">
        <v>24</v>
      </c>
      <c r="R154" t="s">
        <v>53</v>
      </c>
      <c r="S154">
        <v>10</v>
      </c>
    </row>
    <row r="155" spans="1:19" x14ac:dyDescent="0.3">
      <c r="A155" s="1">
        <v>40097</v>
      </c>
      <c r="B155">
        <v>2009</v>
      </c>
      <c r="C155" t="s">
        <v>29</v>
      </c>
      <c r="D155" s="4">
        <v>99050</v>
      </c>
      <c r="E155" s="2">
        <v>180250</v>
      </c>
      <c r="F155" t="s">
        <v>19</v>
      </c>
      <c r="G155" t="s">
        <v>20</v>
      </c>
      <c r="H155">
        <v>3</v>
      </c>
      <c r="I155">
        <v>3</v>
      </c>
      <c r="J155">
        <v>1111.6589814177564</v>
      </c>
      <c r="K155" s="5">
        <v>1.0259529999999999E-2</v>
      </c>
      <c r="L155" t="s">
        <v>27</v>
      </c>
      <c r="M155" s="4">
        <v>81200</v>
      </c>
      <c r="N155" s="3">
        <v>162.14500000000001</v>
      </c>
      <c r="O155" t="s">
        <v>22</v>
      </c>
      <c r="P155" t="s">
        <v>23</v>
      </c>
      <c r="Q155" t="s">
        <v>24</v>
      </c>
      <c r="R155" t="s">
        <v>53</v>
      </c>
      <c r="S155">
        <v>10</v>
      </c>
    </row>
    <row r="156" spans="1:19" x14ac:dyDescent="0.3">
      <c r="A156" s="1">
        <v>40098</v>
      </c>
      <c r="B156">
        <v>2009</v>
      </c>
      <c r="C156" t="s">
        <v>29</v>
      </c>
      <c r="D156" s="4">
        <v>118130</v>
      </c>
      <c r="E156" s="2">
        <v>283500</v>
      </c>
      <c r="F156" t="s">
        <v>19</v>
      </c>
      <c r="G156" t="s">
        <v>20</v>
      </c>
      <c r="H156">
        <v>3</v>
      </c>
      <c r="I156">
        <v>1</v>
      </c>
      <c r="J156">
        <v>1111.6589814177564</v>
      </c>
      <c r="K156" s="5">
        <v>1.0259529999999999E-2</v>
      </c>
      <c r="L156" t="s">
        <v>38</v>
      </c>
      <c r="M156" s="4">
        <v>165370</v>
      </c>
      <c r="N156" s="3">
        <v>255.02430000000001</v>
      </c>
      <c r="O156" t="s">
        <v>22</v>
      </c>
      <c r="P156" t="s">
        <v>24</v>
      </c>
      <c r="Q156" t="s">
        <v>24</v>
      </c>
      <c r="R156" t="s">
        <v>53</v>
      </c>
      <c r="S156">
        <v>10</v>
      </c>
    </row>
    <row r="157" spans="1:19" x14ac:dyDescent="0.3">
      <c r="A157" s="1">
        <v>40102</v>
      </c>
      <c r="B157">
        <v>2009</v>
      </c>
      <c r="C157" t="s">
        <v>29</v>
      </c>
      <c r="D157" s="4">
        <v>116970</v>
      </c>
      <c r="E157" s="2">
        <v>127000</v>
      </c>
      <c r="F157" t="s">
        <v>30</v>
      </c>
      <c r="G157" t="s">
        <v>31</v>
      </c>
      <c r="H157">
        <v>4</v>
      </c>
      <c r="I157">
        <v>2</v>
      </c>
      <c r="J157">
        <v>1288</v>
      </c>
      <c r="K157" s="5">
        <v>1.0259529999999999E-2</v>
      </c>
      <c r="L157" t="s">
        <v>21</v>
      </c>
      <c r="M157" s="4">
        <v>10030</v>
      </c>
      <c r="N157" s="3">
        <v>98.602500000000006</v>
      </c>
      <c r="O157" t="s">
        <v>22</v>
      </c>
      <c r="P157" t="s">
        <v>23</v>
      </c>
      <c r="Q157" t="s">
        <v>24</v>
      </c>
      <c r="R157" t="s">
        <v>53</v>
      </c>
      <c r="S157">
        <v>10</v>
      </c>
    </row>
    <row r="158" spans="1:19" x14ac:dyDescent="0.3">
      <c r="A158" s="1">
        <v>40103</v>
      </c>
      <c r="B158">
        <v>2009</v>
      </c>
      <c r="C158" t="s">
        <v>29</v>
      </c>
      <c r="D158" s="4">
        <v>114520</v>
      </c>
      <c r="E158" s="2">
        <v>230000</v>
      </c>
      <c r="F158" t="s">
        <v>19</v>
      </c>
      <c r="G158" t="s">
        <v>20</v>
      </c>
      <c r="H158">
        <v>3</v>
      </c>
      <c r="I158">
        <v>2</v>
      </c>
      <c r="J158">
        <v>1001</v>
      </c>
      <c r="K158" s="5">
        <v>1.0259529999999999E-2</v>
      </c>
      <c r="L158" t="s">
        <v>27</v>
      </c>
      <c r="M158" s="4">
        <v>115480</v>
      </c>
      <c r="N158" s="3">
        <v>229.77019999999999</v>
      </c>
      <c r="O158" t="s">
        <v>22</v>
      </c>
      <c r="P158" t="s">
        <v>24</v>
      </c>
      <c r="Q158" t="s">
        <v>24</v>
      </c>
      <c r="R158" t="s">
        <v>53</v>
      </c>
      <c r="S158">
        <v>10</v>
      </c>
    </row>
    <row r="159" spans="1:19" x14ac:dyDescent="0.3">
      <c r="A159" s="1">
        <v>40104</v>
      </c>
      <c r="B159">
        <v>2009</v>
      </c>
      <c r="C159" t="s">
        <v>39</v>
      </c>
      <c r="D159" s="4">
        <v>1658230</v>
      </c>
      <c r="E159" s="2">
        <v>2100000</v>
      </c>
      <c r="F159" t="s">
        <v>19</v>
      </c>
      <c r="G159" t="s">
        <v>20</v>
      </c>
      <c r="H159">
        <v>3</v>
      </c>
      <c r="I159">
        <v>3</v>
      </c>
      <c r="J159">
        <v>1037</v>
      </c>
      <c r="K159" s="5">
        <v>1.0259529999999999E-2</v>
      </c>
      <c r="L159" t="s">
        <v>32</v>
      </c>
      <c r="M159" s="4">
        <v>441770</v>
      </c>
      <c r="N159" s="3">
        <v>2025.0723</v>
      </c>
      <c r="O159" t="s">
        <v>22</v>
      </c>
      <c r="P159" t="s">
        <v>28</v>
      </c>
      <c r="Q159" t="s">
        <v>24</v>
      </c>
      <c r="R159" t="s">
        <v>53</v>
      </c>
      <c r="S159">
        <v>10</v>
      </c>
    </row>
    <row r="160" spans="1:19" x14ac:dyDescent="0.3">
      <c r="A160" s="1">
        <v>40105</v>
      </c>
      <c r="B160">
        <v>2009</v>
      </c>
      <c r="C160" t="s">
        <v>35</v>
      </c>
      <c r="D160" s="4">
        <v>1773170</v>
      </c>
      <c r="E160" s="2">
        <v>2650000</v>
      </c>
      <c r="F160" t="s">
        <v>19</v>
      </c>
      <c r="G160" t="s">
        <v>20</v>
      </c>
      <c r="H160">
        <v>3</v>
      </c>
      <c r="I160">
        <v>3</v>
      </c>
      <c r="J160">
        <v>1087</v>
      </c>
      <c r="K160" s="5">
        <v>1.0259529999999999E-2</v>
      </c>
      <c r="L160" t="s">
        <v>32</v>
      </c>
      <c r="M160" s="4">
        <v>876830</v>
      </c>
      <c r="N160" s="3">
        <v>2437.9025000000001</v>
      </c>
      <c r="O160" t="s">
        <v>22</v>
      </c>
      <c r="P160" t="s">
        <v>28</v>
      </c>
      <c r="Q160" t="s">
        <v>24</v>
      </c>
      <c r="R160" t="s">
        <v>53</v>
      </c>
      <c r="S160">
        <v>10</v>
      </c>
    </row>
    <row r="161" spans="1:19" x14ac:dyDescent="0.3">
      <c r="A161" s="1">
        <v>40108</v>
      </c>
      <c r="B161">
        <v>2009</v>
      </c>
      <c r="C161" t="s">
        <v>29</v>
      </c>
      <c r="D161" s="4">
        <v>444584.20699999999</v>
      </c>
      <c r="E161" s="2">
        <v>305550</v>
      </c>
      <c r="F161" t="s">
        <v>36</v>
      </c>
      <c r="G161" t="s">
        <v>37</v>
      </c>
      <c r="H161">
        <v>6</v>
      </c>
      <c r="I161">
        <v>4</v>
      </c>
      <c r="J161">
        <v>1909</v>
      </c>
      <c r="K161" s="5">
        <v>1.0259529999999999E-2</v>
      </c>
      <c r="L161" t="s">
        <v>32</v>
      </c>
      <c r="M161" s="4">
        <v>-139034.20699999999</v>
      </c>
      <c r="N161" s="3">
        <v>160.05760000000001</v>
      </c>
      <c r="O161" t="s">
        <v>33</v>
      </c>
      <c r="P161" t="s">
        <v>24</v>
      </c>
      <c r="Q161" t="s">
        <v>34</v>
      </c>
      <c r="R161" t="s">
        <v>53</v>
      </c>
      <c r="S161">
        <v>10</v>
      </c>
    </row>
    <row r="162" spans="1:19" x14ac:dyDescent="0.3">
      <c r="A162" s="1">
        <v>40111</v>
      </c>
      <c r="B162">
        <v>2009</v>
      </c>
      <c r="C162" t="s">
        <v>29</v>
      </c>
      <c r="D162" s="4">
        <v>99700</v>
      </c>
      <c r="E162" s="2">
        <v>220000</v>
      </c>
      <c r="F162" t="s">
        <v>19</v>
      </c>
      <c r="G162" t="s">
        <v>20</v>
      </c>
      <c r="H162">
        <v>3</v>
      </c>
      <c r="I162">
        <v>1</v>
      </c>
      <c r="J162">
        <v>937</v>
      </c>
      <c r="K162" s="5">
        <v>1.0259529999999999E-2</v>
      </c>
      <c r="L162" t="s">
        <v>27</v>
      </c>
      <c r="M162" s="4">
        <v>120300</v>
      </c>
      <c r="N162" s="3">
        <v>234.7919</v>
      </c>
      <c r="O162" t="s">
        <v>22</v>
      </c>
      <c r="P162" t="s">
        <v>24</v>
      </c>
      <c r="Q162" t="s">
        <v>24</v>
      </c>
      <c r="R162" t="s">
        <v>53</v>
      </c>
      <c r="S162">
        <v>10</v>
      </c>
    </row>
    <row r="163" spans="1:19" x14ac:dyDescent="0.3">
      <c r="A163" s="1">
        <v>40112</v>
      </c>
      <c r="B163">
        <v>2009</v>
      </c>
      <c r="C163" t="s">
        <v>29</v>
      </c>
      <c r="D163" s="4">
        <v>174670</v>
      </c>
      <c r="E163" s="2">
        <v>304100</v>
      </c>
      <c r="F163" t="s">
        <v>19</v>
      </c>
      <c r="G163" t="s">
        <v>20</v>
      </c>
      <c r="H163">
        <v>3</v>
      </c>
      <c r="I163">
        <v>2</v>
      </c>
      <c r="J163">
        <v>933</v>
      </c>
      <c r="K163" s="5">
        <v>1.0259529999999999E-2</v>
      </c>
      <c r="L163" t="s">
        <v>27</v>
      </c>
      <c r="M163" s="4">
        <v>129430</v>
      </c>
      <c r="N163" s="3">
        <v>325.93779999999998</v>
      </c>
      <c r="O163" t="s">
        <v>22</v>
      </c>
      <c r="P163" t="s">
        <v>24</v>
      </c>
      <c r="Q163" t="s">
        <v>24</v>
      </c>
      <c r="R163" t="s">
        <v>53</v>
      </c>
      <c r="S163">
        <v>10</v>
      </c>
    </row>
    <row r="164" spans="1:19" x14ac:dyDescent="0.3">
      <c r="A164" s="1">
        <v>40116</v>
      </c>
      <c r="B164">
        <v>2009</v>
      </c>
      <c r="C164" t="s">
        <v>52</v>
      </c>
      <c r="D164" s="4">
        <v>249900</v>
      </c>
      <c r="E164" s="2">
        <v>356000</v>
      </c>
      <c r="F164" t="s">
        <v>19</v>
      </c>
      <c r="G164" t="s">
        <v>20</v>
      </c>
      <c r="H164">
        <v>3</v>
      </c>
      <c r="I164">
        <v>3</v>
      </c>
      <c r="J164">
        <v>1083</v>
      </c>
      <c r="K164" s="5">
        <v>1.0259529999999999E-2</v>
      </c>
      <c r="L164" t="s">
        <v>21</v>
      </c>
      <c r="M164" s="4">
        <v>106100</v>
      </c>
      <c r="N164" s="3">
        <v>328.7165</v>
      </c>
      <c r="O164" t="s">
        <v>22</v>
      </c>
      <c r="P164" t="s">
        <v>24</v>
      </c>
      <c r="Q164" t="s">
        <v>24</v>
      </c>
      <c r="R164" t="s">
        <v>53</v>
      </c>
      <c r="S164">
        <v>10</v>
      </c>
    </row>
    <row r="165" spans="1:19" x14ac:dyDescent="0.3">
      <c r="A165" s="1">
        <v>40117</v>
      </c>
      <c r="B165">
        <v>2009</v>
      </c>
      <c r="C165" t="s">
        <v>40</v>
      </c>
      <c r="D165" s="4">
        <v>184730</v>
      </c>
      <c r="E165" s="2">
        <v>225000</v>
      </c>
      <c r="F165" t="s">
        <v>19</v>
      </c>
      <c r="G165" t="s">
        <v>20</v>
      </c>
      <c r="H165">
        <v>3</v>
      </c>
      <c r="I165">
        <v>3</v>
      </c>
      <c r="J165">
        <v>1031</v>
      </c>
      <c r="K165" s="5">
        <v>1.0259529999999999E-2</v>
      </c>
      <c r="L165" t="s">
        <v>27</v>
      </c>
      <c r="M165" s="4">
        <v>40270</v>
      </c>
      <c r="N165" s="3">
        <v>218.2347</v>
      </c>
      <c r="O165" t="s">
        <v>22</v>
      </c>
      <c r="P165" t="s">
        <v>24</v>
      </c>
      <c r="Q165" t="s">
        <v>24</v>
      </c>
      <c r="R165" t="s">
        <v>53</v>
      </c>
      <c r="S165">
        <v>10</v>
      </c>
    </row>
    <row r="166" spans="1:19" x14ac:dyDescent="0.3">
      <c r="A166" s="1">
        <v>40118</v>
      </c>
      <c r="B166">
        <v>2009</v>
      </c>
      <c r="C166" t="s">
        <v>39</v>
      </c>
      <c r="D166" s="4">
        <v>631820</v>
      </c>
      <c r="E166" s="2">
        <v>925000</v>
      </c>
      <c r="F166" t="s">
        <v>19</v>
      </c>
      <c r="G166" t="s">
        <v>20</v>
      </c>
      <c r="H166">
        <v>3</v>
      </c>
      <c r="I166">
        <v>3</v>
      </c>
      <c r="J166">
        <v>1079</v>
      </c>
      <c r="K166" s="5">
        <v>1.0259529999999999E-2</v>
      </c>
      <c r="L166" t="s">
        <v>32</v>
      </c>
      <c r="M166" s="4">
        <v>293180</v>
      </c>
      <c r="N166" s="3">
        <v>857.27530000000002</v>
      </c>
      <c r="O166" t="s">
        <v>22</v>
      </c>
      <c r="P166" t="s">
        <v>28</v>
      </c>
      <c r="Q166" t="s">
        <v>24</v>
      </c>
      <c r="R166" t="s">
        <v>54</v>
      </c>
      <c r="S166">
        <v>11</v>
      </c>
    </row>
    <row r="167" spans="1:19" x14ac:dyDescent="0.3">
      <c r="A167" s="1">
        <v>40119</v>
      </c>
      <c r="B167">
        <v>2009</v>
      </c>
      <c r="C167" t="s">
        <v>26</v>
      </c>
      <c r="D167" s="4">
        <v>393260</v>
      </c>
      <c r="E167" s="2">
        <v>785000</v>
      </c>
      <c r="F167" t="s">
        <v>19</v>
      </c>
      <c r="G167" t="s">
        <v>20</v>
      </c>
      <c r="H167">
        <v>3</v>
      </c>
      <c r="I167">
        <v>3</v>
      </c>
      <c r="J167">
        <v>1111.6589814177564</v>
      </c>
      <c r="K167" s="5">
        <v>1.0259529999999999E-2</v>
      </c>
      <c r="L167" t="s">
        <v>32</v>
      </c>
      <c r="M167" s="4">
        <v>391740</v>
      </c>
      <c r="N167" s="3">
        <v>706.15179999999998</v>
      </c>
      <c r="O167" t="s">
        <v>22</v>
      </c>
      <c r="P167" t="s">
        <v>28</v>
      </c>
      <c r="Q167" t="s">
        <v>24</v>
      </c>
      <c r="R167" t="s">
        <v>54</v>
      </c>
      <c r="S167">
        <v>11</v>
      </c>
    </row>
    <row r="168" spans="1:19" x14ac:dyDescent="0.3">
      <c r="A168" s="1">
        <v>40122</v>
      </c>
      <c r="B168">
        <v>2009</v>
      </c>
      <c r="C168" t="s">
        <v>35</v>
      </c>
      <c r="D168" s="4">
        <v>1479870</v>
      </c>
      <c r="E168" s="2">
        <v>2075000</v>
      </c>
      <c r="F168" t="s">
        <v>19</v>
      </c>
      <c r="G168" t="s">
        <v>20</v>
      </c>
      <c r="H168">
        <v>3</v>
      </c>
      <c r="I168">
        <v>3</v>
      </c>
      <c r="J168">
        <v>1111.6589814177564</v>
      </c>
      <c r="K168" s="5">
        <v>1.0259529999999999E-2</v>
      </c>
      <c r="L168" t="s">
        <v>32</v>
      </c>
      <c r="M168" s="4">
        <v>595130</v>
      </c>
      <c r="N168" s="3">
        <v>1866.5796</v>
      </c>
      <c r="O168" t="s">
        <v>22</v>
      </c>
      <c r="P168" t="s">
        <v>28</v>
      </c>
      <c r="Q168" t="s">
        <v>24</v>
      </c>
      <c r="R168" t="s">
        <v>54</v>
      </c>
      <c r="S168">
        <v>11</v>
      </c>
    </row>
    <row r="169" spans="1:19" x14ac:dyDescent="0.3">
      <c r="A169" s="1">
        <v>40124</v>
      </c>
      <c r="B169">
        <v>2009</v>
      </c>
      <c r="C169" t="s">
        <v>52</v>
      </c>
      <c r="D169" s="4">
        <v>142600</v>
      </c>
      <c r="E169" s="2">
        <v>170000</v>
      </c>
      <c r="F169" t="s">
        <v>19</v>
      </c>
      <c r="G169" t="s">
        <v>20</v>
      </c>
      <c r="H169">
        <v>3</v>
      </c>
      <c r="I169">
        <v>3</v>
      </c>
      <c r="J169">
        <v>1111.6589814177564</v>
      </c>
      <c r="K169" s="5">
        <v>1.0259529999999999E-2</v>
      </c>
      <c r="L169" t="s">
        <v>27</v>
      </c>
      <c r="M169" s="4">
        <v>27400</v>
      </c>
      <c r="N169" s="3">
        <v>152.9246</v>
      </c>
      <c r="O169" t="s">
        <v>22</v>
      </c>
      <c r="P169" t="s">
        <v>23</v>
      </c>
      <c r="Q169" t="s">
        <v>24</v>
      </c>
      <c r="R169" t="s">
        <v>54</v>
      </c>
      <c r="S169">
        <v>11</v>
      </c>
    </row>
    <row r="170" spans="1:19" x14ac:dyDescent="0.3">
      <c r="A170" s="1">
        <v>40125</v>
      </c>
      <c r="B170">
        <v>2009</v>
      </c>
      <c r="C170" t="s">
        <v>29</v>
      </c>
      <c r="D170" s="4">
        <v>115080</v>
      </c>
      <c r="E170" s="2">
        <v>125000</v>
      </c>
      <c r="F170" t="s">
        <v>19</v>
      </c>
      <c r="G170" t="s">
        <v>20</v>
      </c>
      <c r="H170">
        <v>3</v>
      </c>
      <c r="I170">
        <v>2</v>
      </c>
      <c r="J170">
        <v>992</v>
      </c>
      <c r="K170" s="5">
        <v>1.0259529999999999E-2</v>
      </c>
      <c r="L170" t="s">
        <v>27</v>
      </c>
      <c r="M170" s="4">
        <v>9920</v>
      </c>
      <c r="N170" s="3">
        <v>126.0081</v>
      </c>
      <c r="O170" t="s">
        <v>22</v>
      </c>
      <c r="P170" t="s">
        <v>23</v>
      </c>
      <c r="Q170" t="s">
        <v>24</v>
      </c>
      <c r="R170" t="s">
        <v>54</v>
      </c>
      <c r="S170">
        <v>11</v>
      </c>
    </row>
    <row r="171" spans="1:19" x14ac:dyDescent="0.3">
      <c r="A171" s="1">
        <v>40130</v>
      </c>
      <c r="B171">
        <v>2009</v>
      </c>
      <c r="C171" t="s">
        <v>39</v>
      </c>
      <c r="D171" s="4">
        <v>903420</v>
      </c>
      <c r="E171" s="2">
        <v>2100000</v>
      </c>
      <c r="F171" t="s">
        <v>19</v>
      </c>
      <c r="G171" t="s">
        <v>20</v>
      </c>
      <c r="H171">
        <v>3</v>
      </c>
      <c r="I171">
        <v>1</v>
      </c>
      <c r="J171">
        <v>1057</v>
      </c>
      <c r="K171" s="5">
        <v>1.0259529999999999E-2</v>
      </c>
      <c r="L171" t="s">
        <v>21</v>
      </c>
      <c r="M171" s="4">
        <v>1196580</v>
      </c>
      <c r="N171" s="3">
        <v>1986.7550000000001</v>
      </c>
      <c r="O171" t="s">
        <v>22</v>
      </c>
      <c r="P171" t="s">
        <v>28</v>
      </c>
      <c r="Q171" t="s">
        <v>24</v>
      </c>
      <c r="R171" t="s">
        <v>54</v>
      </c>
      <c r="S171">
        <v>11</v>
      </c>
    </row>
    <row r="172" spans="1:19" x14ac:dyDescent="0.3">
      <c r="A172" s="1">
        <v>40131</v>
      </c>
      <c r="B172">
        <v>2009</v>
      </c>
      <c r="C172" t="s">
        <v>40</v>
      </c>
      <c r="D172" s="4">
        <v>186200</v>
      </c>
      <c r="E172" s="2">
        <v>297000</v>
      </c>
      <c r="F172" t="s">
        <v>19</v>
      </c>
      <c r="G172" t="s">
        <v>20</v>
      </c>
      <c r="H172">
        <v>3</v>
      </c>
      <c r="I172">
        <v>1</v>
      </c>
      <c r="J172">
        <v>923</v>
      </c>
      <c r="K172" s="5">
        <v>1.0259529999999999E-2</v>
      </c>
      <c r="L172" t="s">
        <v>21</v>
      </c>
      <c r="M172" s="4">
        <v>110800</v>
      </c>
      <c r="N172" s="3">
        <v>321.77679999999998</v>
      </c>
      <c r="O172" t="s">
        <v>22</v>
      </c>
      <c r="P172" t="s">
        <v>24</v>
      </c>
      <c r="Q172" t="s">
        <v>24</v>
      </c>
      <c r="R172" t="s">
        <v>54</v>
      </c>
      <c r="S172">
        <v>11</v>
      </c>
    </row>
    <row r="173" spans="1:19" x14ac:dyDescent="0.3">
      <c r="A173" s="1">
        <v>40132</v>
      </c>
      <c r="B173">
        <v>2009</v>
      </c>
      <c r="C173" t="s">
        <v>35</v>
      </c>
      <c r="D173" s="4">
        <v>626780</v>
      </c>
      <c r="E173" s="2">
        <v>827000</v>
      </c>
      <c r="F173" t="s">
        <v>19</v>
      </c>
      <c r="G173" t="s">
        <v>20</v>
      </c>
      <c r="H173">
        <v>3</v>
      </c>
      <c r="I173">
        <v>2</v>
      </c>
      <c r="J173">
        <v>933</v>
      </c>
      <c r="K173" s="5">
        <v>1.0259529999999999E-2</v>
      </c>
      <c r="L173" t="s">
        <v>27</v>
      </c>
      <c r="M173" s="4">
        <v>200220</v>
      </c>
      <c r="N173" s="3">
        <v>886.38800000000003</v>
      </c>
      <c r="O173" t="s">
        <v>22</v>
      </c>
      <c r="P173" t="s">
        <v>28</v>
      </c>
      <c r="Q173" t="s">
        <v>24</v>
      </c>
      <c r="R173" t="s">
        <v>54</v>
      </c>
      <c r="S173">
        <v>11</v>
      </c>
    </row>
    <row r="174" spans="1:19" x14ac:dyDescent="0.3">
      <c r="A174" s="1">
        <v>40133</v>
      </c>
      <c r="B174">
        <v>2009</v>
      </c>
      <c r="C174" t="s">
        <v>26</v>
      </c>
      <c r="D174" s="4">
        <v>344050</v>
      </c>
      <c r="E174" s="2">
        <v>725000</v>
      </c>
      <c r="F174" t="s">
        <v>19</v>
      </c>
      <c r="G174" t="s">
        <v>20</v>
      </c>
      <c r="H174">
        <v>3</v>
      </c>
      <c r="I174">
        <v>3</v>
      </c>
      <c r="J174">
        <v>977</v>
      </c>
      <c r="K174" s="5">
        <v>1.0259529999999999E-2</v>
      </c>
      <c r="L174" t="s">
        <v>32</v>
      </c>
      <c r="M174" s="4">
        <v>380950</v>
      </c>
      <c r="N174" s="3">
        <v>742.06759999999997</v>
      </c>
      <c r="O174" t="s">
        <v>22</v>
      </c>
      <c r="P174" t="s">
        <v>28</v>
      </c>
      <c r="Q174" t="s">
        <v>24</v>
      </c>
      <c r="R174" t="s">
        <v>54</v>
      </c>
      <c r="S174">
        <v>11</v>
      </c>
    </row>
    <row r="175" spans="1:19" x14ac:dyDescent="0.3">
      <c r="A175" s="1">
        <v>40136</v>
      </c>
      <c r="B175">
        <v>2009</v>
      </c>
      <c r="C175" t="s">
        <v>29</v>
      </c>
      <c r="D175" s="4">
        <v>82671</v>
      </c>
      <c r="E175" s="2">
        <v>155000</v>
      </c>
      <c r="F175" t="s">
        <v>30</v>
      </c>
      <c r="G175" t="s">
        <v>31</v>
      </c>
      <c r="H175">
        <v>4</v>
      </c>
      <c r="I175">
        <v>2</v>
      </c>
      <c r="J175">
        <v>1111.6589814177564</v>
      </c>
      <c r="K175" s="5">
        <v>1.0259529999999999E-2</v>
      </c>
      <c r="L175" t="s">
        <v>32</v>
      </c>
      <c r="M175" s="4">
        <v>72329</v>
      </c>
      <c r="N175" s="3">
        <v>139.43119999999999</v>
      </c>
      <c r="O175" t="s">
        <v>22</v>
      </c>
      <c r="P175" t="s">
        <v>23</v>
      </c>
      <c r="Q175" t="s">
        <v>24</v>
      </c>
      <c r="R175" t="s">
        <v>54</v>
      </c>
      <c r="S175">
        <v>11</v>
      </c>
    </row>
    <row r="176" spans="1:19" x14ac:dyDescent="0.3">
      <c r="A176" s="1">
        <v>40137</v>
      </c>
      <c r="B176">
        <v>2009</v>
      </c>
      <c r="C176" t="s">
        <v>29</v>
      </c>
      <c r="D176" s="4">
        <v>97440</v>
      </c>
      <c r="E176" s="2">
        <v>174900</v>
      </c>
      <c r="F176" t="s">
        <v>19</v>
      </c>
      <c r="G176" t="s">
        <v>20</v>
      </c>
      <c r="H176">
        <v>3</v>
      </c>
      <c r="I176">
        <v>3</v>
      </c>
      <c r="J176">
        <v>956</v>
      </c>
      <c r="K176" s="5">
        <v>1.0259529999999999E-2</v>
      </c>
      <c r="L176" t="s">
        <v>32</v>
      </c>
      <c r="M176" s="4">
        <v>77460</v>
      </c>
      <c r="N176" s="3">
        <v>182.94980000000001</v>
      </c>
      <c r="O176" t="s">
        <v>22</v>
      </c>
      <c r="P176" t="s">
        <v>23</v>
      </c>
      <c r="Q176" t="s">
        <v>24</v>
      </c>
      <c r="R176" t="s">
        <v>54</v>
      </c>
      <c r="S176">
        <v>11</v>
      </c>
    </row>
    <row r="177" spans="1:19" x14ac:dyDescent="0.3">
      <c r="A177" s="1">
        <v>40138</v>
      </c>
      <c r="B177">
        <v>2009</v>
      </c>
      <c r="C177" t="s">
        <v>39</v>
      </c>
      <c r="D177" s="4">
        <v>419020</v>
      </c>
      <c r="E177" s="2">
        <v>665000</v>
      </c>
      <c r="F177" t="s">
        <v>19</v>
      </c>
      <c r="G177" t="s">
        <v>20</v>
      </c>
      <c r="H177">
        <v>3</v>
      </c>
      <c r="I177">
        <v>1</v>
      </c>
      <c r="J177">
        <v>1030</v>
      </c>
      <c r="K177" s="5">
        <v>1.0259529999999999E-2</v>
      </c>
      <c r="L177" t="s">
        <v>32</v>
      </c>
      <c r="M177" s="4">
        <v>245980</v>
      </c>
      <c r="N177" s="3">
        <v>645.63109999999995</v>
      </c>
      <c r="O177" t="s">
        <v>22</v>
      </c>
      <c r="P177" t="s">
        <v>28</v>
      </c>
      <c r="Q177" t="s">
        <v>24</v>
      </c>
      <c r="R177" t="s">
        <v>54</v>
      </c>
      <c r="S177">
        <v>11</v>
      </c>
    </row>
    <row r="178" spans="1:19" x14ac:dyDescent="0.3">
      <c r="A178" s="1">
        <v>40143</v>
      </c>
      <c r="B178">
        <v>2009</v>
      </c>
      <c r="C178" t="s">
        <v>29</v>
      </c>
      <c r="D178" s="4">
        <v>89810</v>
      </c>
      <c r="E178" s="2">
        <v>205000</v>
      </c>
      <c r="F178" t="s">
        <v>19</v>
      </c>
      <c r="G178" t="s">
        <v>20</v>
      </c>
      <c r="H178">
        <v>3</v>
      </c>
      <c r="I178">
        <v>3</v>
      </c>
      <c r="J178">
        <v>1111.6589814177564</v>
      </c>
      <c r="K178" s="5">
        <v>1.0259529999999999E-2</v>
      </c>
      <c r="L178" t="s">
        <v>32</v>
      </c>
      <c r="M178" s="4">
        <v>115190</v>
      </c>
      <c r="N178" s="3">
        <v>184.4091</v>
      </c>
      <c r="O178" t="s">
        <v>22</v>
      </c>
      <c r="P178" t="s">
        <v>24</v>
      </c>
      <c r="Q178" t="s">
        <v>24</v>
      </c>
      <c r="R178" t="s">
        <v>54</v>
      </c>
      <c r="S178">
        <v>11</v>
      </c>
    </row>
    <row r="179" spans="1:19" x14ac:dyDescent="0.3">
      <c r="A179" s="1">
        <v>40144</v>
      </c>
      <c r="B179">
        <v>2009</v>
      </c>
      <c r="C179" t="s">
        <v>35</v>
      </c>
      <c r="D179" s="4">
        <v>1966300</v>
      </c>
      <c r="E179" s="2">
        <v>2750000</v>
      </c>
      <c r="F179" t="s">
        <v>19</v>
      </c>
      <c r="G179" t="s">
        <v>20</v>
      </c>
      <c r="H179">
        <v>3</v>
      </c>
      <c r="I179">
        <v>1</v>
      </c>
      <c r="J179">
        <v>1050</v>
      </c>
      <c r="K179" s="5">
        <v>1.0259529999999999E-2</v>
      </c>
      <c r="L179" t="s">
        <v>38</v>
      </c>
      <c r="M179" s="4">
        <v>783700</v>
      </c>
      <c r="N179" s="3">
        <v>2619.0475999999999</v>
      </c>
      <c r="O179" t="s">
        <v>22</v>
      </c>
      <c r="P179" t="s">
        <v>28</v>
      </c>
      <c r="Q179" t="s">
        <v>24</v>
      </c>
      <c r="R179" t="s">
        <v>54</v>
      </c>
      <c r="S179">
        <v>11</v>
      </c>
    </row>
    <row r="180" spans="1:19" x14ac:dyDescent="0.3">
      <c r="A180" s="1">
        <v>40145</v>
      </c>
      <c r="B180">
        <v>2009</v>
      </c>
      <c r="C180" t="s">
        <v>29</v>
      </c>
      <c r="D180" s="4">
        <v>444584.20699999999</v>
      </c>
      <c r="E180" s="2">
        <v>300000</v>
      </c>
      <c r="F180" t="s">
        <v>30</v>
      </c>
      <c r="G180" t="s">
        <v>31</v>
      </c>
      <c r="H180">
        <v>4</v>
      </c>
      <c r="I180">
        <v>2</v>
      </c>
      <c r="J180">
        <v>1412</v>
      </c>
      <c r="K180" s="5">
        <v>1.0259529999999999E-2</v>
      </c>
      <c r="L180" t="s">
        <v>21</v>
      </c>
      <c r="M180" s="4">
        <v>-144584.20699999999</v>
      </c>
      <c r="N180" s="3">
        <v>212.46459999999999</v>
      </c>
      <c r="O180" t="s">
        <v>33</v>
      </c>
      <c r="P180" t="s">
        <v>24</v>
      </c>
      <c r="Q180" t="s">
        <v>34</v>
      </c>
      <c r="R180" t="s">
        <v>54</v>
      </c>
      <c r="S180">
        <v>11</v>
      </c>
    </row>
    <row r="181" spans="1:19" x14ac:dyDescent="0.3">
      <c r="A181" s="1">
        <v>40147</v>
      </c>
      <c r="B181">
        <v>2009</v>
      </c>
      <c r="C181" t="s">
        <v>40</v>
      </c>
      <c r="D181" s="4">
        <v>365330</v>
      </c>
      <c r="E181" s="2">
        <v>518000</v>
      </c>
      <c r="F181" t="s">
        <v>19</v>
      </c>
      <c r="G181" t="s">
        <v>20</v>
      </c>
      <c r="H181">
        <v>3</v>
      </c>
      <c r="I181">
        <v>3</v>
      </c>
      <c r="J181">
        <v>1002</v>
      </c>
      <c r="K181" s="5">
        <v>1.0259529999999999E-2</v>
      </c>
      <c r="L181" t="s">
        <v>38</v>
      </c>
      <c r="M181" s="4">
        <v>152670</v>
      </c>
      <c r="N181" s="3">
        <v>516.96609999999998</v>
      </c>
      <c r="O181" t="s">
        <v>22</v>
      </c>
      <c r="P181" t="s">
        <v>24</v>
      </c>
      <c r="Q181" t="s">
        <v>24</v>
      </c>
      <c r="R181" t="s">
        <v>54</v>
      </c>
      <c r="S181">
        <v>11</v>
      </c>
    </row>
    <row r="182" spans="1:19" x14ac:dyDescent="0.3">
      <c r="A182" s="1">
        <v>40150</v>
      </c>
      <c r="B182">
        <v>2009</v>
      </c>
      <c r="C182" t="s">
        <v>29</v>
      </c>
      <c r="D182" s="4">
        <v>110180</v>
      </c>
      <c r="E182" s="2">
        <v>203000</v>
      </c>
      <c r="F182" t="s">
        <v>19</v>
      </c>
      <c r="G182" t="s">
        <v>20</v>
      </c>
      <c r="H182">
        <v>3</v>
      </c>
      <c r="I182">
        <v>2</v>
      </c>
      <c r="J182">
        <v>977</v>
      </c>
      <c r="K182" s="5">
        <v>1.0259529999999999E-2</v>
      </c>
      <c r="L182" t="s">
        <v>38</v>
      </c>
      <c r="M182" s="4">
        <v>92820</v>
      </c>
      <c r="N182" s="3">
        <v>207.77889999999999</v>
      </c>
      <c r="O182" t="s">
        <v>22</v>
      </c>
      <c r="P182" t="s">
        <v>24</v>
      </c>
      <c r="Q182" t="s">
        <v>24</v>
      </c>
      <c r="R182" t="s">
        <v>55</v>
      </c>
      <c r="S182">
        <v>12</v>
      </c>
    </row>
    <row r="183" spans="1:19" x14ac:dyDescent="0.3">
      <c r="A183" s="1">
        <v>40151</v>
      </c>
      <c r="B183">
        <v>2009</v>
      </c>
      <c r="C183" t="s">
        <v>35</v>
      </c>
      <c r="D183" s="4">
        <v>444584.20699999999</v>
      </c>
      <c r="E183" s="2">
        <v>1200000</v>
      </c>
      <c r="F183" t="s">
        <v>19</v>
      </c>
      <c r="G183" t="s">
        <v>20</v>
      </c>
      <c r="H183">
        <v>3</v>
      </c>
      <c r="I183">
        <v>2</v>
      </c>
      <c r="J183">
        <v>910</v>
      </c>
      <c r="K183" s="5">
        <v>1.0259529999999999E-2</v>
      </c>
      <c r="L183" t="s">
        <v>21</v>
      </c>
      <c r="M183" s="4">
        <v>755415.79299999995</v>
      </c>
      <c r="N183" s="3">
        <v>1318.6813</v>
      </c>
      <c r="O183" t="s">
        <v>22</v>
      </c>
      <c r="P183" t="s">
        <v>28</v>
      </c>
      <c r="Q183" t="s">
        <v>24</v>
      </c>
      <c r="R183" t="s">
        <v>55</v>
      </c>
      <c r="S183">
        <v>12</v>
      </c>
    </row>
    <row r="184" spans="1:19" x14ac:dyDescent="0.3">
      <c r="A184" s="1">
        <v>40152</v>
      </c>
      <c r="B184">
        <v>2009</v>
      </c>
      <c r="C184" t="s">
        <v>29</v>
      </c>
      <c r="D184" s="4">
        <v>76020</v>
      </c>
      <c r="E184" s="2">
        <v>185000</v>
      </c>
      <c r="F184" t="s">
        <v>19</v>
      </c>
      <c r="G184" t="s">
        <v>20</v>
      </c>
      <c r="H184">
        <v>3</v>
      </c>
      <c r="I184">
        <v>3</v>
      </c>
      <c r="J184">
        <v>925</v>
      </c>
      <c r="K184" s="5">
        <v>1.0259529999999999E-2</v>
      </c>
      <c r="L184" t="s">
        <v>32</v>
      </c>
      <c r="M184" s="4">
        <v>108980</v>
      </c>
      <c r="N184" s="3">
        <v>200</v>
      </c>
      <c r="O184" t="s">
        <v>22</v>
      </c>
      <c r="P184" t="s">
        <v>23</v>
      </c>
      <c r="Q184" t="s">
        <v>24</v>
      </c>
      <c r="R184" t="s">
        <v>55</v>
      </c>
      <c r="S184">
        <v>12</v>
      </c>
    </row>
    <row r="185" spans="1:19" x14ac:dyDescent="0.3">
      <c r="A185" s="1">
        <v>40153</v>
      </c>
      <c r="B185">
        <v>2009</v>
      </c>
      <c r="C185" t="s">
        <v>40</v>
      </c>
      <c r="D185" s="4">
        <v>170380</v>
      </c>
      <c r="E185" s="2">
        <v>308000</v>
      </c>
      <c r="F185" t="s">
        <v>30</v>
      </c>
      <c r="G185" t="s">
        <v>31</v>
      </c>
      <c r="H185">
        <v>4</v>
      </c>
      <c r="I185">
        <v>3</v>
      </c>
      <c r="J185">
        <v>1111.6589814177564</v>
      </c>
      <c r="K185" s="5">
        <v>1.0259529999999999E-2</v>
      </c>
      <c r="L185" t="s">
        <v>32</v>
      </c>
      <c r="M185" s="4">
        <v>137620</v>
      </c>
      <c r="N185" s="3">
        <v>277.0634</v>
      </c>
      <c r="O185" t="s">
        <v>22</v>
      </c>
      <c r="P185" t="s">
        <v>24</v>
      </c>
      <c r="Q185" t="s">
        <v>24</v>
      </c>
      <c r="R185" t="s">
        <v>55</v>
      </c>
      <c r="S185">
        <v>12</v>
      </c>
    </row>
    <row r="186" spans="1:19" x14ac:dyDescent="0.3">
      <c r="A186" s="1">
        <v>40154</v>
      </c>
      <c r="B186">
        <v>2009</v>
      </c>
      <c r="C186" t="s">
        <v>26</v>
      </c>
      <c r="D186" s="4">
        <v>1433880</v>
      </c>
      <c r="E186" s="2">
        <v>3150000</v>
      </c>
      <c r="F186" t="s">
        <v>19</v>
      </c>
      <c r="G186" t="s">
        <v>20</v>
      </c>
      <c r="H186">
        <v>3</v>
      </c>
      <c r="I186">
        <v>2</v>
      </c>
      <c r="J186">
        <v>1069</v>
      </c>
      <c r="K186" s="5">
        <v>1.0259529999999999E-2</v>
      </c>
      <c r="L186" t="s">
        <v>21</v>
      </c>
      <c r="M186" s="4">
        <v>1716120</v>
      </c>
      <c r="N186" s="3">
        <v>2946.6790999999998</v>
      </c>
      <c r="O186" t="s">
        <v>22</v>
      </c>
      <c r="P186" t="s">
        <v>28</v>
      </c>
      <c r="Q186" t="s">
        <v>24</v>
      </c>
      <c r="R186" t="s">
        <v>55</v>
      </c>
      <c r="S186">
        <v>12</v>
      </c>
    </row>
    <row r="187" spans="1:19" x14ac:dyDescent="0.3">
      <c r="A187" s="1">
        <v>40158</v>
      </c>
      <c r="B187">
        <v>2009</v>
      </c>
      <c r="C187" t="s">
        <v>39</v>
      </c>
      <c r="D187" s="4">
        <v>360150</v>
      </c>
      <c r="E187" s="2">
        <v>400000</v>
      </c>
      <c r="F187" t="s">
        <v>19</v>
      </c>
      <c r="G187" t="s">
        <v>20</v>
      </c>
      <c r="H187">
        <v>3</v>
      </c>
      <c r="I187">
        <v>2</v>
      </c>
      <c r="J187">
        <v>974</v>
      </c>
      <c r="K187" s="5">
        <v>1.0259529999999999E-2</v>
      </c>
      <c r="L187" t="s">
        <v>21</v>
      </c>
      <c r="M187" s="4">
        <v>39850</v>
      </c>
      <c r="N187" s="3">
        <v>410.67759999999998</v>
      </c>
      <c r="O187" t="s">
        <v>22</v>
      </c>
      <c r="P187" t="s">
        <v>24</v>
      </c>
      <c r="Q187" t="s">
        <v>24</v>
      </c>
      <c r="R187" t="s">
        <v>55</v>
      </c>
      <c r="S187">
        <v>12</v>
      </c>
    </row>
    <row r="188" spans="1:19" x14ac:dyDescent="0.3">
      <c r="A188" s="1">
        <v>40159</v>
      </c>
      <c r="B188">
        <v>2009</v>
      </c>
      <c r="C188" t="s">
        <v>29</v>
      </c>
      <c r="D188" s="4">
        <v>125230</v>
      </c>
      <c r="E188" s="2">
        <v>217000</v>
      </c>
      <c r="F188" t="s">
        <v>19</v>
      </c>
      <c r="G188" t="s">
        <v>20</v>
      </c>
      <c r="H188">
        <v>3</v>
      </c>
      <c r="I188">
        <v>3</v>
      </c>
      <c r="J188">
        <v>971</v>
      </c>
      <c r="K188" s="5">
        <v>1.0259529999999999E-2</v>
      </c>
      <c r="L188" t="s">
        <v>21</v>
      </c>
      <c r="M188" s="4">
        <v>91770</v>
      </c>
      <c r="N188" s="3">
        <v>223.48089999999999</v>
      </c>
      <c r="O188" t="s">
        <v>22</v>
      </c>
      <c r="P188" t="s">
        <v>24</v>
      </c>
      <c r="Q188" t="s">
        <v>24</v>
      </c>
      <c r="R188" t="s">
        <v>55</v>
      </c>
      <c r="S188">
        <v>12</v>
      </c>
    </row>
    <row r="189" spans="1:19" x14ac:dyDescent="0.3">
      <c r="A189" s="1">
        <v>40161</v>
      </c>
      <c r="B189">
        <v>2009</v>
      </c>
      <c r="C189" t="s">
        <v>26</v>
      </c>
      <c r="D189" s="4">
        <v>402150</v>
      </c>
      <c r="E189" s="2">
        <v>1075000</v>
      </c>
      <c r="F189" t="s">
        <v>19</v>
      </c>
      <c r="G189" t="s">
        <v>20</v>
      </c>
      <c r="H189">
        <v>3</v>
      </c>
      <c r="I189">
        <v>1</v>
      </c>
      <c r="J189">
        <v>953</v>
      </c>
      <c r="K189" s="5">
        <v>1.0259529999999999E-2</v>
      </c>
      <c r="L189" t="s">
        <v>32</v>
      </c>
      <c r="M189" s="4">
        <v>672850</v>
      </c>
      <c r="N189" s="3">
        <v>1128.0168000000001</v>
      </c>
      <c r="O189" t="s">
        <v>22</v>
      </c>
      <c r="P189" t="s">
        <v>28</v>
      </c>
      <c r="Q189" t="s">
        <v>24</v>
      </c>
      <c r="R189" t="s">
        <v>55</v>
      </c>
      <c r="S189">
        <v>12</v>
      </c>
    </row>
    <row r="190" spans="1:19" x14ac:dyDescent="0.3">
      <c r="A190" s="1">
        <v>40164</v>
      </c>
      <c r="B190">
        <v>2009</v>
      </c>
      <c r="C190" t="s">
        <v>29</v>
      </c>
      <c r="D190" s="4">
        <v>444584.20699999999</v>
      </c>
      <c r="E190" s="2">
        <v>153352</v>
      </c>
      <c r="F190" t="s">
        <v>19</v>
      </c>
      <c r="G190" t="s">
        <v>20</v>
      </c>
      <c r="H190">
        <v>3</v>
      </c>
      <c r="I190">
        <v>3</v>
      </c>
      <c r="J190">
        <v>915</v>
      </c>
      <c r="K190" s="5">
        <v>1.0259529999999999E-2</v>
      </c>
      <c r="L190" t="s">
        <v>32</v>
      </c>
      <c r="M190" s="4">
        <v>-291232.20699999999</v>
      </c>
      <c r="N190" s="3">
        <v>167.59780000000001</v>
      </c>
      <c r="O190" t="s">
        <v>33</v>
      </c>
      <c r="P190" t="s">
        <v>23</v>
      </c>
      <c r="Q190" t="s">
        <v>24</v>
      </c>
      <c r="R190" t="s">
        <v>55</v>
      </c>
      <c r="S190">
        <v>12</v>
      </c>
    </row>
    <row r="191" spans="1:19" x14ac:dyDescent="0.3">
      <c r="A191" s="1">
        <v>40165</v>
      </c>
      <c r="B191">
        <v>2009</v>
      </c>
      <c r="C191" t="s">
        <v>26</v>
      </c>
      <c r="D191" s="4">
        <v>245000</v>
      </c>
      <c r="E191" s="2">
        <v>487000</v>
      </c>
      <c r="F191" t="s">
        <v>30</v>
      </c>
      <c r="G191" t="s">
        <v>31</v>
      </c>
      <c r="H191">
        <v>4</v>
      </c>
      <c r="I191">
        <v>3</v>
      </c>
      <c r="J191">
        <v>1373</v>
      </c>
      <c r="K191" s="5">
        <v>1.0259529999999999E-2</v>
      </c>
      <c r="L191" t="s">
        <v>27</v>
      </c>
      <c r="M191" s="4">
        <v>242000</v>
      </c>
      <c r="N191" s="3">
        <v>354.6977</v>
      </c>
      <c r="O191" t="s">
        <v>22</v>
      </c>
      <c r="P191" t="s">
        <v>24</v>
      </c>
      <c r="Q191" t="s">
        <v>34</v>
      </c>
      <c r="R191" t="s">
        <v>55</v>
      </c>
      <c r="S191">
        <v>12</v>
      </c>
    </row>
    <row r="192" spans="1:19" x14ac:dyDescent="0.3">
      <c r="A192" s="1">
        <v>40166</v>
      </c>
      <c r="B192">
        <v>2009</v>
      </c>
      <c r="C192" t="s">
        <v>52</v>
      </c>
      <c r="D192" s="4">
        <v>273300</v>
      </c>
      <c r="E192" s="2">
        <v>400000</v>
      </c>
      <c r="F192" t="s">
        <v>19</v>
      </c>
      <c r="G192" t="s">
        <v>20</v>
      </c>
      <c r="H192">
        <v>3</v>
      </c>
      <c r="I192">
        <v>2</v>
      </c>
      <c r="J192">
        <v>1025</v>
      </c>
      <c r="K192" s="5">
        <v>1.0259529999999999E-2</v>
      </c>
      <c r="L192" t="s">
        <v>38</v>
      </c>
      <c r="M192" s="4">
        <v>126700</v>
      </c>
      <c r="N192" s="3">
        <v>390.2439</v>
      </c>
      <c r="O192" t="s">
        <v>22</v>
      </c>
      <c r="P192" t="s">
        <v>24</v>
      </c>
      <c r="Q192" t="s">
        <v>24</v>
      </c>
      <c r="R192" t="s">
        <v>55</v>
      </c>
      <c r="S192">
        <v>12</v>
      </c>
    </row>
    <row r="193" spans="1:19" x14ac:dyDescent="0.3">
      <c r="A193" s="1">
        <v>40167</v>
      </c>
      <c r="B193">
        <v>2009</v>
      </c>
      <c r="C193" t="s">
        <v>26</v>
      </c>
      <c r="D193" s="4">
        <v>444584.20699999999</v>
      </c>
      <c r="E193" s="2">
        <v>635000</v>
      </c>
      <c r="F193" t="s">
        <v>19</v>
      </c>
      <c r="G193" t="s">
        <v>20</v>
      </c>
      <c r="H193">
        <v>3</v>
      </c>
      <c r="I193">
        <v>3</v>
      </c>
      <c r="J193">
        <v>1085</v>
      </c>
      <c r="K193" s="5">
        <v>1.0259529999999999E-2</v>
      </c>
      <c r="L193" t="s">
        <v>38</v>
      </c>
      <c r="M193" s="4">
        <v>190415.79300000001</v>
      </c>
      <c r="N193" s="3">
        <v>585.25350000000003</v>
      </c>
      <c r="O193" t="s">
        <v>22</v>
      </c>
      <c r="P193" t="s">
        <v>28</v>
      </c>
      <c r="Q193" t="s">
        <v>24</v>
      </c>
      <c r="R193" t="s">
        <v>55</v>
      </c>
      <c r="S193">
        <v>12</v>
      </c>
    </row>
    <row r="194" spans="1:19" x14ac:dyDescent="0.3">
      <c r="A194" s="1">
        <v>40171</v>
      </c>
      <c r="B194">
        <v>2009</v>
      </c>
      <c r="C194" t="s">
        <v>26</v>
      </c>
      <c r="D194" s="4">
        <v>444584.20699999999</v>
      </c>
      <c r="E194" s="2">
        <v>540000</v>
      </c>
      <c r="F194" t="s">
        <v>19</v>
      </c>
      <c r="G194" t="s">
        <v>20</v>
      </c>
      <c r="H194">
        <v>3</v>
      </c>
      <c r="I194">
        <v>1</v>
      </c>
      <c r="J194">
        <v>1111.6589814177564</v>
      </c>
      <c r="K194" s="5">
        <v>1.0259529999999999E-2</v>
      </c>
      <c r="L194" t="s">
        <v>27</v>
      </c>
      <c r="M194" s="4">
        <v>95415.793000000005</v>
      </c>
      <c r="N194" s="3">
        <v>485.76049999999998</v>
      </c>
      <c r="O194" t="s">
        <v>22</v>
      </c>
      <c r="P194" t="s">
        <v>24</v>
      </c>
      <c r="Q194" t="s">
        <v>24</v>
      </c>
      <c r="R194" t="s">
        <v>55</v>
      </c>
      <c r="S194">
        <v>12</v>
      </c>
    </row>
    <row r="195" spans="1:19" x14ac:dyDescent="0.3">
      <c r="A195" s="1">
        <v>40173</v>
      </c>
      <c r="B195">
        <v>2009</v>
      </c>
      <c r="C195" t="s">
        <v>26</v>
      </c>
      <c r="D195" s="4">
        <v>409080</v>
      </c>
      <c r="E195" s="2">
        <v>500000</v>
      </c>
      <c r="F195" t="s">
        <v>19</v>
      </c>
      <c r="G195" t="s">
        <v>20</v>
      </c>
      <c r="H195">
        <v>3</v>
      </c>
      <c r="I195">
        <v>1</v>
      </c>
      <c r="J195">
        <v>912</v>
      </c>
      <c r="K195" s="5">
        <v>1.0259529999999999E-2</v>
      </c>
      <c r="L195" t="s">
        <v>27</v>
      </c>
      <c r="M195" s="4">
        <v>90920</v>
      </c>
      <c r="N195" s="3">
        <v>548.24559999999997</v>
      </c>
      <c r="O195" t="s">
        <v>22</v>
      </c>
      <c r="P195" t="s">
        <v>24</v>
      </c>
      <c r="Q195" t="s">
        <v>24</v>
      </c>
      <c r="R195" t="s">
        <v>55</v>
      </c>
      <c r="S195">
        <v>12</v>
      </c>
    </row>
    <row r="196" spans="1:19" x14ac:dyDescent="0.3">
      <c r="A196" s="1">
        <v>40174</v>
      </c>
      <c r="B196">
        <v>2009</v>
      </c>
      <c r="C196" t="s">
        <v>29</v>
      </c>
      <c r="D196" s="4">
        <v>444584.20699999999</v>
      </c>
      <c r="E196" s="2">
        <v>115000</v>
      </c>
      <c r="F196" t="s">
        <v>19</v>
      </c>
      <c r="G196" t="s">
        <v>20</v>
      </c>
      <c r="H196">
        <v>3</v>
      </c>
      <c r="I196">
        <v>3</v>
      </c>
      <c r="J196">
        <v>938</v>
      </c>
      <c r="K196" s="5">
        <v>1.0259529999999999E-2</v>
      </c>
      <c r="L196" t="s">
        <v>21</v>
      </c>
      <c r="M196" s="4">
        <v>-329584.20699999999</v>
      </c>
      <c r="N196" s="3">
        <v>122.60129999999999</v>
      </c>
      <c r="O196" t="s">
        <v>33</v>
      </c>
      <c r="P196" t="s">
        <v>23</v>
      </c>
      <c r="Q196" t="s">
        <v>24</v>
      </c>
      <c r="R196" t="s">
        <v>55</v>
      </c>
      <c r="S196">
        <v>12</v>
      </c>
    </row>
    <row r="197" spans="1:19" x14ac:dyDescent="0.3">
      <c r="A197" s="1">
        <v>40175</v>
      </c>
      <c r="B197">
        <v>2009</v>
      </c>
      <c r="C197" t="s">
        <v>29</v>
      </c>
      <c r="D197" s="4">
        <v>80500</v>
      </c>
      <c r="E197" s="2">
        <v>150000</v>
      </c>
      <c r="F197" t="s">
        <v>19</v>
      </c>
      <c r="G197" t="s">
        <v>20</v>
      </c>
      <c r="H197">
        <v>3</v>
      </c>
      <c r="I197">
        <v>2</v>
      </c>
      <c r="J197">
        <v>1043</v>
      </c>
      <c r="K197" s="5">
        <v>1.0259529999999999E-2</v>
      </c>
      <c r="L197" t="s">
        <v>21</v>
      </c>
      <c r="M197" s="4">
        <v>69500</v>
      </c>
      <c r="N197" s="3">
        <v>143.8159</v>
      </c>
      <c r="O197" t="s">
        <v>22</v>
      </c>
      <c r="P197" t="s">
        <v>23</v>
      </c>
      <c r="Q197" t="s">
        <v>24</v>
      </c>
      <c r="R197" t="s">
        <v>55</v>
      </c>
      <c r="S197">
        <v>12</v>
      </c>
    </row>
    <row r="198" spans="1:19" x14ac:dyDescent="0.3">
      <c r="A198" s="1">
        <v>40178</v>
      </c>
      <c r="B198">
        <v>2009</v>
      </c>
      <c r="C198" t="s">
        <v>39</v>
      </c>
      <c r="D198" s="4">
        <v>898590</v>
      </c>
      <c r="E198" s="2">
        <v>1195000</v>
      </c>
      <c r="F198" t="s">
        <v>19</v>
      </c>
      <c r="G198" t="s">
        <v>20</v>
      </c>
      <c r="H198">
        <v>3</v>
      </c>
      <c r="I198">
        <v>2</v>
      </c>
      <c r="J198">
        <v>947</v>
      </c>
      <c r="K198" s="5">
        <v>1.0259529999999999E-2</v>
      </c>
      <c r="L198" t="s">
        <v>21</v>
      </c>
      <c r="M198" s="4">
        <v>296410</v>
      </c>
      <c r="N198" s="3">
        <v>1261.8796</v>
      </c>
      <c r="O198" t="s">
        <v>22</v>
      </c>
      <c r="P198" t="s">
        <v>28</v>
      </c>
      <c r="Q198" t="s">
        <v>24</v>
      </c>
      <c r="R198" t="s">
        <v>55</v>
      </c>
      <c r="S198">
        <v>12</v>
      </c>
    </row>
    <row r="199" spans="1:19" x14ac:dyDescent="0.3">
      <c r="A199" s="1">
        <v>40180</v>
      </c>
      <c r="B199">
        <v>2010</v>
      </c>
      <c r="C199" t="s">
        <v>40</v>
      </c>
      <c r="D199" s="4">
        <v>444584.20699999999</v>
      </c>
      <c r="E199" s="2">
        <v>725000</v>
      </c>
      <c r="F199" t="s">
        <v>19</v>
      </c>
      <c r="G199" t="s">
        <v>20</v>
      </c>
      <c r="H199">
        <v>3</v>
      </c>
      <c r="I199">
        <v>1</v>
      </c>
      <c r="J199">
        <v>967</v>
      </c>
      <c r="K199" s="5">
        <v>1.025846E-2</v>
      </c>
      <c r="L199" t="s">
        <v>27</v>
      </c>
      <c r="M199" s="4">
        <v>280415.79300000001</v>
      </c>
      <c r="N199" s="3">
        <v>749.74149999999997</v>
      </c>
      <c r="O199" t="s">
        <v>22</v>
      </c>
      <c r="P199" t="s">
        <v>28</v>
      </c>
      <c r="Q199" t="s">
        <v>24</v>
      </c>
      <c r="R199" t="s">
        <v>25</v>
      </c>
      <c r="S199">
        <v>1</v>
      </c>
    </row>
    <row r="200" spans="1:19" x14ac:dyDescent="0.3">
      <c r="A200" s="1">
        <v>40181</v>
      </c>
      <c r="B200">
        <v>2010</v>
      </c>
      <c r="C200" t="s">
        <v>29</v>
      </c>
      <c r="D200" s="4">
        <v>154360</v>
      </c>
      <c r="E200" s="2">
        <v>375000</v>
      </c>
      <c r="F200" t="s">
        <v>19</v>
      </c>
      <c r="G200" t="s">
        <v>20</v>
      </c>
      <c r="H200">
        <v>3</v>
      </c>
      <c r="I200">
        <v>3</v>
      </c>
      <c r="J200">
        <v>1111.6589814177564</v>
      </c>
      <c r="K200" s="5">
        <v>1.025846E-2</v>
      </c>
      <c r="L200" t="s">
        <v>21</v>
      </c>
      <c r="M200" s="4">
        <v>220640</v>
      </c>
      <c r="N200" s="3">
        <v>337.33370000000002</v>
      </c>
      <c r="O200" t="s">
        <v>22</v>
      </c>
      <c r="P200" t="s">
        <v>24</v>
      </c>
      <c r="Q200" t="s">
        <v>24</v>
      </c>
      <c r="R200" t="s">
        <v>25</v>
      </c>
      <c r="S200">
        <v>1</v>
      </c>
    </row>
    <row r="201" spans="1:19" x14ac:dyDescent="0.3">
      <c r="A201" s="1">
        <v>40185</v>
      </c>
      <c r="B201">
        <v>2010</v>
      </c>
      <c r="C201" t="s">
        <v>35</v>
      </c>
      <c r="D201" s="4">
        <v>608440</v>
      </c>
      <c r="E201" s="2">
        <v>850000</v>
      </c>
      <c r="F201" t="s">
        <v>19</v>
      </c>
      <c r="G201" t="s">
        <v>20</v>
      </c>
      <c r="H201">
        <v>3</v>
      </c>
      <c r="I201">
        <v>1</v>
      </c>
      <c r="J201">
        <v>900</v>
      </c>
      <c r="K201" s="5">
        <v>1.025846E-2</v>
      </c>
      <c r="L201" t="s">
        <v>27</v>
      </c>
      <c r="M201" s="4">
        <v>241560</v>
      </c>
      <c r="N201" s="3">
        <v>944.44439999999997</v>
      </c>
      <c r="O201" t="s">
        <v>22</v>
      </c>
      <c r="P201" t="s">
        <v>28</v>
      </c>
      <c r="Q201" t="s">
        <v>24</v>
      </c>
      <c r="R201" t="s">
        <v>25</v>
      </c>
      <c r="S201">
        <v>1</v>
      </c>
    </row>
    <row r="202" spans="1:19" x14ac:dyDescent="0.3">
      <c r="A202" s="1">
        <v>40186</v>
      </c>
      <c r="B202">
        <v>2010</v>
      </c>
      <c r="C202" t="s">
        <v>35</v>
      </c>
      <c r="D202" s="4">
        <v>640220</v>
      </c>
      <c r="E202" s="2">
        <v>60576</v>
      </c>
      <c r="F202" t="s">
        <v>30</v>
      </c>
      <c r="G202" t="s">
        <v>31</v>
      </c>
      <c r="H202">
        <v>4</v>
      </c>
      <c r="I202">
        <v>4</v>
      </c>
      <c r="J202">
        <v>1324</v>
      </c>
      <c r="K202" s="5">
        <v>1.025846E-2</v>
      </c>
      <c r="L202" t="s">
        <v>27</v>
      </c>
      <c r="M202" s="4">
        <v>-579644</v>
      </c>
      <c r="N202" s="3">
        <v>45.752299999999998</v>
      </c>
      <c r="O202" t="s">
        <v>33</v>
      </c>
      <c r="P202" t="s">
        <v>23</v>
      </c>
      <c r="Q202" t="s">
        <v>34</v>
      </c>
      <c r="R202" t="s">
        <v>25</v>
      </c>
      <c r="S202">
        <v>1</v>
      </c>
    </row>
    <row r="203" spans="1:19" x14ac:dyDescent="0.3">
      <c r="A203" s="1">
        <v>40187</v>
      </c>
      <c r="B203">
        <v>2010</v>
      </c>
      <c r="C203" t="s">
        <v>26</v>
      </c>
      <c r="D203" s="4">
        <v>216160</v>
      </c>
      <c r="E203" s="2">
        <v>385000</v>
      </c>
      <c r="F203" t="s">
        <v>19</v>
      </c>
      <c r="G203" t="s">
        <v>20</v>
      </c>
      <c r="H203">
        <v>3</v>
      </c>
      <c r="I203">
        <v>3</v>
      </c>
      <c r="J203">
        <v>1048</v>
      </c>
      <c r="K203" s="5">
        <v>1.025846E-2</v>
      </c>
      <c r="L203" t="s">
        <v>32</v>
      </c>
      <c r="M203" s="4">
        <v>168840</v>
      </c>
      <c r="N203" s="3">
        <v>367.3664</v>
      </c>
      <c r="O203" t="s">
        <v>22</v>
      </c>
      <c r="P203" t="s">
        <v>24</v>
      </c>
      <c r="Q203" t="s">
        <v>24</v>
      </c>
      <c r="R203" t="s">
        <v>25</v>
      </c>
      <c r="S203">
        <v>1</v>
      </c>
    </row>
    <row r="204" spans="1:19" x14ac:dyDescent="0.3">
      <c r="A204" s="1">
        <v>40188</v>
      </c>
      <c r="B204">
        <v>2010</v>
      </c>
      <c r="C204" t="s">
        <v>40</v>
      </c>
      <c r="D204" s="4">
        <v>127260</v>
      </c>
      <c r="E204" s="2">
        <v>240000</v>
      </c>
      <c r="F204" t="s">
        <v>36</v>
      </c>
      <c r="G204" t="s">
        <v>37</v>
      </c>
      <c r="H204">
        <v>6</v>
      </c>
      <c r="I204">
        <v>6</v>
      </c>
      <c r="J204">
        <v>1988</v>
      </c>
      <c r="K204" s="5">
        <v>1.025846E-2</v>
      </c>
      <c r="L204" t="s">
        <v>32</v>
      </c>
      <c r="M204" s="4">
        <v>112740</v>
      </c>
      <c r="N204" s="3">
        <v>120.7243</v>
      </c>
      <c r="O204" t="s">
        <v>22</v>
      </c>
      <c r="P204" t="s">
        <v>24</v>
      </c>
      <c r="Q204" t="s">
        <v>34</v>
      </c>
      <c r="R204" t="s">
        <v>25</v>
      </c>
      <c r="S204">
        <v>1</v>
      </c>
    </row>
    <row r="205" spans="1:19" x14ac:dyDescent="0.3">
      <c r="A205" s="1">
        <v>40193</v>
      </c>
      <c r="B205">
        <v>2010</v>
      </c>
      <c r="C205" t="s">
        <v>39</v>
      </c>
      <c r="D205" s="4">
        <v>304360</v>
      </c>
      <c r="E205" s="2">
        <v>351000</v>
      </c>
      <c r="F205" t="s">
        <v>19</v>
      </c>
      <c r="G205" t="s">
        <v>20</v>
      </c>
      <c r="H205">
        <v>3</v>
      </c>
      <c r="I205">
        <v>3</v>
      </c>
      <c r="J205">
        <v>901</v>
      </c>
      <c r="K205" s="5">
        <v>1.025846E-2</v>
      </c>
      <c r="L205" t="s">
        <v>21</v>
      </c>
      <c r="M205" s="4">
        <v>46640</v>
      </c>
      <c r="N205" s="3">
        <v>389.56709999999998</v>
      </c>
      <c r="O205" t="s">
        <v>22</v>
      </c>
      <c r="P205" t="s">
        <v>24</v>
      </c>
      <c r="Q205" t="s">
        <v>24</v>
      </c>
      <c r="R205" t="s">
        <v>25</v>
      </c>
      <c r="S205">
        <v>1</v>
      </c>
    </row>
    <row r="206" spans="1:19" x14ac:dyDescent="0.3">
      <c r="A206" s="1">
        <v>40195</v>
      </c>
      <c r="B206">
        <v>2010</v>
      </c>
      <c r="C206" t="s">
        <v>52</v>
      </c>
      <c r="D206" s="4">
        <v>117100</v>
      </c>
      <c r="E206" s="2">
        <v>130000</v>
      </c>
      <c r="F206" t="s">
        <v>19</v>
      </c>
      <c r="G206" t="s">
        <v>20</v>
      </c>
      <c r="H206">
        <v>3</v>
      </c>
      <c r="I206">
        <v>1</v>
      </c>
      <c r="J206">
        <v>924</v>
      </c>
      <c r="K206" s="5">
        <v>1.025846E-2</v>
      </c>
      <c r="L206" t="s">
        <v>38</v>
      </c>
      <c r="M206" s="4">
        <v>12900</v>
      </c>
      <c r="N206" s="3">
        <v>140.6926</v>
      </c>
      <c r="O206" t="s">
        <v>22</v>
      </c>
      <c r="P206" t="s">
        <v>23</v>
      </c>
      <c r="Q206" t="s">
        <v>24</v>
      </c>
      <c r="R206" t="s">
        <v>25</v>
      </c>
      <c r="S206">
        <v>1</v>
      </c>
    </row>
    <row r="207" spans="1:19" x14ac:dyDescent="0.3">
      <c r="A207" s="1">
        <v>40196</v>
      </c>
      <c r="B207">
        <v>2010</v>
      </c>
      <c r="C207" t="s">
        <v>35</v>
      </c>
      <c r="D207" s="4">
        <v>699510</v>
      </c>
      <c r="E207" s="2">
        <v>790000</v>
      </c>
      <c r="F207" t="s">
        <v>19</v>
      </c>
      <c r="G207" t="s">
        <v>20</v>
      </c>
      <c r="H207">
        <v>3</v>
      </c>
      <c r="I207">
        <v>1</v>
      </c>
      <c r="J207">
        <v>1076</v>
      </c>
      <c r="K207" s="5">
        <v>1.025846E-2</v>
      </c>
      <c r="L207" t="s">
        <v>38</v>
      </c>
      <c r="M207" s="4">
        <v>90490</v>
      </c>
      <c r="N207" s="3">
        <v>734.20069999999998</v>
      </c>
      <c r="O207" t="s">
        <v>22</v>
      </c>
      <c r="P207" t="s">
        <v>28</v>
      </c>
      <c r="Q207" t="s">
        <v>24</v>
      </c>
      <c r="R207" t="s">
        <v>25</v>
      </c>
      <c r="S207">
        <v>1</v>
      </c>
    </row>
    <row r="208" spans="1:19" x14ac:dyDescent="0.3">
      <c r="A208" s="1">
        <v>40202</v>
      </c>
      <c r="B208">
        <v>2010</v>
      </c>
      <c r="C208" t="s">
        <v>52</v>
      </c>
      <c r="D208" s="4">
        <v>738500</v>
      </c>
      <c r="E208" s="2">
        <v>1430000</v>
      </c>
      <c r="F208" t="s">
        <v>19</v>
      </c>
      <c r="G208" t="s">
        <v>20</v>
      </c>
      <c r="H208">
        <v>3</v>
      </c>
      <c r="I208">
        <v>3</v>
      </c>
      <c r="J208">
        <v>1005</v>
      </c>
      <c r="K208" s="5">
        <v>1.025846E-2</v>
      </c>
      <c r="L208" t="s">
        <v>27</v>
      </c>
      <c r="M208" s="4">
        <v>691500</v>
      </c>
      <c r="N208" s="3">
        <v>1422.8856000000001</v>
      </c>
      <c r="O208" t="s">
        <v>22</v>
      </c>
      <c r="P208" t="s">
        <v>28</v>
      </c>
      <c r="Q208" t="s">
        <v>24</v>
      </c>
      <c r="R208" t="s">
        <v>25</v>
      </c>
      <c r="S208">
        <v>1</v>
      </c>
    </row>
    <row r="209" spans="1:19" x14ac:dyDescent="0.3">
      <c r="A209" s="1">
        <v>40206</v>
      </c>
      <c r="B209">
        <v>2010</v>
      </c>
      <c r="C209" t="s">
        <v>29</v>
      </c>
      <c r="D209" s="4">
        <v>0</v>
      </c>
      <c r="E209" s="2">
        <v>199750</v>
      </c>
      <c r="F209" t="s">
        <v>36</v>
      </c>
      <c r="G209" t="s">
        <v>37</v>
      </c>
      <c r="H209">
        <v>6</v>
      </c>
      <c r="I209">
        <v>5</v>
      </c>
      <c r="J209">
        <v>1895</v>
      </c>
      <c r="K209" s="5">
        <v>1.025846E-2</v>
      </c>
      <c r="L209" t="s">
        <v>38</v>
      </c>
      <c r="M209" s="4">
        <v>199750</v>
      </c>
      <c r="N209" s="3">
        <v>105.40900000000001</v>
      </c>
      <c r="O209" t="s">
        <v>22</v>
      </c>
      <c r="P209" t="s">
        <v>23</v>
      </c>
      <c r="Q209" t="s">
        <v>34</v>
      </c>
      <c r="R209" t="s">
        <v>25</v>
      </c>
      <c r="S209">
        <v>1</v>
      </c>
    </row>
    <row r="210" spans="1:19" x14ac:dyDescent="0.3">
      <c r="A210" s="1">
        <v>40209</v>
      </c>
      <c r="B210">
        <v>2010</v>
      </c>
      <c r="C210" t="s">
        <v>29</v>
      </c>
      <c r="D210" s="4">
        <v>147840</v>
      </c>
      <c r="E210" s="2">
        <v>215000</v>
      </c>
      <c r="F210" t="s">
        <v>19</v>
      </c>
      <c r="G210" t="s">
        <v>20</v>
      </c>
      <c r="H210">
        <v>3</v>
      </c>
      <c r="I210">
        <v>1</v>
      </c>
      <c r="J210">
        <v>1111.6589814177564</v>
      </c>
      <c r="K210" s="5">
        <v>1.025846E-2</v>
      </c>
      <c r="L210" t="s">
        <v>27</v>
      </c>
      <c r="M210" s="4">
        <v>67160</v>
      </c>
      <c r="N210" s="3">
        <v>193.40459999999999</v>
      </c>
      <c r="O210" t="s">
        <v>22</v>
      </c>
      <c r="P210" t="s">
        <v>24</v>
      </c>
      <c r="Q210" t="s">
        <v>24</v>
      </c>
      <c r="R210" t="s">
        <v>25</v>
      </c>
      <c r="S210">
        <v>1</v>
      </c>
    </row>
    <row r="211" spans="1:19" x14ac:dyDescent="0.3">
      <c r="A211" s="1">
        <v>40210</v>
      </c>
      <c r="B211">
        <v>2010</v>
      </c>
      <c r="C211" t="s">
        <v>26</v>
      </c>
      <c r="D211" s="4">
        <v>236670</v>
      </c>
      <c r="E211" s="2">
        <v>448000</v>
      </c>
      <c r="F211" t="s">
        <v>19</v>
      </c>
      <c r="G211" t="s">
        <v>20</v>
      </c>
      <c r="H211">
        <v>3</v>
      </c>
      <c r="I211">
        <v>1</v>
      </c>
      <c r="J211">
        <v>979</v>
      </c>
      <c r="K211" s="5">
        <v>1.025846E-2</v>
      </c>
      <c r="L211" t="s">
        <v>38</v>
      </c>
      <c r="M211" s="4">
        <v>211330</v>
      </c>
      <c r="N211" s="3">
        <v>457.60980000000001</v>
      </c>
      <c r="O211" t="s">
        <v>22</v>
      </c>
      <c r="P211" t="s">
        <v>24</v>
      </c>
      <c r="Q211" t="s">
        <v>24</v>
      </c>
      <c r="R211" t="s">
        <v>41</v>
      </c>
      <c r="S211">
        <v>2</v>
      </c>
    </row>
    <row r="212" spans="1:19" x14ac:dyDescent="0.3">
      <c r="A212" s="1">
        <v>40214</v>
      </c>
      <c r="B212">
        <v>2010</v>
      </c>
      <c r="C212" t="s">
        <v>39</v>
      </c>
      <c r="D212" s="4">
        <v>1009260</v>
      </c>
      <c r="E212" s="2">
        <v>1425000</v>
      </c>
      <c r="F212" t="s">
        <v>19</v>
      </c>
      <c r="G212" t="s">
        <v>20</v>
      </c>
      <c r="H212">
        <v>3</v>
      </c>
      <c r="I212">
        <v>2</v>
      </c>
      <c r="J212">
        <v>1111.6589814177564</v>
      </c>
      <c r="K212" s="5">
        <v>1.025846E-2</v>
      </c>
      <c r="L212" t="s">
        <v>21</v>
      </c>
      <c r="M212" s="4">
        <v>415740</v>
      </c>
      <c r="N212" s="3">
        <v>1281.8679</v>
      </c>
      <c r="O212" t="s">
        <v>22</v>
      </c>
      <c r="P212" t="s">
        <v>28</v>
      </c>
      <c r="Q212" t="s">
        <v>24</v>
      </c>
      <c r="R212" t="s">
        <v>41</v>
      </c>
      <c r="S212">
        <v>2</v>
      </c>
    </row>
    <row r="213" spans="1:19" x14ac:dyDescent="0.3">
      <c r="A213" s="1">
        <v>40216</v>
      </c>
      <c r="B213">
        <v>2010</v>
      </c>
      <c r="C213" t="s">
        <v>40</v>
      </c>
      <c r="D213" s="4">
        <v>256200</v>
      </c>
      <c r="E213" s="2">
        <v>187500</v>
      </c>
      <c r="F213" t="s">
        <v>36</v>
      </c>
      <c r="G213" t="s">
        <v>37</v>
      </c>
      <c r="H213">
        <v>6</v>
      </c>
      <c r="I213">
        <v>6</v>
      </c>
      <c r="J213">
        <v>1920</v>
      </c>
      <c r="K213" s="5">
        <v>1.025846E-2</v>
      </c>
      <c r="L213" t="s">
        <v>27</v>
      </c>
      <c r="M213" s="4">
        <v>-68700</v>
      </c>
      <c r="N213" s="3">
        <v>97.656199999999998</v>
      </c>
      <c r="O213" t="s">
        <v>33</v>
      </c>
      <c r="P213" t="s">
        <v>23</v>
      </c>
      <c r="Q213" t="s">
        <v>34</v>
      </c>
      <c r="R213" t="s">
        <v>41</v>
      </c>
      <c r="S213">
        <v>2</v>
      </c>
    </row>
    <row r="214" spans="1:19" x14ac:dyDescent="0.3">
      <c r="A214" s="1">
        <v>40217</v>
      </c>
      <c r="B214">
        <v>2010</v>
      </c>
      <c r="C214" t="s">
        <v>29</v>
      </c>
      <c r="D214" s="4">
        <v>56290</v>
      </c>
      <c r="E214" s="2">
        <v>131500</v>
      </c>
      <c r="F214" t="s">
        <v>19</v>
      </c>
      <c r="G214" t="s">
        <v>20</v>
      </c>
      <c r="H214">
        <v>3</v>
      </c>
      <c r="I214">
        <v>3</v>
      </c>
      <c r="J214">
        <v>1061</v>
      </c>
      <c r="K214" s="5">
        <v>1.025846E-2</v>
      </c>
      <c r="L214" t="s">
        <v>32</v>
      </c>
      <c r="M214" s="4">
        <v>75210</v>
      </c>
      <c r="N214" s="3">
        <v>123.9397</v>
      </c>
      <c r="O214" t="s">
        <v>22</v>
      </c>
      <c r="P214" t="s">
        <v>23</v>
      </c>
      <c r="Q214" t="s">
        <v>24</v>
      </c>
      <c r="R214" t="s">
        <v>41</v>
      </c>
      <c r="S214">
        <v>2</v>
      </c>
    </row>
    <row r="215" spans="1:19" x14ac:dyDescent="0.3">
      <c r="A215" s="1">
        <v>40221</v>
      </c>
      <c r="B215">
        <v>2010</v>
      </c>
      <c r="C215" t="s">
        <v>29</v>
      </c>
      <c r="D215" s="4">
        <v>177060</v>
      </c>
      <c r="E215" s="2">
        <v>226770</v>
      </c>
      <c r="F215" t="s">
        <v>36</v>
      </c>
      <c r="G215" t="s">
        <v>37</v>
      </c>
      <c r="H215">
        <v>6</v>
      </c>
      <c r="I215">
        <v>5</v>
      </c>
      <c r="J215">
        <v>1111.6589814177564</v>
      </c>
      <c r="K215" s="5">
        <v>1.025846E-2</v>
      </c>
      <c r="L215" t="s">
        <v>32</v>
      </c>
      <c r="M215" s="4">
        <v>49710</v>
      </c>
      <c r="N215" s="3">
        <v>203.9924</v>
      </c>
      <c r="O215" t="s">
        <v>22</v>
      </c>
      <c r="P215" t="s">
        <v>24</v>
      </c>
      <c r="Q215" t="s">
        <v>24</v>
      </c>
      <c r="R215" t="s">
        <v>41</v>
      </c>
      <c r="S215">
        <v>2</v>
      </c>
    </row>
    <row r="216" spans="1:19" x14ac:dyDescent="0.3">
      <c r="A216" s="1">
        <v>40223</v>
      </c>
      <c r="B216">
        <v>2010</v>
      </c>
      <c r="C216" t="s">
        <v>35</v>
      </c>
      <c r="D216" s="4">
        <v>1522360</v>
      </c>
      <c r="E216" s="2">
        <v>2170000</v>
      </c>
      <c r="F216" t="s">
        <v>19</v>
      </c>
      <c r="G216" t="s">
        <v>20</v>
      </c>
      <c r="H216">
        <v>3</v>
      </c>
      <c r="I216">
        <v>3</v>
      </c>
      <c r="J216">
        <v>1025</v>
      </c>
      <c r="K216" s="5">
        <v>1.025846E-2</v>
      </c>
      <c r="L216" t="s">
        <v>32</v>
      </c>
      <c r="M216" s="4">
        <v>647640</v>
      </c>
      <c r="N216" s="3">
        <v>2117.0731999999998</v>
      </c>
      <c r="O216" t="s">
        <v>22</v>
      </c>
      <c r="P216" t="s">
        <v>28</v>
      </c>
      <c r="Q216" t="s">
        <v>24</v>
      </c>
      <c r="R216" t="s">
        <v>41</v>
      </c>
      <c r="S216">
        <v>2</v>
      </c>
    </row>
    <row r="217" spans="1:19" x14ac:dyDescent="0.3">
      <c r="A217" s="1">
        <v>40228</v>
      </c>
      <c r="B217">
        <v>2010</v>
      </c>
      <c r="C217" t="s">
        <v>39</v>
      </c>
      <c r="D217" s="4">
        <v>826490</v>
      </c>
      <c r="E217" s="2">
        <v>1612500</v>
      </c>
      <c r="F217" t="s">
        <v>19</v>
      </c>
      <c r="G217" t="s">
        <v>20</v>
      </c>
      <c r="H217">
        <v>3</v>
      </c>
      <c r="I217">
        <v>3</v>
      </c>
      <c r="J217">
        <v>1066</v>
      </c>
      <c r="K217" s="5">
        <v>1.025846E-2</v>
      </c>
      <c r="L217" t="s">
        <v>21</v>
      </c>
      <c r="M217" s="4">
        <v>786010</v>
      </c>
      <c r="N217" s="3">
        <v>1512.6641999999999</v>
      </c>
      <c r="O217" t="s">
        <v>22</v>
      </c>
      <c r="P217" t="s">
        <v>28</v>
      </c>
      <c r="Q217" t="s">
        <v>24</v>
      </c>
      <c r="R217" t="s">
        <v>41</v>
      </c>
      <c r="S217">
        <v>2</v>
      </c>
    </row>
    <row r="218" spans="1:19" x14ac:dyDescent="0.3">
      <c r="A218" s="1">
        <v>40229</v>
      </c>
      <c r="B218">
        <v>2010</v>
      </c>
      <c r="C218" t="s">
        <v>39</v>
      </c>
      <c r="D218" s="4">
        <v>355040</v>
      </c>
      <c r="E218" s="2">
        <v>310000</v>
      </c>
      <c r="F218" t="s">
        <v>19</v>
      </c>
      <c r="G218" t="s">
        <v>20</v>
      </c>
      <c r="H218">
        <v>3</v>
      </c>
      <c r="I218">
        <v>2</v>
      </c>
      <c r="J218">
        <v>1017</v>
      </c>
      <c r="K218" s="5">
        <v>1.025846E-2</v>
      </c>
      <c r="L218" t="s">
        <v>32</v>
      </c>
      <c r="M218" s="4">
        <v>-45040</v>
      </c>
      <c r="N218" s="3">
        <v>304.81810000000002</v>
      </c>
      <c r="O218" t="s">
        <v>33</v>
      </c>
      <c r="P218" t="s">
        <v>24</v>
      </c>
      <c r="Q218" t="s">
        <v>24</v>
      </c>
      <c r="R218" t="s">
        <v>41</v>
      </c>
      <c r="S218">
        <v>2</v>
      </c>
    </row>
    <row r="219" spans="1:19" x14ac:dyDescent="0.3">
      <c r="A219" s="1">
        <v>40230</v>
      </c>
      <c r="B219">
        <v>2010</v>
      </c>
      <c r="C219" t="s">
        <v>35</v>
      </c>
      <c r="D219" s="4">
        <v>3373300</v>
      </c>
      <c r="E219" s="2">
        <v>4200000</v>
      </c>
      <c r="F219" t="s">
        <v>19</v>
      </c>
      <c r="G219" t="s">
        <v>20</v>
      </c>
      <c r="H219">
        <v>3</v>
      </c>
      <c r="I219">
        <v>2</v>
      </c>
      <c r="J219">
        <v>1087</v>
      </c>
      <c r="K219" s="5">
        <v>1.025846E-2</v>
      </c>
      <c r="L219" t="s">
        <v>21</v>
      </c>
      <c r="M219" s="4">
        <v>826700</v>
      </c>
      <c r="N219" s="3">
        <v>3863.8454000000002</v>
      </c>
      <c r="O219" t="s">
        <v>22</v>
      </c>
      <c r="P219" t="s">
        <v>28</v>
      </c>
      <c r="Q219" t="s">
        <v>24</v>
      </c>
      <c r="R219" t="s">
        <v>41</v>
      </c>
      <c r="S219">
        <v>2</v>
      </c>
    </row>
    <row r="220" spans="1:19" x14ac:dyDescent="0.3">
      <c r="A220" s="1">
        <v>40236</v>
      </c>
      <c r="B220">
        <v>2010</v>
      </c>
      <c r="C220" t="s">
        <v>40</v>
      </c>
      <c r="D220" s="4">
        <v>1607200</v>
      </c>
      <c r="E220" s="2">
        <v>1800000</v>
      </c>
      <c r="F220" t="s">
        <v>19</v>
      </c>
      <c r="G220" t="s">
        <v>20</v>
      </c>
      <c r="H220">
        <v>3</v>
      </c>
      <c r="I220">
        <v>2</v>
      </c>
      <c r="J220">
        <v>1050</v>
      </c>
      <c r="K220" s="5">
        <v>1.025846E-2</v>
      </c>
      <c r="L220" t="s">
        <v>32</v>
      </c>
      <c r="M220" s="4">
        <v>192800</v>
      </c>
      <c r="N220" s="3">
        <v>1714.2856999999999</v>
      </c>
      <c r="O220" t="s">
        <v>22</v>
      </c>
      <c r="P220" t="s">
        <v>28</v>
      </c>
      <c r="Q220" t="s">
        <v>24</v>
      </c>
      <c r="R220" t="s">
        <v>41</v>
      </c>
      <c r="S220">
        <v>2</v>
      </c>
    </row>
    <row r="221" spans="1:19" x14ac:dyDescent="0.3">
      <c r="A221" s="1">
        <v>40242</v>
      </c>
      <c r="B221">
        <v>2010</v>
      </c>
      <c r="C221" t="s">
        <v>35</v>
      </c>
      <c r="D221" s="4">
        <v>666190</v>
      </c>
      <c r="E221" s="2">
        <v>925000</v>
      </c>
      <c r="F221" t="s">
        <v>19</v>
      </c>
      <c r="G221" t="s">
        <v>20</v>
      </c>
      <c r="H221">
        <v>3</v>
      </c>
      <c r="I221">
        <v>1</v>
      </c>
      <c r="J221">
        <v>1042</v>
      </c>
      <c r="K221" s="5">
        <v>1.025846E-2</v>
      </c>
      <c r="L221" t="s">
        <v>21</v>
      </c>
      <c r="M221" s="4">
        <v>258810</v>
      </c>
      <c r="N221" s="3">
        <v>887.71590000000003</v>
      </c>
      <c r="O221" t="s">
        <v>22</v>
      </c>
      <c r="P221" t="s">
        <v>28</v>
      </c>
      <c r="Q221" t="s">
        <v>24</v>
      </c>
      <c r="R221" t="s">
        <v>44</v>
      </c>
      <c r="S221">
        <v>3</v>
      </c>
    </row>
    <row r="222" spans="1:19" x14ac:dyDescent="0.3">
      <c r="A222" s="1">
        <v>40243</v>
      </c>
      <c r="B222">
        <v>2010</v>
      </c>
      <c r="C222" t="s">
        <v>26</v>
      </c>
      <c r="D222" s="4">
        <v>462420</v>
      </c>
      <c r="E222" s="2">
        <v>808000</v>
      </c>
      <c r="F222" t="s">
        <v>19</v>
      </c>
      <c r="G222" t="s">
        <v>20</v>
      </c>
      <c r="H222">
        <v>3</v>
      </c>
      <c r="I222">
        <v>2</v>
      </c>
      <c r="J222">
        <v>1099</v>
      </c>
      <c r="K222" s="5">
        <v>1.025846E-2</v>
      </c>
      <c r="L222" t="s">
        <v>32</v>
      </c>
      <c r="M222" s="4">
        <v>345580</v>
      </c>
      <c r="N222" s="3">
        <v>735.21379999999999</v>
      </c>
      <c r="O222" t="s">
        <v>22</v>
      </c>
      <c r="P222" t="s">
        <v>28</v>
      </c>
      <c r="Q222" t="s">
        <v>24</v>
      </c>
      <c r="R222" t="s">
        <v>44</v>
      </c>
      <c r="S222">
        <v>3</v>
      </c>
    </row>
    <row r="223" spans="1:19" x14ac:dyDescent="0.3">
      <c r="A223" s="1">
        <v>40247</v>
      </c>
      <c r="B223">
        <v>2010</v>
      </c>
      <c r="C223" t="s">
        <v>26</v>
      </c>
      <c r="D223" s="4">
        <v>194950</v>
      </c>
      <c r="E223" s="2">
        <v>290000</v>
      </c>
      <c r="F223" t="s">
        <v>19</v>
      </c>
      <c r="G223" t="s">
        <v>20</v>
      </c>
      <c r="H223">
        <v>3</v>
      </c>
      <c r="I223">
        <v>2</v>
      </c>
      <c r="J223">
        <v>968</v>
      </c>
      <c r="K223" s="5">
        <v>1.025846E-2</v>
      </c>
      <c r="L223" t="s">
        <v>21</v>
      </c>
      <c r="M223" s="4">
        <v>95050</v>
      </c>
      <c r="N223" s="3">
        <v>299.58679999999998</v>
      </c>
      <c r="O223" t="s">
        <v>22</v>
      </c>
      <c r="P223" t="s">
        <v>24</v>
      </c>
      <c r="Q223" t="s">
        <v>24</v>
      </c>
      <c r="R223" t="s">
        <v>44</v>
      </c>
      <c r="S223">
        <v>3</v>
      </c>
    </row>
    <row r="224" spans="1:19" x14ac:dyDescent="0.3">
      <c r="A224" s="1">
        <v>40249</v>
      </c>
      <c r="B224">
        <v>2010</v>
      </c>
      <c r="C224" t="s">
        <v>52</v>
      </c>
      <c r="D224" s="4">
        <v>183000</v>
      </c>
      <c r="E224" s="2">
        <v>255000</v>
      </c>
      <c r="F224" t="s">
        <v>19</v>
      </c>
      <c r="G224" t="s">
        <v>20</v>
      </c>
      <c r="H224">
        <v>3</v>
      </c>
      <c r="I224">
        <v>3</v>
      </c>
      <c r="J224">
        <v>1011</v>
      </c>
      <c r="K224" s="5">
        <v>1.025846E-2</v>
      </c>
      <c r="L224" t="s">
        <v>32</v>
      </c>
      <c r="M224" s="4">
        <v>72000</v>
      </c>
      <c r="N224" s="3">
        <v>252.22550000000001</v>
      </c>
      <c r="O224" t="s">
        <v>22</v>
      </c>
      <c r="P224" t="s">
        <v>24</v>
      </c>
      <c r="Q224" t="s">
        <v>24</v>
      </c>
      <c r="R224" t="s">
        <v>44</v>
      </c>
      <c r="S224">
        <v>3</v>
      </c>
    </row>
    <row r="225" spans="1:19" x14ac:dyDescent="0.3">
      <c r="A225" s="1">
        <v>40250</v>
      </c>
      <c r="B225">
        <v>2010</v>
      </c>
      <c r="C225" t="s">
        <v>26</v>
      </c>
      <c r="D225" s="4">
        <v>187880</v>
      </c>
      <c r="E225" s="2">
        <v>320000</v>
      </c>
      <c r="F225" t="s">
        <v>19</v>
      </c>
      <c r="G225" t="s">
        <v>20</v>
      </c>
      <c r="H225">
        <v>3</v>
      </c>
      <c r="I225">
        <v>3</v>
      </c>
      <c r="J225">
        <v>1086</v>
      </c>
      <c r="K225" s="5">
        <v>1.025846E-2</v>
      </c>
      <c r="L225" t="s">
        <v>38</v>
      </c>
      <c r="M225" s="4">
        <v>132120</v>
      </c>
      <c r="N225" s="3">
        <v>294.65929999999997</v>
      </c>
      <c r="O225" t="s">
        <v>22</v>
      </c>
      <c r="P225" t="s">
        <v>24</v>
      </c>
      <c r="Q225" t="s">
        <v>24</v>
      </c>
      <c r="R225" t="s">
        <v>44</v>
      </c>
      <c r="S225">
        <v>3</v>
      </c>
    </row>
    <row r="226" spans="1:19" x14ac:dyDescent="0.3">
      <c r="A226" s="1">
        <v>40255</v>
      </c>
      <c r="B226">
        <v>2010</v>
      </c>
      <c r="C226" t="s">
        <v>52</v>
      </c>
      <c r="D226" s="4">
        <v>189300</v>
      </c>
      <c r="E226" s="2">
        <v>275000</v>
      </c>
      <c r="F226" t="s">
        <v>19</v>
      </c>
      <c r="G226" t="s">
        <v>20</v>
      </c>
      <c r="H226">
        <v>3</v>
      </c>
      <c r="I226">
        <v>2</v>
      </c>
      <c r="J226">
        <v>951</v>
      </c>
      <c r="K226" s="5">
        <v>1.025846E-2</v>
      </c>
      <c r="L226" t="s">
        <v>27</v>
      </c>
      <c r="M226" s="4">
        <v>85700</v>
      </c>
      <c r="N226" s="3">
        <v>289.16930000000002</v>
      </c>
      <c r="O226" t="s">
        <v>22</v>
      </c>
      <c r="P226" t="s">
        <v>24</v>
      </c>
      <c r="Q226" t="s">
        <v>24</v>
      </c>
      <c r="R226" t="s">
        <v>44</v>
      </c>
      <c r="S226">
        <v>3</v>
      </c>
    </row>
    <row r="227" spans="1:19" x14ac:dyDescent="0.3">
      <c r="A227" s="1">
        <v>40256</v>
      </c>
      <c r="B227">
        <v>2010</v>
      </c>
      <c r="C227" t="s">
        <v>29</v>
      </c>
      <c r="D227" s="4">
        <v>115530</v>
      </c>
      <c r="E227" s="2">
        <v>180000</v>
      </c>
      <c r="F227" t="s">
        <v>19</v>
      </c>
      <c r="G227" t="s">
        <v>20</v>
      </c>
      <c r="H227">
        <v>3</v>
      </c>
      <c r="I227">
        <v>1</v>
      </c>
      <c r="J227">
        <v>1042</v>
      </c>
      <c r="K227" s="5">
        <v>1.025846E-2</v>
      </c>
      <c r="L227" t="s">
        <v>32</v>
      </c>
      <c r="M227" s="4">
        <v>64470</v>
      </c>
      <c r="N227" s="3">
        <v>172.74469999999999</v>
      </c>
      <c r="O227" t="s">
        <v>22</v>
      </c>
      <c r="P227" t="s">
        <v>23</v>
      </c>
      <c r="Q227" t="s">
        <v>24</v>
      </c>
      <c r="R227" t="s">
        <v>44</v>
      </c>
      <c r="S227">
        <v>3</v>
      </c>
    </row>
    <row r="228" spans="1:19" x14ac:dyDescent="0.3">
      <c r="A228" s="1">
        <v>40257</v>
      </c>
      <c r="B228">
        <v>2010</v>
      </c>
      <c r="C228" t="s">
        <v>39</v>
      </c>
      <c r="D228" s="4">
        <v>512960</v>
      </c>
      <c r="E228" s="2">
        <v>690000</v>
      </c>
      <c r="F228" t="s">
        <v>19</v>
      </c>
      <c r="G228" t="s">
        <v>20</v>
      </c>
      <c r="H228">
        <v>3</v>
      </c>
      <c r="I228">
        <v>1</v>
      </c>
      <c r="J228">
        <v>1111.6589814177564</v>
      </c>
      <c r="K228" s="5">
        <v>1.025846E-2</v>
      </c>
      <c r="L228" t="s">
        <v>32</v>
      </c>
      <c r="M228" s="4">
        <v>177040</v>
      </c>
      <c r="N228" s="3">
        <v>620.69389999999999</v>
      </c>
      <c r="O228" t="s">
        <v>22</v>
      </c>
      <c r="P228" t="s">
        <v>28</v>
      </c>
      <c r="Q228" t="s">
        <v>24</v>
      </c>
      <c r="R228" t="s">
        <v>44</v>
      </c>
      <c r="S228">
        <v>3</v>
      </c>
    </row>
    <row r="229" spans="1:19" x14ac:dyDescent="0.3">
      <c r="A229" s="1">
        <v>40261</v>
      </c>
      <c r="B229">
        <v>2010</v>
      </c>
      <c r="C229" t="s">
        <v>39</v>
      </c>
      <c r="D229" s="4">
        <v>625940</v>
      </c>
      <c r="E229" s="2">
        <v>655000</v>
      </c>
      <c r="F229" t="s">
        <v>19</v>
      </c>
      <c r="G229" t="s">
        <v>20</v>
      </c>
      <c r="H229">
        <v>3</v>
      </c>
      <c r="I229">
        <v>1</v>
      </c>
      <c r="J229">
        <v>1012</v>
      </c>
      <c r="K229" s="5">
        <v>1.025846E-2</v>
      </c>
      <c r="L229" t="s">
        <v>38</v>
      </c>
      <c r="M229" s="4">
        <v>29060</v>
      </c>
      <c r="N229" s="3">
        <v>647.23320000000001</v>
      </c>
      <c r="O229" t="s">
        <v>22</v>
      </c>
      <c r="P229" t="s">
        <v>28</v>
      </c>
      <c r="Q229" t="s">
        <v>24</v>
      </c>
      <c r="R229" t="s">
        <v>44</v>
      </c>
      <c r="S229">
        <v>3</v>
      </c>
    </row>
    <row r="230" spans="1:19" x14ac:dyDescent="0.3">
      <c r="A230" s="1">
        <v>40262</v>
      </c>
      <c r="B230">
        <v>2010</v>
      </c>
      <c r="C230" t="s">
        <v>26</v>
      </c>
      <c r="D230" s="4">
        <v>1262660</v>
      </c>
      <c r="E230" s="2">
        <v>1775000</v>
      </c>
      <c r="F230" t="s">
        <v>19</v>
      </c>
      <c r="G230" t="s">
        <v>20</v>
      </c>
      <c r="H230">
        <v>3</v>
      </c>
      <c r="I230">
        <v>1</v>
      </c>
      <c r="J230">
        <v>1031</v>
      </c>
      <c r="K230" s="5">
        <v>1.025846E-2</v>
      </c>
      <c r="L230" t="s">
        <v>38</v>
      </c>
      <c r="M230" s="4">
        <v>512340</v>
      </c>
      <c r="N230" s="3">
        <v>1721.6295</v>
      </c>
      <c r="O230" t="s">
        <v>22</v>
      </c>
      <c r="P230" t="s">
        <v>28</v>
      </c>
      <c r="Q230" t="s">
        <v>24</v>
      </c>
      <c r="R230" t="s">
        <v>44</v>
      </c>
      <c r="S230">
        <v>3</v>
      </c>
    </row>
    <row r="231" spans="1:19" x14ac:dyDescent="0.3">
      <c r="A231" s="1">
        <v>40265</v>
      </c>
      <c r="B231">
        <v>2010</v>
      </c>
      <c r="C231" t="s">
        <v>40</v>
      </c>
      <c r="D231" s="4">
        <v>444584.20699999999</v>
      </c>
      <c r="E231" s="2">
        <v>860000</v>
      </c>
      <c r="F231" t="s">
        <v>19</v>
      </c>
      <c r="G231" t="s">
        <v>20</v>
      </c>
      <c r="H231">
        <v>3</v>
      </c>
      <c r="I231">
        <v>3</v>
      </c>
      <c r="J231">
        <v>974</v>
      </c>
      <c r="K231" s="5">
        <v>1.025846E-2</v>
      </c>
      <c r="L231" t="s">
        <v>21</v>
      </c>
      <c r="M231" s="4">
        <v>415415.79300000001</v>
      </c>
      <c r="N231" s="3">
        <v>882.95690000000002</v>
      </c>
      <c r="O231" t="s">
        <v>22</v>
      </c>
      <c r="P231" t="s">
        <v>28</v>
      </c>
      <c r="Q231" t="s">
        <v>24</v>
      </c>
      <c r="R231" t="s">
        <v>44</v>
      </c>
      <c r="S231">
        <v>3</v>
      </c>
    </row>
    <row r="232" spans="1:19" x14ac:dyDescent="0.3">
      <c r="A232" s="1">
        <v>40269</v>
      </c>
      <c r="B232">
        <v>2010</v>
      </c>
      <c r="C232" t="s">
        <v>39</v>
      </c>
      <c r="D232" s="4">
        <v>363440</v>
      </c>
      <c r="E232" s="2">
        <v>475000</v>
      </c>
      <c r="F232" t="s">
        <v>19</v>
      </c>
      <c r="G232" t="s">
        <v>20</v>
      </c>
      <c r="H232">
        <v>3</v>
      </c>
      <c r="I232">
        <v>3</v>
      </c>
      <c r="J232">
        <v>939</v>
      </c>
      <c r="K232" s="5">
        <v>1.025846E-2</v>
      </c>
      <c r="L232" t="s">
        <v>21</v>
      </c>
      <c r="M232" s="4">
        <v>111560</v>
      </c>
      <c r="N232" s="3">
        <v>505.85730000000001</v>
      </c>
      <c r="O232" t="s">
        <v>22</v>
      </c>
      <c r="P232" t="s">
        <v>24</v>
      </c>
      <c r="Q232" t="s">
        <v>24</v>
      </c>
      <c r="R232" t="s">
        <v>45</v>
      </c>
      <c r="S232">
        <v>4</v>
      </c>
    </row>
    <row r="233" spans="1:19" x14ac:dyDescent="0.3">
      <c r="A233" s="1">
        <v>40270</v>
      </c>
      <c r="B233">
        <v>2010</v>
      </c>
      <c r="C233" t="s">
        <v>52</v>
      </c>
      <c r="D233" s="4">
        <v>186600</v>
      </c>
      <c r="E233" s="2">
        <v>302000</v>
      </c>
      <c r="F233" t="s">
        <v>30</v>
      </c>
      <c r="G233" t="s">
        <v>31</v>
      </c>
      <c r="H233">
        <v>4</v>
      </c>
      <c r="I233">
        <v>4</v>
      </c>
      <c r="J233">
        <v>1439</v>
      </c>
      <c r="K233" s="5">
        <v>1.025846E-2</v>
      </c>
      <c r="L233" t="s">
        <v>27</v>
      </c>
      <c r="M233" s="4">
        <v>115400</v>
      </c>
      <c r="N233" s="3">
        <v>209.86799999999999</v>
      </c>
      <c r="O233" t="s">
        <v>22</v>
      </c>
      <c r="P233" t="s">
        <v>24</v>
      </c>
      <c r="Q233" t="s">
        <v>34</v>
      </c>
      <c r="R233" t="s">
        <v>45</v>
      </c>
      <c r="S233">
        <v>4</v>
      </c>
    </row>
    <row r="234" spans="1:19" x14ac:dyDescent="0.3">
      <c r="A234" s="1">
        <v>40277</v>
      </c>
      <c r="B234">
        <v>2010</v>
      </c>
      <c r="C234" t="s">
        <v>35</v>
      </c>
      <c r="D234" s="4">
        <v>748930</v>
      </c>
      <c r="E234" s="2">
        <v>1450000</v>
      </c>
      <c r="F234" t="s">
        <v>19</v>
      </c>
      <c r="G234" t="s">
        <v>20</v>
      </c>
      <c r="H234">
        <v>3</v>
      </c>
      <c r="I234">
        <v>2</v>
      </c>
      <c r="J234">
        <v>1046</v>
      </c>
      <c r="K234" s="5">
        <v>1.025846E-2</v>
      </c>
      <c r="L234" t="s">
        <v>27</v>
      </c>
      <c r="M234" s="4">
        <v>701070</v>
      </c>
      <c r="N234" s="3">
        <v>1386.2333000000001</v>
      </c>
      <c r="O234" t="s">
        <v>22</v>
      </c>
      <c r="P234" t="s">
        <v>28</v>
      </c>
      <c r="Q234" t="s">
        <v>24</v>
      </c>
      <c r="R234" t="s">
        <v>45</v>
      </c>
      <c r="S234">
        <v>4</v>
      </c>
    </row>
    <row r="235" spans="1:19" x14ac:dyDescent="0.3">
      <c r="A235" s="1">
        <v>40278</v>
      </c>
      <c r="B235">
        <v>2010</v>
      </c>
      <c r="C235" t="s">
        <v>52</v>
      </c>
      <c r="D235" s="4">
        <v>140400</v>
      </c>
      <c r="E235" s="2">
        <v>180000</v>
      </c>
      <c r="F235" t="s">
        <v>19</v>
      </c>
      <c r="G235" t="s">
        <v>20</v>
      </c>
      <c r="H235">
        <v>3</v>
      </c>
      <c r="I235">
        <v>1</v>
      </c>
      <c r="J235">
        <v>1053</v>
      </c>
      <c r="K235" s="5">
        <v>1.025846E-2</v>
      </c>
      <c r="L235" t="s">
        <v>38</v>
      </c>
      <c r="M235" s="4">
        <v>39600</v>
      </c>
      <c r="N235" s="3">
        <v>170.9402</v>
      </c>
      <c r="O235" t="s">
        <v>22</v>
      </c>
      <c r="P235" t="s">
        <v>23</v>
      </c>
      <c r="Q235" t="s">
        <v>24</v>
      </c>
      <c r="R235" t="s">
        <v>45</v>
      </c>
      <c r="S235">
        <v>4</v>
      </c>
    </row>
    <row r="236" spans="1:19" x14ac:dyDescent="0.3">
      <c r="A236" s="1">
        <v>40279</v>
      </c>
      <c r="B236">
        <v>2010</v>
      </c>
      <c r="C236" t="s">
        <v>26</v>
      </c>
      <c r="D236" s="4">
        <v>247240</v>
      </c>
      <c r="E236" s="2">
        <v>497000</v>
      </c>
      <c r="F236" t="s">
        <v>19</v>
      </c>
      <c r="G236" t="s">
        <v>20</v>
      </c>
      <c r="H236">
        <v>3</v>
      </c>
      <c r="I236">
        <v>2</v>
      </c>
      <c r="J236">
        <v>1029</v>
      </c>
      <c r="K236" s="5">
        <v>1.025846E-2</v>
      </c>
      <c r="L236" t="s">
        <v>27</v>
      </c>
      <c r="M236" s="4">
        <v>249760</v>
      </c>
      <c r="N236" s="3">
        <v>482.9932</v>
      </c>
      <c r="O236" t="s">
        <v>22</v>
      </c>
      <c r="P236" t="s">
        <v>24</v>
      </c>
      <c r="Q236" t="s">
        <v>24</v>
      </c>
      <c r="R236" t="s">
        <v>45</v>
      </c>
      <c r="S236">
        <v>4</v>
      </c>
    </row>
    <row r="237" spans="1:19" x14ac:dyDescent="0.3">
      <c r="A237" s="1">
        <v>40282</v>
      </c>
      <c r="B237">
        <v>2010</v>
      </c>
      <c r="C237" t="s">
        <v>39</v>
      </c>
      <c r="D237" s="4">
        <v>205940</v>
      </c>
      <c r="E237" s="2">
        <v>166666</v>
      </c>
      <c r="F237" t="s">
        <v>19</v>
      </c>
      <c r="G237" t="s">
        <v>20</v>
      </c>
      <c r="H237">
        <v>3</v>
      </c>
      <c r="I237">
        <v>3</v>
      </c>
      <c r="J237">
        <v>1073</v>
      </c>
      <c r="K237" s="5">
        <v>1.025846E-2</v>
      </c>
      <c r="L237" t="s">
        <v>27</v>
      </c>
      <c r="M237" s="4">
        <v>-39274</v>
      </c>
      <c r="N237" s="3">
        <v>155.3271</v>
      </c>
      <c r="O237" t="s">
        <v>33</v>
      </c>
      <c r="P237" t="s">
        <v>23</v>
      </c>
      <c r="Q237" t="s">
        <v>24</v>
      </c>
      <c r="R237" t="s">
        <v>45</v>
      </c>
      <c r="S237">
        <v>4</v>
      </c>
    </row>
    <row r="238" spans="1:19" x14ac:dyDescent="0.3">
      <c r="A238" s="1">
        <v>40284</v>
      </c>
      <c r="B238">
        <v>2010</v>
      </c>
      <c r="C238" t="s">
        <v>29</v>
      </c>
      <c r="D238" s="4">
        <v>107040</v>
      </c>
      <c r="E238" s="2">
        <v>150000</v>
      </c>
      <c r="F238" t="s">
        <v>30</v>
      </c>
      <c r="G238" t="s">
        <v>31</v>
      </c>
      <c r="H238">
        <v>4</v>
      </c>
      <c r="I238">
        <v>2</v>
      </c>
      <c r="J238">
        <v>1267</v>
      </c>
      <c r="K238" s="5">
        <v>1.025846E-2</v>
      </c>
      <c r="L238" t="s">
        <v>32</v>
      </c>
      <c r="M238" s="4">
        <v>42960</v>
      </c>
      <c r="N238" s="3">
        <v>118.3899</v>
      </c>
      <c r="O238" t="s">
        <v>22</v>
      </c>
      <c r="P238" t="s">
        <v>23</v>
      </c>
      <c r="Q238" t="s">
        <v>24</v>
      </c>
      <c r="R238" t="s">
        <v>45</v>
      </c>
      <c r="S238">
        <v>4</v>
      </c>
    </row>
    <row r="239" spans="1:19" x14ac:dyDescent="0.3">
      <c r="A239" s="1">
        <v>40289</v>
      </c>
      <c r="B239">
        <v>2010</v>
      </c>
      <c r="C239" t="s">
        <v>52</v>
      </c>
      <c r="D239" s="4">
        <v>149600</v>
      </c>
      <c r="E239" s="2">
        <v>225000</v>
      </c>
      <c r="F239" t="s">
        <v>19</v>
      </c>
      <c r="G239" t="s">
        <v>20</v>
      </c>
      <c r="H239">
        <v>3</v>
      </c>
      <c r="I239">
        <v>3</v>
      </c>
      <c r="J239">
        <v>912</v>
      </c>
      <c r="K239" s="5">
        <v>1.025846E-2</v>
      </c>
      <c r="L239" t="s">
        <v>21</v>
      </c>
      <c r="M239" s="4">
        <v>75400</v>
      </c>
      <c r="N239" s="3">
        <v>246.7105</v>
      </c>
      <c r="O239" t="s">
        <v>22</v>
      </c>
      <c r="P239" t="s">
        <v>24</v>
      </c>
      <c r="Q239" t="s">
        <v>24</v>
      </c>
      <c r="R239" t="s">
        <v>45</v>
      </c>
      <c r="S239">
        <v>4</v>
      </c>
    </row>
    <row r="240" spans="1:19" x14ac:dyDescent="0.3">
      <c r="A240" s="1">
        <v>40290</v>
      </c>
      <c r="B240">
        <v>2010</v>
      </c>
      <c r="C240" t="s">
        <v>29</v>
      </c>
      <c r="D240" s="4">
        <v>192360</v>
      </c>
      <c r="E240" s="2">
        <v>550000</v>
      </c>
      <c r="F240" t="s">
        <v>19</v>
      </c>
      <c r="G240" t="s">
        <v>20</v>
      </c>
      <c r="H240">
        <v>3</v>
      </c>
      <c r="I240">
        <v>1</v>
      </c>
      <c r="J240">
        <v>1111.6589814177564</v>
      </c>
      <c r="K240" s="5">
        <v>1.025846E-2</v>
      </c>
      <c r="L240" t="s">
        <v>38</v>
      </c>
      <c r="M240" s="4">
        <v>357640</v>
      </c>
      <c r="N240" s="3">
        <v>494.75599999999997</v>
      </c>
      <c r="O240" t="s">
        <v>22</v>
      </c>
      <c r="P240" t="s">
        <v>24</v>
      </c>
      <c r="Q240" t="s">
        <v>24</v>
      </c>
      <c r="R240" t="s">
        <v>45</v>
      </c>
      <c r="S240">
        <v>4</v>
      </c>
    </row>
    <row r="241" spans="1:19" x14ac:dyDescent="0.3">
      <c r="A241" s="1">
        <v>40291</v>
      </c>
      <c r="B241">
        <v>2010</v>
      </c>
      <c r="C241" t="s">
        <v>35</v>
      </c>
      <c r="D241" s="4">
        <v>444584.20699999999</v>
      </c>
      <c r="E241" s="2">
        <v>1875000</v>
      </c>
      <c r="F241" t="s">
        <v>19</v>
      </c>
      <c r="G241" t="s">
        <v>20</v>
      </c>
      <c r="H241">
        <v>3</v>
      </c>
      <c r="I241">
        <v>3</v>
      </c>
      <c r="J241">
        <v>1111.6589814177564</v>
      </c>
      <c r="K241" s="5">
        <v>1.025846E-2</v>
      </c>
      <c r="L241" t="s">
        <v>32</v>
      </c>
      <c r="M241" s="4">
        <v>1430415.7930000001</v>
      </c>
      <c r="N241" s="3">
        <v>1686.6683</v>
      </c>
      <c r="O241" t="s">
        <v>22</v>
      </c>
      <c r="P241" t="s">
        <v>28</v>
      </c>
      <c r="Q241" t="s">
        <v>24</v>
      </c>
      <c r="R241" t="s">
        <v>45</v>
      </c>
      <c r="S241">
        <v>4</v>
      </c>
    </row>
    <row r="242" spans="1:19" x14ac:dyDescent="0.3">
      <c r="A242" s="1">
        <v>40293</v>
      </c>
      <c r="B242">
        <v>2010</v>
      </c>
      <c r="C242" t="s">
        <v>29</v>
      </c>
      <c r="D242" s="4">
        <v>162411</v>
      </c>
      <c r="E242" s="2">
        <v>249900</v>
      </c>
      <c r="F242" t="s">
        <v>19</v>
      </c>
      <c r="G242" t="s">
        <v>20</v>
      </c>
      <c r="H242">
        <v>3</v>
      </c>
      <c r="I242">
        <v>2</v>
      </c>
      <c r="J242">
        <v>1111.6589814177564</v>
      </c>
      <c r="K242" s="5">
        <v>1.025846E-2</v>
      </c>
      <c r="L242" t="s">
        <v>32</v>
      </c>
      <c r="M242" s="4">
        <v>87489</v>
      </c>
      <c r="N242" s="3">
        <v>224.79920000000001</v>
      </c>
      <c r="O242" t="s">
        <v>22</v>
      </c>
      <c r="P242" t="s">
        <v>24</v>
      </c>
      <c r="Q242" t="s">
        <v>24</v>
      </c>
      <c r="R242" t="s">
        <v>45</v>
      </c>
      <c r="S242">
        <v>4</v>
      </c>
    </row>
    <row r="243" spans="1:19" x14ac:dyDescent="0.3">
      <c r="A243" s="1">
        <v>40297</v>
      </c>
      <c r="B243">
        <v>2010</v>
      </c>
      <c r="C243" t="s">
        <v>29</v>
      </c>
      <c r="D243" s="4">
        <v>105690</v>
      </c>
      <c r="E243" s="2">
        <v>165000</v>
      </c>
      <c r="F243" t="s">
        <v>19</v>
      </c>
      <c r="G243" t="s">
        <v>20</v>
      </c>
      <c r="H243">
        <v>3</v>
      </c>
      <c r="I243">
        <v>3</v>
      </c>
      <c r="J243">
        <v>910</v>
      </c>
      <c r="K243" s="5">
        <v>1.025846E-2</v>
      </c>
      <c r="L243" t="s">
        <v>38</v>
      </c>
      <c r="M243" s="4">
        <v>59310</v>
      </c>
      <c r="N243" s="3">
        <v>181.31870000000001</v>
      </c>
      <c r="O243" t="s">
        <v>22</v>
      </c>
      <c r="P243" t="s">
        <v>23</v>
      </c>
      <c r="Q243" t="s">
        <v>24</v>
      </c>
      <c r="R243" t="s">
        <v>45</v>
      </c>
      <c r="S243">
        <v>4</v>
      </c>
    </row>
    <row r="244" spans="1:19" x14ac:dyDescent="0.3">
      <c r="A244" s="1">
        <v>40298</v>
      </c>
      <c r="B244">
        <v>2010</v>
      </c>
      <c r="C244" t="s">
        <v>29</v>
      </c>
      <c r="D244" s="4">
        <v>103460</v>
      </c>
      <c r="E244" s="2">
        <v>227615</v>
      </c>
      <c r="F244" t="s">
        <v>19</v>
      </c>
      <c r="G244" t="s">
        <v>20</v>
      </c>
      <c r="H244">
        <v>3</v>
      </c>
      <c r="I244">
        <v>1</v>
      </c>
      <c r="J244">
        <v>928</v>
      </c>
      <c r="K244" s="5">
        <v>1.025846E-2</v>
      </c>
      <c r="L244" t="s">
        <v>21</v>
      </c>
      <c r="M244" s="4">
        <v>124155</v>
      </c>
      <c r="N244" s="3">
        <v>245.2748</v>
      </c>
      <c r="O244" t="s">
        <v>22</v>
      </c>
      <c r="P244" t="s">
        <v>24</v>
      </c>
      <c r="Q244" t="s">
        <v>24</v>
      </c>
      <c r="R244" t="s">
        <v>45</v>
      </c>
      <c r="S244">
        <v>4</v>
      </c>
    </row>
    <row r="245" spans="1:19" x14ac:dyDescent="0.3">
      <c r="A245" s="1">
        <v>40299</v>
      </c>
      <c r="B245">
        <v>2010</v>
      </c>
      <c r="C245" t="s">
        <v>35</v>
      </c>
      <c r="D245" s="4">
        <v>1356390</v>
      </c>
      <c r="E245" s="2">
        <v>1850000</v>
      </c>
      <c r="F245" t="s">
        <v>19</v>
      </c>
      <c r="G245" t="s">
        <v>20</v>
      </c>
      <c r="H245">
        <v>3</v>
      </c>
      <c r="I245">
        <v>3</v>
      </c>
      <c r="J245">
        <v>970</v>
      </c>
      <c r="K245" s="5">
        <v>1.025846E-2</v>
      </c>
      <c r="L245" t="s">
        <v>21</v>
      </c>
      <c r="M245" s="4">
        <v>493610</v>
      </c>
      <c r="N245" s="3">
        <v>1907.2165</v>
      </c>
      <c r="O245" t="s">
        <v>22</v>
      </c>
      <c r="P245" t="s">
        <v>28</v>
      </c>
      <c r="Q245" t="s">
        <v>24</v>
      </c>
      <c r="R245" t="s">
        <v>47</v>
      </c>
      <c r="S245">
        <v>5</v>
      </c>
    </row>
    <row r="246" spans="1:19" x14ac:dyDescent="0.3">
      <c r="A246" s="1">
        <v>40300</v>
      </c>
      <c r="B246">
        <v>2010</v>
      </c>
      <c r="C246" t="s">
        <v>29</v>
      </c>
      <c r="D246" s="4">
        <v>103670</v>
      </c>
      <c r="E246" s="2">
        <v>234900</v>
      </c>
      <c r="F246" t="s">
        <v>19</v>
      </c>
      <c r="G246" t="s">
        <v>20</v>
      </c>
      <c r="H246">
        <v>3</v>
      </c>
      <c r="I246">
        <v>1</v>
      </c>
      <c r="J246">
        <v>958</v>
      </c>
      <c r="K246" s="5">
        <v>1.025846E-2</v>
      </c>
      <c r="L246" t="s">
        <v>32</v>
      </c>
      <c r="M246" s="4">
        <v>131230</v>
      </c>
      <c r="N246" s="3">
        <v>245.19829999999999</v>
      </c>
      <c r="O246" t="s">
        <v>22</v>
      </c>
      <c r="P246" t="s">
        <v>24</v>
      </c>
      <c r="Q246" t="s">
        <v>24</v>
      </c>
      <c r="R246" t="s">
        <v>47</v>
      </c>
      <c r="S246">
        <v>5</v>
      </c>
    </row>
    <row r="247" spans="1:19" x14ac:dyDescent="0.3">
      <c r="A247" s="1">
        <v>40303</v>
      </c>
      <c r="B247">
        <v>2010</v>
      </c>
      <c r="C247" t="s">
        <v>29</v>
      </c>
      <c r="D247" s="4">
        <v>99190</v>
      </c>
      <c r="E247" s="2">
        <v>160000</v>
      </c>
      <c r="F247" t="s">
        <v>19</v>
      </c>
      <c r="G247" t="s">
        <v>20</v>
      </c>
      <c r="H247">
        <v>3</v>
      </c>
      <c r="I247">
        <v>1</v>
      </c>
      <c r="J247">
        <v>904</v>
      </c>
      <c r="K247" s="5">
        <v>1.025846E-2</v>
      </c>
      <c r="L247" t="s">
        <v>38</v>
      </c>
      <c r="M247" s="4">
        <v>60810</v>
      </c>
      <c r="N247" s="3">
        <v>176.99119999999999</v>
      </c>
      <c r="O247" t="s">
        <v>22</v>
      </c>
      <c r="P247" t="s">
        <v>23</v>
      </c>
      <c r="Q247" t="s">
        <v>24</v>
      </c>
      <c r="R247" t="s">
        <v>47</v>
      </c>
      <c r="S247">
        <v>5</v>
      </c>
    </row>
    <row r="248" spans="1:19" x14ac:dyDescent="0.3">
      <c r="A248" s="1">
        <v>40305</v>
      </c>
      <c r="B248">
        <v>2010</v>
      </c>
      <c r="C248" t="s">
        <v>26</v>
      </c>
      <c r="D248" s="4">
        <v>299191</v>
      </c>
      <c r="E248" s="2">
        <v>389000</v>
      </c>
      <c r="F248" t="s">
        <v>30</v>
      </c>
      <c r="G248" t="s">
        <v>31</v>
      </c>
      <c r="H248">
        <v>4</v>
      </c>
      <c r="I248">
        <v>4</v>
      </c>
      <c r="J248">
        <v>1278</v>
      </c>
      <c r="K248" s="5">
        <v>1.025846E-2</v>
      </c>
      <c r="L248" t="s">
        <v>27</v>
      </c>
      <c r="M248" s="4">
        <v>89809</v>
      </c>
      <c r="N248" s="3">
        <v>304.3818</v>
      </c>
      <c r="O248" t="s">
        <v>22</v>
      </c>
      <c r="P248" t="s">
        <v>24</v>
      </c>
      <c r="Q248" t="s">
        <v>24</v>
      </c>
      <c r="R248" t="s">
        <v>47</v>
      </c>
      <c r="S248">
        <v>5</v>
      </c>
    </row>
    <row r="249" spans="1:19" x14ac:dyDescent="0.3">
      <c r="A249" s="1">
        <v>40306</v>
      </c>
      <c r="B249">
        <v>2010</v>
      </c>
      <c r="C249" t="s">
        <v>29</v>
      </c>
      <c r="D249" s="4">
        <v>113880</v>
      </c>
      <c r="E249" s="2">
        <v>177225</v>
      </c>
      <c r="F249" t="s">
        <v>36</v>
      </c>
      <c r="G249" t="s">
        <v>37</v>
      </c>
      <c r="H249">
        <v>6</v>
      </c>
      <c r="I249">
        <v>6</v>
      </c>
      <c r="J249">
        <v>1831</v>
      </c>
      <c r="K249" s="5">
        <v>1.025846E-2</v>
      </c>
      <c r="L249" t="s">
        <v>38</v>
      </c>
      <c r="M249" s="4">
        <v>63345</v>
      </c>
      <c r="N249" s="3">
        <v>96.791399999999996</v>
      </c>
      <c r="O249" t="s">
        <v>22</v>
      </c>
      <c r="P249" t="s">
        <v>23</v>
      </c>
      <c r="Q249" t="s">
        <v>34</v>
      </c>
      <c r="R249" t="s">
        <v>47</v>
      </c>
      <c r="S249">
        <v>5</v>
      </c>
    </row>
    <row r="250" spans="1:19" x14ac:dyDescent="0.3">
      <c r="A250" s="1">
        <v>40310</v>
      </c>
      <c r="B250">
        <v>2010</v>
      </c>
      <c r="C250" t="s">
        <v>39</v>
      </c>
      <c r="D250" s="4">
        <v>444584.20699999999</v>
      </c>
      <c r="E250" s="2">
        <v>1082500</v>
      </c>
      <c r="F250" t="s">
        <v>19</v>
      </c>
      <c r="G250" t="s">
        <v>20</v>
      </c>
      <c r="H250">
        <v>3</v>
      </c>
      <c r="I250">
        <v>3</v>
      </c>
      <c r="J250">
        <v>1111.6589814177564</v>
      </c>
      <c r="K250" s="5">
        <v>1.025846E-2</v>
      </c>
      <c r="L250" t="s">
        <v>32</v>
      </c>
      <c r="M250" s="4">
        <v>637915.79299999995</v>
      </c>
      <c r="N250" s="3">
        <v>973.76990000000001</v>
      </c>
      <c r="O250" t="s">
        <v>22</v>
      </c>
      <c r="P250" t="s">
        <v>28</v>
      </c>
      <c r="Q250" t="s">
        <v>24</v>
      </c>
      <c r="R250" t="s">
        <v>47</v>
      </c>
      <c r="S250">
        <v>5</v>
      </c>
    </row>
    <row r="251" spans="1:19" x14ac:dyDescent="0.3">
      <c r="A251" s="1">
        <v>40311</v>
      </c>
      <c r="B251">
        <v>2010</v>
      </c>
      <c r="C251" t="s">
        <v>29</v>
      </c>
      <c r="D251" s="4">
        <v>84620</v>
      </c>
      <c r="E251" s="2">
        <v>140000</v>
      </c>
      <c r="F251" t="s">
        <v>19</v>
      </c>
      <c r="G251" t="s">
        <v>20</v>
      </c>
      <c r="H251">
        <v>3</v>
      </c>
      <c r="I251">
        <v>1</v>
      </c>
      <c r="J251">
        <v>1017</v>
      </c>
      <c r="K251" s="5">
        <v>1.025846E-2</v>
      </c>
      <c r="L251" t="s">
        <v>27</v>
      </c>
      <c r="M251" s="4">
        <v>55380</v>
      </c>
      <c r="N251" s="3">
        <v>137.65979999999999</v>
      </c>
      <c r="O251" t="s">
        <v>22</v>
      </c>
      <c r="P251" t="s">
        <v>23</v>
      </c>
      <c r="Q251" t="s">
        <v>24</v>
      </c>
      <c r="R251" t="s">
        <v>47</v>
      </c>
      <c r="S251">
        <v>5</v>
      </c>
    </row>
    <row r="252" spans="1:19" x14ac:dyDescent="0.3">
      <c r="A252" s="1">
        <v>40312</v>
      </c>
      <c r="B252">
        <v>2010</v>
      </c>
      <c r="C252" t="s">
        <v>35</v>
      </c>
      <c r="D252" s="4">
        <v>460390</v>
      </c>
      <c r="E252" s="2">
        <v>690000</v>
      </c>
      <c r="F252" t="s">
        <v>19</v>
      </c>
      <c r="G252" t="s">
        <v>20</v>
      </c>
      <c r="H252">
        <v>3</v>
      </c>
      <c r="I252">
        <v>3</v>
      </c>
      <c r="J252">
        <v>1028</v>
      </c>
      <c r="K252" s="5">
        <v>1.025846E-2</v>
      </c>
      <c r="L252" t="s">
        <v>21</v>
      </c>
      <c r="M252" s="4">
        <v>229610</v>
      </c>
      <c r="N252" s="3">
        <v>671.20619999999997</v>
      </c>
      <c r="O252" t="s">
        <v>22</v>
      </c>
      <c r="P252" t="s">
        <v>28</v>
      </c>
      <c r="Q252" t="s">
        <v>24</v>
      </c>
      <c r="R252" t="s">
        <v>47</v>
      </c>
      <c r="S252">
        <v>5</v>
      </c>
    </row>
    <row r="253" spans="1:19" x14ac:dyDescent="0.3">
      <c r="A253" s="1">
        <v>40313</v>
      </c>
      <c r="B253">
        <v>2010</v>
      </c>
      <c r="C253" t="s">
        <v>39</v>
      </c>
      <c r="D253" s="4">
        <v>1154650</v>
      </c>
      <c r="E253" s="2">
        <v>1737550</v>
      </c>
      <c r="F253" t="s">
        <v>19</v>
      </c>
      <c r="G253" t="s">
        <v>20</v>
      </c>
      <c r="H253">
        <v>3</v>
      </c>
      <c r="I253">
        <v>3</v>
      </c>
      <c r="J253">
        <v>1039</v>
      </c>
      <c r="K253" s="5">
        <v>1.025846E-2</v>
      </c>
      <c r="L253" t="s">
        <v>27</v>
      </c>
      <c r="M253" s="4">
        <v>582900</v>
      </c>
      <c r="N253" s="3">
        <v>1672.3291999999999</v>
      </c>
      <c r="O253" t="s">
        <v>22</v>
      </c>
      <c r="P253" t="s">
        <v>28</v>
      </c>
      <c r="Q253" t="s">
        <v>24</v>
      </c>
      <c r="R253" t="s">
        <v>47</v>
      </c>
      <c r="S253">
        <v>5</v>
      </c>
    </row>
    <row r="254" spans="1:19" x14ac:dyDescent="0.3">
      <c r="A254" s="1">
        <v>40314</v>
      </c>
      <c r="B254">
        <v>2010</v>
      </c>
      <c r="C254" t="s">
        <v>40</v>
      </c>
      <c r="D254" s="4">
        <v>238300</v>
      </c>
      <c r="E254" s="2">
        <v>294556</v>
      </c>
      <c r="F254" t="s">
        <v>36</v>
      </c>
      <c r="G254" t="s">
        <v>37</v>
      </c>
      <c r="H254">
        <v>6</v>
      </c>
      <c r="I254">
        <v>4</v>
      </c>
      <c r="J254">
        <v>1834</v>
      </c>
      <c r="K254" s="5">
        <v>1.025846E-2</v>
      </c>
      <c r="L254" t="s">
        <v>21</v>
      </c>
      <c r="M254" s="4">
        <v>56256</v>
      </c>
      <c r="N254" s="3">
        <v>160.60849999999999</v>
      </c>
      <c r="O254" t="s">
        <v>22</v>
      </c>
      <c r="P254" t="s">
        <v>24</v>
      </c>
      <c r="Q254" t="s">
        <v>34</v>
      </c>
      <c r="R254" t="s">
        <v>47</v>
      </c>
      <c r="S254">
        <v>5</v>
      </c>
    </row>
    <row r="255" spans="1:19" x14ac:dyDescent="0.3">
      <c r="A255" s="1">
        <v>40318</v>
      </c>
      <c r="B255">
        <v>2010</v>
      </c>
      <c r="C255" t="s">
        <v>52</v>
      </c>
      <c r="D255" s="4">
        <v>206000</v>
      </c>
      <c r="E255" s="2">
        <v>349900</v>
      </c>
      <c r="F255" t="s">
        <v>19</v>
      </c>
      <c r="G255" t="s">
        <v>20</v>
      </c>
      <c r="H255">
        <v>3</v>
      </c>
      <c r="I255">
        <v>1</v>
      </c>
      <c r="J255">
        <v>927</v>
      </c>
      <c r="K255" s="5">
        <v>1.025846E-2</v>
      </c>
      <c r="L255" t="s">
        <v>38</v>
      </c>
      <c r="M255" s="4">
        <v>143900</v>
      </c>
      <c r="N255" s="3">
        <v>377.45420000000001</v>
      </c>
      <c r="O255" t="s">
        <v>22</v>
      </c>
      <c r="P255" t="s">
        <v>24</v>
      </c>
      <c r="Q255" t="s">
        <v>24</v>
      </c>
      <c r="R255" t="s">
        <v>47</v>
      </c>
      <c r="S255">
        <v>5</v>
      </c>
    </row>
    <row r="256" spans="1:19" x14ac:dyDescent="0.3">
      <c r="A256" s="1">
        <v>40319</v>
      </c>
      <c r="B256">
        <v>2010</v>
      </c>
      <c r="C256" t="s">
        <v>39</v>
      </c>
      <c r="D256" s="4">
        <v>352030</v>
      </c>
      <c r="E256" s="2">
        <v>423000</v>
      </c>
      <c r="F256" t="s">
        <v>19</v>
      </c>
      <c r="G256" t="s">
        <v>20</v>
      </c>
      <c r="H256">
        <v>3</v>
      </c>
      <c r="I256">
        <v>1</v>
      </c>
      <c r="J256">
        <v>945</v>
      </c>
      <c r="K256" s="5">
        <v>1.025846E-2</v>
      </c>
      <c r="L256" t="s">
        <v>27</v>
      </c>
      <c r="M256" s="4">
        <v>70970</v>
      </c>
      <c r="N256" s="3">
        <v>447.61900000000003</v>
      </c>
      <c r="O256" t="s">
        <v>22</v>
      </c>
      <c r="P256" t="s">
        <v>24</v>
      </c>
      <c r="Q256" t="s">
        <v>24</v>
      </c>
      <c r="R256" t="s">
        <v>47</v>
      </c>
      <c r="S256">
        <v>5</v>
      </c>
    </row>
    <row r="257" spans="1:19" x14ac:dyDescent="0.3">
      <c r="A257" s="1">
        <v>40320</v>
      </c>
      <c r="B257">
        <v>2010</v>
      </c>
      <c r="C257" t="s">
        <v>29</v>
      </c>
      <c r="D257" s="4">
        <v>68250</v>
      </c>
      <c r="E257" s="2">
        <v>39000</v>
      </c>
      <c r="F257" t="s">
        <v>19</v>
      </c>
      <c r="G257" t="s">
        <v>20</v>
      </c>
      <c r="H257">
        <v>3</v>
      </c>
      <c r="I257">
        <v>3</v>
      </c>
      <c r="J257">
        <v>933</v>
      </c>
      <c r="K257" s="5">
        <v>1.025846E-2</v>
      </c>
      <c r="L257" t="s">
        <v>38</v>
      </c>
      <c r="M257" s="4">
        <v>-29250</v>
      </c>
      <c r="N257" s="3">
        <v>41.800600000000003</v>
      </c>
      <c r="O257" t="s">
        <v>33</v>
      </c>
      <c r="P257" t="s">
        <v>23</v>
      </c>
      <c r="Q257" t="s">
        <v>24</v>
      </c>
      <c r="R257" t="s">
        <v>47</v>
      </c>
      <c r="S257">
        <v>5</v>
      </c>
    </row>
    <row r="258" spans="1:19" x14ac:dyDescent="0.3">
      <c r="A258" s="1">
        <v>40321</v>
      </c>
      <c r="B258">
        <v>2010</v>
      </c>
      <c r="C258" t="s">
        <v>52</v>
      </c>
      <c r="D258" s="4">
        <v>224200</v>
      </c>
      <c r="E258" s="2">
        <v>375000</v>
      </c>
      <c r="F258" t="s">
        <v>19</v>
      </c>
      <c r="G258" t="s">
        <v>20</v>
      </c>
      <c r="H258">
        <v>3</v>
      </c>
      <c r="I258">
        <v>1</v>
      </c>
      <c r="J258">
        <v>1006</v>
      </c>
      <c r="K258" s="5">
        <v>1.025846E-2</v>
      </c>
      <c r="L258" t="s">
        <v>21</v>
      </c>
      <c r="M258" s="4">
        <v>150800</v>
      </c>
      <c r="N258" s="3">
        <v>372.76339999999999</v>
      </c>
      <c r="O258" t="s">
        <v>22</v>
      </c>
      <c r="P258" t="s">
        <v>24</v>
      </c>
      <c r="Q258" t="s">
        <v>24</v>
      </c>
      <c r="R258" t="s">
        <v>47</v>
      </c>
      <c r="S258">
        <v>5</v>
      </c>
    </row>
    <row r="259" spans="1:19" x14ac:dyDescent="0.3">
      <c r="A259" s="1">
        <v>40325</v>
      </c>
      <c r="B259">
        <v>2010</v>
      </c>
      <c r="C259" t="s">
        <v>26</v>
      </c>
      <c r="D259" s="4">
        <v>171430</v>
      </c>
      <c r="E259" s="2">
        <v>285746</v>
      </c>
      <c r="F259" t="s">
        <v>19</v>
      </c>
      <c r="G259" t="s">
        <v>20</v>
      </c>
      <c r="H259">
        <v>3</v>
      </c>
      <c r="I259">
        <v>3</v>
      </c>
      <c r="J259">
        <v>957</v>
      </c>
      <c r="K259" s="5">
        <v>1.025846E-2</v>
      </c>
      <c r="L259" t="s">
        <v>27</v>
      </c>
      <c r="M259" s="4">
        <v>114316</v>
      </c>
      <c r="N259" s="3">
        <v>298.58519999999999</v>
      </c>
      <c r="O259" t="s">
        <v>22</v>
      </c>
      <c r="P259" t="s">
        <v>24</v>
      </c>
      <c r="Q259" t="s">
        <v>24</v>
      </c>
      <c r="R259" t="s">
        <v>47</v>
      </c>
      <c r="S259">
        <v>5</v>
      </c>
    </row>
    <row r="260" spans="1:19" x14ac:dyDescent="0.3">
      <c r="A260" s="1">
        <v>40326</v>
      </c>
      <c r="B260">
        <v>2010</v>
      </c>
      <c r="C260" t="s">
        <v>39</v>
      </c>
      <c r="D260" s="4">
        <v>1289820</v>
      </c>
      <c r="E260" s="2">
        <v>1915000</v>
      </c>
      <c r="F260" t="s">
        <v>19</v>
      </c>
      <c r="G260" t="s">
        <v>20</v>
      </c>
      <c r="H260">
        <v>3</v>
      </c>
      <c r="I260">
        <v>2</v>
      </c>
      <c r="J260">
        <v>1111.6589814177564</v>
      </c>
      <c r="K260" s="5">
        <v>1.025846E-2</v>
      </c>
      <c r="L260" t="s">
        <v>32</v>
      </c>
      <c r="M260" s="4">
        <v>625180</v>
      </c>
      <c r="N260" s="3">
        <v>1722.6505999999999</v>
      </c>
      <c r="O260" t="s">
        <v>22</v>
      </c>
      <c r="P260" t="s">
        <v>28</v>
      </c>
      <c r="Q260" t="s">
        <v>24</v>
      </c>
      <c r="R260" t="s">
        <v>47</v>
      </c>
      <c r="S260">
        <v>5</v>
      </c>
    </row>
    <row r="261" spans="1:19" x14ac:dyDescent="0.3">
      <c r="A261" s="1">
        <v>40327</v>
      </c>
      <c r="B261">
        <v>2010</v>
      </c>
      <c r="C261" t="s">
        <v>52</v>
      </c>
      <c r="D261" s="4">
        <v>176400</v>
      </c>
      <c r="E261" s="2">
        <v>260000</v>
      </c>
      <c r="F261" t="s">
        <v>19</v>
      </c>
      <c r="G261" t="s">
        <v>20</v>
      </c>
      <c r="H261">
        <v>3</v>
      </c>
      <c r="I261">
        <v>2</v>
      </c>
      <c r="J261">
        <v>1002</v>
      </c>
      <c r="K261" s="5">
        <v>1.025846E-2</v>
      </c>
      <c r="L261" t="s">
        <v>38</v>
      </c>
      <c r="M261" s="4">
        <v>83600</v>
      </c>
      <c r="N261" s="3">
        <v>259.48099999999999</v>
      </c>
      <c r="O261" t="s">
        <v>22</v>
      </c>
      <c r="P261" t="s">
        <v>24</v>
      </c>
      <c r="Q261" t="s">
        <v>24</v>
      </c>
      <c r="R261" t="s">
        <v>47</v>
      </c>
      <c r="S261">
        <v>5</v>
      </c>
    </row>
    <row r="262" spans="1:19" x14ac:dyDescent="0.3">
      <c r="A262" s="1">
        <v>40328</v>
      </c>
      <c r="B262">
        <v>2010</v>
      </c>
      <c r="C262" t="s">
        <v>39</v>
      </c>
      <c r="D262" s="4">
        <v>270060</v>
      </c>
      <c r="E262" s="2">
        <v>282000</v>
      </c>
      <c r="F262" t="s">
        <v>19</v>
      </c>
      <c r="G262" t="s">
        <v>20</v>
      </c>
      <c r="H262">
        <v>3</v>
      </c>
      <c r="I262">
        <v>1</v>
      </c>
      <c r="J262">
        <v>1049</v>
      </c>
      <c r="K262" s="5">
        <v>1.025846E-2</v>
      </c>
      <c r="L262" t="s">
        <v>38</v>
      </c>
      <c r="M262" s="4">
        <v>11940</v>
      </c>
      <c r="N262" s="3">
        <v>268.82749999999999</v>
      </c>
      <c r="O262" t="s">
        <v>22</v>
      </c>
      <c r="P262" t="s">
        <v>24</v>
      </c>
      <c r="Q262" t="s">
        <v>24</v>
      </c>
      <c r="R262" t="s">
        <v>47</v>
      </c>
      <c r="S262">
        <v>5</v>
      </c>
    </row>
    <row r="263" spans="1:19" x14ac:dyDescent="0.3">
      <c r="A263" s="1">
        <v>40331</v>
      </c>
      <c r="B263">
        <v>2010</v>
      </c>
      <c r="C263" t="s">
        <v>40</v>
      </c>
      <c r="D263" s="4">
        <v>132520</v>
      </c>
      <c r="E263" s="2">
        <v>205000</v>
      </c>
      <c r="F263" t="s">
        <v>30</v>
      </c>
      <c r="G263" t="s">
        <v>31</v>
      </c>
      <c r="H263">
        <v>4</v>
      </c>
      <c r="I263">
        <v>4</v>
      </c>
      <c r="J263">
        <v>1111.6589814177564</v>
      </c>
      <c r="K263" s="5">
        <v>1.025846E-2</v>
      </c>
      <c r="L263" t="s">
        <v>27</v>
      </c>
      <c r="M263" s="4">
        <v>72480</v>
      </c>
      <c r="N263" s="3">
        <v>184.4091</v>
      </c>
      <c r="O263" t="s">
        <v>22</v>
      </c>
      <c r="P263" t="s">
        <v>24</v>
      </c>
      <c r="Q263" t="s">
        <v>24</v>
      </c>
      <c r="R263" t="s">
        <v>48</v>
      </c>
      <c r="S263">
        <v>6</v>
      </c>
    </row>
    <row r="264" spans="1:19" x14ac:dyDescent="0.3">
      <c r="A264" s="1">
        <v>40332</v>
      </c>
      <c r="B264">
        <v>2010</v>
      </c>
      <c r="C264" t="s">
        <v>40</v>
      </c>
      <c r="D264" s="4">
        <v>127400</v>
      </c>
      <c r="E264" s="2">
        <v>195000</v>
      </c>
      <c r="F264" t="s">
        <v>19</v>
      </c>
      <c r="G264" t="s">
        <v>20</v>
      </c>
      <c r="H264">
        <v>3</v>
      </c>
      <c r="I264">
        <v>1</v>
      </c>
      <c r="J264">
        <v>984</v>
      </c>
      <c r="K264" s="5">
        <v>1.025846E-2</v>
      </c>
      <c r="L264" t="s">
        <v>32</v>
      </c>
      <c r="M264" s="4">
        <v>67600</v>
      </c>
      <c r="N264" s="3">
        <v>198.17070000000001</v>
      </c>
      <c r="O264" t="s">
        <v>22</v>
      </c>
      <c r="P264" t="s">
        <v>23</v>
      </c>
      <c r="Q264" t="s">
        <v>24</v>
      </c>
      <c r="R264" t="s">
        <v>48</v>
      </c>
      <c r="S264">
        <v>6</v>
      </c>
    </row>
    <row r="265" spans="1:19" x14ac:dyDescent="0.3">
      <c r="A265" s="1">
        <v>40333</v>
      </c>
      <c r="B265">
        <v>2010</v>
      </c>
      <c r="C265" t="s">
        <v>26</v>
      </c>
      <c r="D265" s="4">
        <v>554470</v>
      </c>
      <c r="E265" s="2">
        <v>850000</v>
      </c>
      <c r="F265" t="s">
        <v>19</v>
      </c>
      <c r="G265" t="s">
        <v>20</v>
      </c>
      <c r="H265">
        <v>3</v>
      </c>
      <c r="I265">
        <v>3</v>
      </c>
      <c r="J265">
        <v>1004</v>
      </c>
      <c r="K265" s="5">
        <v>1.025846E-2</v>
      </c>
      <c r="L265" t="s">
        <v>32</v>
      </c>
      <c r="M265" s="4">
        <v>295530</v>
      </c>
      <c r="N265" s="3">
        <v>846.61350000000004</v>
      </c>
      <c r="O265" t="s">
        <v>22</v>
      </c>
      <c r="P265" t="s">
        <v>28</v>
      </c>
      <c r="Q265" t="s">
        <v>24</v>
      </c>
      <c r="R265" t="s">
        <v>48</v>
      </c>
      <c r="S265">
        <v>6</v>
      </c>
    </row>
    <row r="266" spans="1:19" x14ac:dyDescent="0.3">
      <c r="A266" s="1">
        <v>40334</v>
      </c>
      <c r="B266">
        <v>2010</v>
      </c>
      <c r="C266" t="s">
        <v>39</v>
      </c>
      <c r="D266" s="4">
        <v>612360</v>
      </c>
      <c r="E266" s="2">
        <v>925000</v>
      </c>
      <c r="F266" t="s">
        <v>19</v>
      </c>
      <c r="G266" t="s">
        <v>20</v>
      </c>
      <c r="H266">
        <v>3</v>
      </c>
      <c r="I266">
        <v>2</v>
      </c>
      <c r="J266">
        <v>968</v>
      </c>
      <c r="K266" s="5">
        <v>1.025846E-2</v>
      </c>
      <c r="L266" t="s">
        <v>27</v>
      </c>
      <c r="M266" s="4">
        <v>312640</v>
      </c>
      <c r="N266" s="3">
        <v>955.57849999999996</v>
      </c>
      <c r="O266" t="s">
        <v>22</v>
      </c>
      <c r="P266" t="s">
        <v>28</v>
      </c>
      <c r="Q266" t="s">
        <v>24</v>
      </c>
      <c r="R266" t="s">
        <v>48</v>
      </c>
      <c r="S266">
        <v>6</v>
      </c>
    </row>
    <row r="267" spans="1:19" x14ac:dyDescent="0.3">
      <c r="A267" s="1">
        <v>40338</v>
      </c>
      <c r="B267">
        <v>2010</v>
      </c>
      <c r="C267" t="s">
        <v>52</v>
      </c>
      <c r="D267" s="4">
        <v>159600</v>
      </c>
      <c r="E267" s="2">
        <v>243000</v>
      </c>
      <c r="F267" t="s">
        <v>19</v>
      </c>
      <c r="G267" t="s">
        <v>20</v>
      </c>
      <c r="H267">
        <v>3</v>
      </c>
      <c r="I267">
        <v>3</v>
      </c>
      <c r="J267">
        <v>1111.6589814177564</v>
      </c>
      <c r="K267" s="5">
        <v>1.025846E-2</v>
      </c>
      <c r="L267" t="s">
        <v>38</v>
      </c>
      <c r="M267" s="4">
        <v>83400</v>
      </c>
      <c r="N267" s="3">
        <v>218.59219999999999</v>
      </c>
      <c r="O267" t="s">
        <v>22</v>
      </c>
      <c r="P267" t="s">
        <v>24</v>
      </c>
      <c r="Q267" t="s">
        <v>24</v>
      </c>
      <c r="R267" t="s">
        <v>48</v>
      </c>
      <c r="S267">
        <v>6</v>
      </c>
    </row>
    <row r="268" spans="1:19" x14ac:dyDescent="0.3">
      <c r="A268" s="1">
        <v>40339</v>
      </c>
      <c r="B268">
        <v>2010</v>
      </c>
      <c r="C268" t="s">
        <v>39</v>
      </c>
      <c r="D268" s="4">
        <v>515480</v>
      </c>
      <c r="E268" s="2">
        <v>1070000</v>
      </c>
      <c r="F268" t="s">
        <v>19</v>
      </c>
      <c r="G268" t="s">
        <v>20</v>
      </c>
      <c r="H268">
        <v>3</v>
      </c>
      <c r="I268">
        <v>2</v>
      </c>
      <c r="J268">
        <v>1002</v>
      </c>
      <c r="K268" s="5">
        <v>1.025846E-2</v>
      </c>
      <c r="L268" t="s">
        <v>38</v>
      </c>
      <c r="M268" s="4">
        <v>554520</v>
      </c>
      <c r="N268" s="3">
        <v>1067.8643</v>
      </c>
      <c r="O268" t="s">
        <v>22</v>
      </c>
      <c r="P268" t="s">
        <v>28</v>
      </c>
      <c r="Q268" t="s">
        <v>24</v>
      </c>
      <c r="R268" t="s">
        <v>48</v>
      </c>
      <c r="S268">
        <v>6</v>
      </c>
    </row>
    <row r="269" spans="1:19" x14ac:dyDescent="0.3">
      <c r="A269" s="1">
        <v>40341</v>
      </c>
      <c r="B269">
        <v>2010</v>
      </c>
      <c r="C269" t="s">
        <v>29</v>
      </c>
      <c r="D269" s="4">
        <v>108650</v>
      </c>
      <c r="E269" s="2">
        <v>185000</v>
      </c>
      <c r="F269" t="s">
        <v>19</v>
      </c>
      <c r="G269" t="s">
        <v>20</v>
      </c>
      <c r="H269">
        <v>3</v>
      </c>
      <c r="I269">
        <v>3</v>
      </c>
      <c r="J269">
        <v>909</v>
      </c>
      <c r="K269" s="5">
        <v>1.025846E-2</v>
      </c>
      <c r="L269" t="s">
        <v>38</v>
      </c>
      <c r="M269" s="4">
        <v>76350</v>
      </c>
      <c r="N269" s="3">
        <v>203.5204</v>
      </c>
      <c r="O269" t="s">
        <v>22</v>
      </c>
      <c r="P269" t="s">
        <v>23</v>
      </c>
      <c r="Q269" t="s">
        <v>24</v>
      </c>
      <c r="R269" t="s">
        <v>48</v>
      </c>
      <c r="S269">
        <v>6</v>
      </c>
    </row>
    <row r="270" spans="1:19" x14ac:dyDescent="0.3">
      <c r="A270" s="1">
        <v>40342</v>
      </c>
      <c r="B270">
        <v>2010</v>
      </c>
      <c r="C270" t="s">
        <v>35</v>
      </c>
      <c r="D270" s="4">
        <v>1006810</v>
      </c>
      <c r="E270" s="2">
        <v>1265000</v>
      </c>
      <c r="F270" t="s">
        <v>19</v>
      </c>
      <c r="G270" t="s">
        <v>20</v>
      </c>
      <c r="H270">
        <v>3</v>
      </c>
      <c r="I270">
        <v>3</v>
      </c>
      <c r="J270">
        <v>956</v>
      </c>
      <c r="K270" s="5">
        <v>1.025846E-2</v>
      </c>
      <c r="L270" t="s">
        <v>21</v>
      </c>
      <c r="M270" s="4">
        <v>258190</v>
      </c>
      <c r="N270" s="3">
        <v>1323.2218</v>
      </c>
      <c r="O270" t="s">
        <v>22</v>
      </c>
      <c r="P270" t="s">
        <v>28</v>
      </c>
      <c r="Q270" t="s">
        <v>24</v>
      </c>
      <c r="R270" t="s">
        <v>48</v>
      </c>
      <c r="S270">
        <v>6</v>
      </c>
    </row>
    <row r="271" spans="1:19" x14ac:dyDescent="0.3">
      <c r="A271" s="1">
        <v>40345</v>
      </c>
      <c r="B271">
        <v>2010</v>
      </c>
      <c r="C271" t="s">
        <v>26</v>
      </c>
      <c r="D271" s="4">
        <v>444584.20699999999</v>
      </c>
      <c r="E271" s="2">
        <v>490000</v>
      </c>
      <c r="F271" t="s">
        <v>19</v>
      </c>
      <c r="G271" t="s">
        <v>20</v>
      </c>
      <c r="H271">
        <v>3</v>
      </c>
      <c r="I271">
        <v>3</v>
      </c>
      <c r="J271">
        <v>932</v>
      </c>
      <c r="K271" s="5">
        <v>1.025846E-2</v>
      </c>
      <c r="L271" t="s">
        <v>21</v>
      </c>
      <c r="M271" s="4">
        <v>45415.792999999998</v>
      </c>
      <c r="N271" s="3">
        <v>525.75109999999995</v>
      </c>
      <c r="O271" t="s">
        <v>22</v>
      </c>
      <c r="P271" t="s">
        <v>24</v>
      </c>
      <c r="Q271" t="s">
        <v>24</v>
      </c>
      <c r="R271" t="s">
        <v>48</v>
      </c>
      <c r="S271">
        <v>6</v>
      </c>
    </row>
    <row r="272" spans="1:19" x14ac:dyDescent="0.3">
      <c r="A272" s="1">
        <v>40349</v>
      </c>
      <c r="B272">
        <v>2010</v>
      </c>
      <c r="C272" t="s">
        <v>40</v>
      </c>
      <c r="D272" s="4">
        <v>444584.20699999999</v>
      </c>
      <c r="E272" s="2">
        <v>300000</v>
      </c>
      <c r="F272" t="s">
        <v>19</v>
      </c>
      <c r="G272" t="s">
        <v>20</v>
      </c>
      <c r="H272">
        <v>3</v>
      </c>
      <c r="I272">
        <v>1</v>
      </c>
      <c r="J272">
        <v>962</v>
      </c>
      <c r="K272" s="5">
        <v>1.025846E-2</v>
      </c>
      <c r="L272" t="s">
        <v>32</v>
      </c>
      <c r="M272" s="4">
        <v>-144584.20699999999</v>
      </c>
      <c r="N272" s="3">
        <v>311.8503</v>
      </c>
      <c r="O272" t="s">
        <v>33</v>
      </c>
      <c r="P272" t="s">
        <v>24</v>
      </c>
      <c r="Q272" t="s">
        <v>24</v>
      </c>
      <c r="R272" t="s">
        <v>48</v>
      </c>
      <c r="S272">
        <v>6</v>
      </c>
    </row>
    <row r="273" spans="1:19" x14ac:dyDescent="0.3">
      <c r="A273" s="1">
        <v>40352</v>
      </c>
      <c r="B273">
        <v>2010</v>
      </c>
      <c r="C273" t="s">
        <v>52</v>
      </c>
      <c r="D273" s="4">
        <v>409100</v>
      </c>
      <c r="E273" s="2">
        <v>630000</v>
      </c>
      <c r="F273" t="s">
        <v>19</v>
      </c>
      <c r="G273" t="s">
        <v>20</v>
      </c>
      <c r="H273">
        <v>3</v>
      </c>
      <c r="I273">
        <v>3</v>
      </c>
      <c r="J273">
        <v>959</v>
      </c>
      <c r="K273" s="5">
        <v>1.025846E-2</v>
      </c>
      <c r="L273" t="s">
        <v>32</v>
      </c>
      <c r="M273" s="4">
        <v>220900</v>
      </c>
      <c r="N273" s="3">
        <v>656.93430000000001</v>
      </c>
      <c r="O273" t="s">
        <v>22</v>
      </c>
      <c r="P273" t="s">
        <v>28</v>
      </c>
      <c r="Q273" t="s">
        <v>24</v>
      </c>
      <c r="R273" t="s">
        <v>48</v>
      </c>
      <c r="S273">
        <v>6</v>
      </c>
    </row>
    <row r="274" spans="1:19" x14ac:dyDescent="0.3">
      <c r="A274" s="1">
        <v>40354</v>
      </c>
      <c r="B274">
        <v>2010</v>
      </c>
      <c r="C274" t="s">
        <v>26</v>
      </c>
      <c r="D274" s="4">
        <v>1877470</v>
      </c>
      <c r="E274" s="2">
        <v>3075000</v>
      </c>
      <c r="F274" t="s">
        <v>19</v>
      </c>
      <c r="G274" t="s">
        <v>20</v>
      </c>
      <c r="H274">
        <v>3</v>
      </c>
      <c r="I274">
        <v>1</v>
      </c>
      <c r="J274">
        <v>1059</v>
      </c>
      <c r="K274" s="5">
        <v>1.025846E-2</v>
      </c>
      <c r="L274" t="s">
        <v>32</v>
      </c>
      <c r="M274" s="4">
        <v>1197530</v>
      </c>
      <c r="N274" s="3">
        <v>2903.6826999999998</v>
      </c>
      <c r="O274" t="s">
        <v>22</v>
      </c>
      <c r="P274" t="s">
        <v>28</v>
      </c>
      <c r="Q274" t="s">
        <v>24</v>
      </c>
      <c r="R274" t="s">
        <v>48</v>
      </c>
      <c r="S274">
        <v>6</v>
      </c>
    </row>
    <row r="275" spans="1:19" x14ac:dyDescent="0.3">
      <c r="A275" s="1">
        <v>40355</v>
      </c>
      <c r="B275">
        <v>2010</v>
      </c>
      <c r="C275" t="s">
        <v>35</v>
      </c>
      <c r="D275" s="4">
        <v>5140660</v>
      </c>
      <c r="E275" s="2">
        <v>6375000</v>
      </c>
      <c r="F275" t="s">
        <v>19</v>
      </c>
      <c r="G275" t="s">
        <v>20</v>
      </c>
      <c r="H275">
        <v>3</v>
      </c>
      <c r="I275">
        <v>3</v>
      </c>
      <c r="J275">
        <v>1030</v>
      </c>
      <c r="K275" s="5">
        <v>1.025846E-2</v>
      </c>
      <c r="L275" t="s">
        <v>21</v>
      </c>
      <c r="M275" s="4">
        <v>1234340</v>
      </c>
      <c r="N275" s="3">
        <v>6189.3203999999996</v>
      </c>
      <c r="O275" t="s">
        <v>22</v>
      </c>
      <c r="P275" t="s">
        <v>28</v>
      </c>
      <c r="Q275" t="s">
        <v>24</v>
      </c>
      <c r="R275" t="s">
        <v>48</v>
      </c>
      <c r="S275">
        <v>6</v>
      </c>
    </row>
    <row r="276" spans="1:19" x14ac:dyDescent="0.3">
      <c r="A276" s="1">
        <v>40356</v>
      </c>
      <c r="B276">
        <v>2010</v>
      </c>
      <c r="C276" t="s">
        <v>29</v>
      </c>
      <c r="D276" s="4">
        <v>128870</v>
      </c>
      <c r="E276" s="2">
        <v>205000</v>
      </c>
      <c r="F276" t="s">
        <v>19</v>
      </c>
      <c r="G276" t="s">
        <v>20</v>
      </c>
      <c r="H276">
        <v>3</v>
      </c>
      <c r="I276">
        <v>1</v>
      </c>
      <c r="J276">
        <v>1081</v>
      </c>
      <c r="K276" s="5">
        <v>1.025846E-2</v>
      </c>
      <c r="L276" t="s">
        <v>38</v>
      </c>
      <c r="M276" s="4">
        <v>76130</v>
      </c>
      <c r="N276" s="3">
        <v>189.63919999999999</v>
      </c>
      <c r="O276" t="s">
        <v>22</v>
      </c>
      <c r="P276" t="s">
        <v>24</v>
      </c>
      <c r="Q276" t="s">
        <v>24</v>
      </c>
      <c r="R276" t="s">
        <v>48</v>
      </c>
      <c r="S276">
        <v>6</v>
      </c>
    </row>
    <row r="277" spans="1:19" x14ac:dyDescent="0.3">
      <c r="A277" s="1">
        <v>40359</v>
      </c>
      <c r="B277">
        <v>2010</v>
      </c>
      <c r="C277" t="s">
        <v>35</v>
      </c>
      <c r="D277" s="4">
        <v>1827910</v>
      </c>
      <c r="E277" s="2">
        <v>8050000</v>
      </c>
      <c r="F277" t="s">
        <v>19</v>
      </c>
      <c r="G277" t="s">
        <v>20</v>
      </c>
      <c r="H277">
        <v>3</v>
      </c>
      <c r="I277">
        <v>2</v>
      </c>
      <c r="J277">
        <v>1093</v>
      </c>
      <c r="K277" s="5">
        <v>1.025846E-2</v>
      </c>
      <c r="L277" t="s">
        <v>21</v>
      </c>
      <c r="M277" s="4">
        <v>6222090</v>
      </c>
      <c r="N277" s="3">
        <v>7365.0502999999999</v>
      </c>
      <c r="O277" t="s">
        <v>22</v>
      </c>
      <c r="P277" t="s">
        <v>28</v>
      </c>
      <c r="Q277" t="s">
        <v>24</v>
      </c>
      <c r="R277" t="s">
        <v>48</v>
      </c>
      <c r="S277">
        <v>6</v>
      </c>
    </row>
    <row r="278" spans="1:19" x14ac:dyDescent="0.3">
      <c r="A278" s="1">
        <v>40360</v>
      </c>
      <c r="B278">
        <v>2010</v>
      </c>
      <c r="C278" t="s">
        <v>52</v>
      </c>
      <c r="D278" s="4">
        <v>146200</v>
      </c>
      <c r="E278" s="2">
        <v>230000</v>
      </c>
      <c r="F278" t="s">
        <v>19</v>
      </c>
      <c r="G278" t="s">
        <v>20</v>
      </c>
      <c r="H278">
        <v>3</v>
      </c>
      <c r="I278">
        <v>3</v>
      </c>
      <c r="J278">
        <v>951</v>
      </c>
      <c r="K278" s="5">
        <v>1.025846E-2</v>
      </c>
      <c r="L278" t="s">
        <v>21</v>
      </c>
      <c r="M278" s="4">
        <v>83800</v>
      </c>
      <c r="N278" s="3">
        <v>241.85069999999999</v>
      </c>
      <c r="O278" t="s">
        <v>22</v>
      </c>
      <c r="P278" t="s">
        <v>24</v>
      </c>
      <c r="Q278" t="s">
        <v>24</v>
      </c>
      <c r="R278" t="s">
        <v>49</v>
      </c>
      <c r="S278">
        <v>7</v>
      </c>
    </row>
    <row r="279" spans="1:19" x14ac:dyDescent="0.3">
      <c r="A279" s="1">
        <v>40361</v>
      </c>
      <c r="B279">
        <v>2010</v>
      </c>
      <c r="C279" t="s">
        <v>35</v>
      </c>
      <c r="D279" s="4">
        <v>501270</v>
      </c>
      <c r="E279" s="2">
        <v>595000</v>
      </c>
      <c r="F279" t="s">
        <v>19</v>
      </c>
      <c r="G279" t="s">
        <v>20</v>
      </c>
      <c r="H279">
        <v>3</v>
      </c>
      <c r="I279">
        <v>2</v>
      </c>
      <c r="J279">
        <v>918</v>
      </c>
      <c r="K279" s="5">
        <v>1.025846E-2</v>
      </c>
      <c r="L279" t="s">
        <v>27</v>
      </c>
      <c r="M279" s="4">
        <v>93730</v>
      </c>
      <c r="N279" s="3">
        <v>648.1481</v>
      </c>
      <c r="O279" t="s">
        <v>22</v>
      </c>
      <c r="P279" t="s">
        <v>24</v>
      </c>
      <c r="Q279" t="s">
        <v>24</v>
      </c>
      <c r="R279" t="s">
        <v>49</v>
      </c>
      <c r="S279">
        <v>7</v>
      </c>
    </row>
    <row r="280" spans="1:19" x14ac:dyDescent="0.3">
      <c r="A280" s="1">
        <v>40362</v>
      </c>
      <c r="B280">
        <v>2010</v>
      </c>
      <c r="C280" t="s">
        <v>52</v>
      </c>
      <c r="D280" s="4">
        <v>127100</v>
      </c>
      <c r="E280" s="2">
        <v>160000</v>
      </c>
      <c r="F280" t="s">
        <v>19</v>
      </c>
      <c r="G280" t="s">
        <v>20</v>
      </c>
      <c r="H280">
        <v>3</v>
      </c>
      <c r="I280">
        <v>2</v>
      </c>
      <c r="J280">
        <v>1111.6589814177564</v>
      </c>
      <c r="K280" s="5">
        <v>1.025846E-2</v>
      </c>
      <c r="L280" t="s">
        <v>32</v>
      </c>
      <c r="M280" s="4">
        <v>32900</v>
      </c>
      <c r="N280" s="3">
        <v>143.929</v>
      </c>
      <c r="O280" t="s">
        <v>22</v>
      </c>
      <c r="P280" t="s">
        <v>23</v>
      </c>
      <c r="Q280" t="s">
        <v>24</v>
      </c>
      <c r="R280" t="s">
        <v>49</v>
      </c>
      <c r="S280">
        <v>7</v>
      </c>
    </row>
    <row r="281" spans="1:19" x14ac:dyDescent="0.3">
      <c r="A281" s="1">
        <v>40366</v>
      </c>
      <c r="B281">
        <v>2010</v>
      </c>
      <c r="C281" t="s">
        <v>39</v>
      </c>
      <c r="D281" s="4">
        <v>593530</v>
      </c>
      <c r="E281" s="2">
        <v>775000</v>
      </c>
      <c r="F281" t="s">
        <v>19</v>
      </c>
      <c r="G281" t="s">
        <v>20</v>
      </c>
      <c r="H281">
        <v>3</v>
      </c>
      <c r="I281">
        <v>3</v>
      </c>
      <c r="J281">
        <v>936</v>
      </c>
      <c r="K281" s="5">
        <v>1.025846E-2</v>
      </c>
      <c r="L281" t="s">
        <v>21</v>
      </c>
      <c r="M281" s="4">
        <v>181470</v>
      </c>
      <c r="N281" s="3">
        <v>827.99149999999997</v>
      </c>
      <c r="O281" t="s">
        <v>22</v>
      </c>
      <c r="P281" t="s">
        <v>28</v>
      </c>
      <c r="Q281" t="s">
        <v>24</v>
      </c>
      <c r="R281" t="s">
        <v>49</v>
      </c>
      <c r="S281">
        <v>7</v>
      </c>
    </row>
    <row r="282" spans="1:19" x14ac:dyDescent="0.3">
      <c r="A282" s="1">
        <v>40367</v>
      </c>
      <c r="B282">
        <v>2010</v>
      </c>
      <c r="C282" t="s">
        <v>40</v>
      </c>
      <c r="D282" s="4">
        <v>221700</v>
      </c>
      <c r="E282" s="2">
        <v>401000</v>
      </c>
      <c r="F282" t="s">
        <v>19</v>
      </c>
      <c r="G282" t="s">
        <v>20</v>
      </c>
      <c r="H282">
        <v>3</v>
      </c>
      <c r="I282">
        <v>1</v>
      </c>
      <c r="J282">
        <v>931</v>
      </c>
      <c r="K282" s="5">
        <v>1.025846E-2</v>
      </c>
      <c r="L282" t="s">
        <v>38</v>
      </c>
      <c r="M282" s="4">
        <v>179300</v>
      </c>
      <c r="N282" s="3">
        <v>430.71969999999999</v>
      </c>
      <c r="O282" t="s">
        <v>22</v>
      </c>
      <c r="P282" t="s">
        <v>24</v>
      </c>
      <c r="Q282" t="s">
        <v>24</v>
      </c>
      <c r="R282" t="s">
        <v>49</v>
      </c>
      <c r="S282">
        <v>7</v>
      </c>
    </row>
    <row r="283" spans="1:19" x14ac:dyDescent="0.3">
      <c r="A283" s="1">
        <v>40369</v>
      </c>
      <c r="B283">
        <v>2010</v>
      </c>
      <c r="C283" t="s">
        <v>40</v>
      </c>
      <c r="D283" s="4">
        <v>227800</v>
      </c>
      <c r="E283" s="2">
        <v>315000</v>
      </c>
      <c r="F283" t="s">
        <v>19</v>
      </c>
      <c r="G283" t="s">
        <v>20</v>
      </c>
      <c r="H283">
        <v>3</v>
      </c>
      <c r="I283">
        <v>2</v>
      </c>
      <c r="J283">
        <v>1111.6589814177564</v>
      </c>
      <c r="K283" s="5">
        <v>1.025846E-2</v>
      </c>
      <c r="L283" t="s">
        <v>21</v>
      </c>
      <c r="M283" s="4">
        <v>87200</v>
      </c>
      <c r="N283" s="3">
        <v>283.3603</v>
      </c>
      <c r="O283" t="s">
        <v>22</v>
      </c>
      <c r="P283" t="s">
        <v>24</v>
      </c>
      <c r="Q283" t="s">
        <v>24</v>
      </c>
      <c r="R283" t="s">
        <v>49</v>
      </c>
      <c r="S283">
        <v>7</v>
      </c>
    </row>
    <row r="284" spans="1:19" x14ac:dyDescent="0.3">
      <c r="A284" s="1">
        <v>40373</v>
      </c>
      <c r="B284">
        <v>2010</v>
      </c>
      <c r="C284" t="s">
        <v>26</v>
      </c>
      <c r="D284" s="4">
        <v>270410</v>
      </c>
      <c r="E284" s="2">
        <v>530000</v>
      </c>
      <c r="F284" t="s">
        <v>19</v>
      </c>
      <c r="G284" t="s">
        <v>20</v>
      </c>
      <c r="H284">
        <v>3</v>
      </c>
      <c r="I284">
        <v>2</v>
      </c>
      <c r="J284">
        <v>1084</v>
      </c>
      <c r="K284" s="5">
        <v>1.025846E-2</v>
      </c>
      <c r="L284" t="s">
        <v>27</v>
      </c>
      <c r="M284" s="4">
        <v>259590</v>
      </c>
      <c r="N284" s="3">
        <v>488.92989999999998</v>
      </c>
      <c r="O284" t="s">
        <v>22</v>
      </c>
      <c r="P284" t="s">
        <v>24</v>
      </c>
      <c r="Q284" t="s">
        <v>24</v>
      </c>
      <c r="R284" t="s">
        <v>49</v>
      </c>
      <c r="S284">
        <v>7</v>
      </c>
    </row>
    <row r="285" spans="1:19" x14ac:dyDescent="0.3">
      <c r="A285" s="1">
        <v>40374</v>
      </c>
      <c r="B285">
        <v>2010</v>
      </c>
      <c r="C285" t="s">
        <v>39</v>
      </c>
      <c r="D285" s="4">
        <v>245000</v>
      </c>
      <c r="E285" s="2">
        <v>333000</v>
      </c>
      <c r="F285" t="s">
        <v>19</v>
      </c>
      <c r="G285" t="s">
        <v>20</v>
      </c>
      <c r="H285">
        <v>3</v>
      </c>
      <c r="I285">
        <v>3</v>
      </c>
      <c r="J285">
        <v>1111.6589814177564</v>
      </c>
      <c r="K285" s="5">
        <v>1.025846E-2</v>
      </c>
      <c r="L285" t="s">
        <v>38</v>
      </c>
      <c r="M285" s="4">
        <v>88000</v>
      </c>
      <c r="N285" s="3">
        <v>299.5523</v>
      </c>
      <c r="O285" t="s">
        <v>22</v>
      </c>
      <c r="P285" t="s">
        <v>24</v>
      </c>
      <c r="Q285" t="s">
        <v>24</v>
      </c>
      <c r="R285" t="s">
        <v>49</v>
      </c>
      <c r="S285">
        <v>7</v>
      </c>
    </row>
    <row r="286" spans="1:19" x14ac:dyDescent="0.3">
      <c r="A286" s="1">
        <v>40376</v>
      </c>
      <c r="B286">
        <v>2010</v>
      </c>
      <c r="C286" t="s">
        <v>52</v>
      </c>
      <c r="D286" s="4">
        <v>213000</v>
      </c>
      <c r="E286" s="2">
        <v>325000</v>
      </c>
      <c r="F286" t="s">
        <v>19</v>
      </c>
      <c r="G286" t="s">
        <v>20</v>
      </c>
      <c r="H286">
        <v>3</v>
      </c>
      <c r="I286">
        <v>2</v>
      </c>
      <c r="J286">
        <v>981</v>
      </c>
      <c r="K286" s="5">
        <v>1.025846E-2</v>
      </c>
      <c r="L286" t="s">
        <v>38</v>
      </c>
      <c r="M286" s="4">
        <v>112000</v>
      </c>
      <c r="N286" s="3">
        <v>331.2946</v>
      </c>
      <c r="O286" t="s">
        <v>22</v>
      </c>
      <c r="P286" t="s">
        <v>24</v>
      </c>
      <c r="Q286" t="s">
        <v>24</v>
      </c>
      <c r="R286" t="s">
        <v>49</v>
      </c>
      <c r="S286">
        <v>7</v>
      </c>
    </row>
    <row r="287" spans="1:19" x14ac:dyDescent="0.3">
      <c r="A287" s="1">
        <v>40381</v>
      </c>
      <c r="B287">
        <v>2010</v>
      </c>
      <c r="C287" t="s">
        <v>29</v>
      </c>
      <c r="D287" s="4">
        <v>118160</v>
      </c>
      <c r="E287" s="2">
        <v>206000</v>
      </c>
      <c r="F287" t="s">
        <v>19</v>
      </c>
      <c r="G287" t="s">
        <v>20</v>
      </c>
      <c r="H287">
        <v>3</v>
      </c>
      <c r="I287">
        <v>2</v>
      </c>
      <c r="J287">
        <v>1036</v>
      </c>
      <c r="K287" s="5">
        <v>1.025846E-2</v>
      </c>
      <c r="L287" t="s">
        <v>32</v>
      </c>
      <c r="M287" s="4">
        <v>87840</v>
      </c>
      <c r="N287" s="3">
        <v>198.8417</v>
      </c>
      <c r="O287" t="s">
        <v>22</v>
      </c>
      <c r="P287" t="s">
        <v>24</v>
      </c>
      <c r="Q287" t="s">
        <v>24</v>
      </c>
      <c r="R287" t="s">
        <v>49</v>
      </c>
      <c r="S287">
        <v>7</v>
      </c>
    </row>
    <row r="288" spans="1:19" x14ac:dyDescent="0.3">
      <c r="A288" s="1">
        <v>40382</v>
      </c>
      <c r="B288">
        <v>2010</v>
      </c>
      <c r="C288" t="s">
        <v>29</v>
      </c>
      <c r="D288" s="4">
        <v>444584.20699999999</v>
      </c>
      <c r="E288" s="2">
        <v>215000</v>
      </c>
      <c r="F288" t="s">
        <v>19</v>
      </c>
      <c r="G288" t="s">
        <v>20</v>
      </c>
      <c r="H288">
        <v>3</v>
      </c>
      <c r="I288">
        <v>3</v>
      </c>
      <c r="J288">
        <v>937</v>
      </c>
      <c r="K288" s="5">
        <v>1.025846E-2</v>
      </c>
      <c r="L288" t="s">
        <v>38</v>
      </c>
      <c r="M288" s="4">
        <v>-229584.20699999999</v>
      </c>
      <c r="N288" s="3">
        <v>229.45570000000001</v>
      </c>
      <c r="O288" t="s">
        <v>33</v>
      </c>
      <c r="P288" t="s">
        <v>24</v>
      </c>
      <c r="Q288" t="s">
        <v>24</v>
      </c>
      <c r="R288" t="s">
        <v>49</v>
      </c>
      <c r="S288">
        <v>7</v>
      </c>
    </row>
    <row r="289" spans="1:19" x14ac:dyDescent="0.3">
      <c r="A289" s="1">
        <v>40383</v>
      </c>
      <c r="B289">
        <v>2010</v>
      </c>
      <c r="C289" t="s">
        <v>39</v>
      </c>
      <c r="D289" s="4">
        <v>444584.20699999999</v>
      </c>
      <c r="E289" s="2">
        <v>615000</v>
      </c>
      <c r="F289" t="s">
        <v>19</v>
      </c>
      <c r="G289" t="s">
        <v>20</v>
      </c>
      <c r="H289">
        <v>3</v>
      </c>
      <c r="I289">
        <v>2</v>
      </c>
      <c r="J289">
        <v>984</v>
      </c>
      <c r="K289" s="5">
        <v>1.025846E-2</v>
      </c>
      <c r="L289" t="s">
        <v>32</v>
      </c>
      <c r="M289" s="4">
        <v>170415.79300000001</v>
      </c>
      <c r="N289" s="3">
        <v>625</v>
      </c>
      <c r="O289" t="s">
        <v>22</v>
      </c>
      <c r="P289" t="s">
        <v>28</v>
      </c>
      <c r="Q289" t="s">
        <v>24</v>
      </c>
      <c r="R289" t="s">
        <v>49</v>
      </c>
      <c r="S289">
        <v>7</v>
      </c>
    </row>
    <row r="290" spans="1:19" x14ac:dyDescent="0.3">
      <c r="A290" s="1">
        <v>40384</v>
      </c>
      <c r="B290">
        <v>2010</v>
      </c>
      <c r="C290" t="s">
        <v>35</v>
      </c>
      <c r="D290" s="4">
        <v>519280</v>
      </c>
      <c r="E290" s="2">
        <v>675000</v>
      </c>
      <c r="F290" t="s">
        <v>19</v>
      </c>
      <c r="G290" t="s">
        <v>20</v>
      </c>
      <c r="H290">
        <v>3</v>
      </c>
      <c r="I290">
        <v>3</v>
      </c>
      <c r="J290">
        <v>919</v>
      </c>
      <c r="K290" s="5">
        <v>1.025846E-2</v>
      </c>
      <c r="L290" t="s">
        <v>27</v>
      </c>
      <c r="M290" s="4">
        <v>155720</v>
      </c>
      <c r="N290" s="3">
        <v>734.49400000000003</v>
      </c>
      <c r="O290" t="s">
        <v>22</v>
      </c>
      <c r="P290" t="s">
        <v>28</v>
      </c>
      <c r="Q290" t="s">
        <v>24</v>
      </c>
      <c r="R290" t="s">
        <v>49</v>
      </c>
      <c r="S290">
        <v>7</v>
      </c>
    </row>
    <row r="291" spans="1:19" x14ac:dyDescent="0.3">
      <c r="A291" s="1">
        <v>40387</v>
      </c>
      <c r="B291">
        <v>2010</v>
      </c>
      <c r="C291" t="s">
        <v>52</v>
      </c>
      <c r="D291" s="4">
        <v>444584.20699999999</v>
      </c>
      <c r="E291" s="2">
        <v>318000</v>
      </c>
      <c r="F291" t="s">
        <v>19</v>
      </c>
      <c r="G291" t="s">
        <v>20</v>
      </c>
      <c r="H291">
        <v>3</v>
      </c>
      <c r="I291">
        <v>3</v>
      </c>
      <c r="J291">
        <v>1031</v>
      </c>
      <c r="K291" s="5">
        <v>1.025846E-2</v>
      </c>
      <c r="L291" t="s">
        <v>32</v>
      </c>
      <c r="M291" s="4">
        <v>-126584.20699999999</v>
      </c>
      <c r="N291" s="3">
        <v>308.4384</v>
      </c>
      <c r="O291" t="s">
        <v>33</v>
      </c>
      <c r="P291" t="s">
        <v>24</v>
      </c>
      <c r="Q291" t="s">
        <v>24</v>
      </c>
      <c r="R291" t="s">
        <v>49</v>
      </c>
      <c r="S291">
        <v>7</v>
      </c>
    </row>
    <row r="292" spans="1:19" x14ac:dyDescent="0.3">
      <c r="A292" s="1">
        <v>40389</v>
      </c>
      <c r="B292">
        <v>2010</v>
      </c>
      <c r="C292" t="s">
        <v>40</v>
      </c>
      <c r="D292" s="4">
        <v>117470</v>
      </c>
      <c r="E292" s="2">
        <v>180000</v>
      </c>
      <c r="F292" t="s">
        <v>19</v>
      </c>
      <c r="G292" t="s">
        <v>20</v>
      </c>
      <c r="H292">
        <v>3</v>
      </c>
      <c r="I292">
        <v>2</v>
      </c>
      <c r="J292">
        <v>954</v>
      </c>
      <c r="K292" s="5">
        <v>1.025846E-2</v>
      </c>
      <c r="L292" t="s">
        <v>21</v>
      </c>
      <c r="M292" s="4">
        <v>62530</v>
      </c>
      <c r="N292" s="3">
        <v>188.67920000000001</v>
      </c>
      <c r="O292" t="s">
        <v>22</v>
      </c>
      <c r="P292" t="s">
        <v>23</v>
      </c>
      <c r="Q292" t="s">
        <v>24</v>
      </c>
      <c r="R292" t="s">
        <v>49</v>
      </c>
      <c r="S292">
        <v>7</v>
      </c>
    </row>
    <row r="293" spans="1:19" x14ac:dyDescent="0.3">
      <c r="A293" s="1">
        <v>40391</v>
      </c>
      <c r="B293">
        <v>2010</v>
      </c>
      <c r="C293" t="s">
        <v>29</v>
      </c>
      <c r="D293" s="4">
        <v>167800</v>
      </c>
      <c r="E293" s="2">
        <v>210000</v>
      </c>
      <c r="F293" t="s">
        <v>30</v>
      </c>
      <c r="G293" t="s">
        <v>31</v>
      </c>
      <c r="H293">
        <v>4</v>
      </c>
      <c r="I293">
        <v>3</v>
      </c>
      <c r="J293">
        <v>1381</v>
      </c>
      <c r="K293" s="5">
        <v>1.025846E-2</v>
      </c>
      <c r="L293" t="s">
        <v>27</v>
      </c>
      <c r="M293" s="4">
        <v>42200</v>
      </c>
      <c r="N293" s="3">
        <v>152.06370000000001</v>
      </c>
      <c r="O293" t="s">
        <v>22</v>
      </c>
      <c r="P293" t="s">
        <v>24</v>
      </c>
      <c r="Q293" t="s">
        <v>34</v>
      </c>
      <c r="R293" t="s">
        <v>50</v>
      </c>
      <c r="S293">
        <v>8</v>
      </c>
    </row>
    <row r="294" spans="1:19" x14ac:dyDescent="0.3">
      <c r="A294" s="1">
        <v>40394</v>
      </c>
      <c r="B294">
        <v>2010</v>
      </c>
      <c r="C294" t="s">
        <v>52</v>
      </c>
      <c r="D294" s="4">
        <v>199400</v>
      </c>
      <c r="E294" s="2">
        <v>337000</v>
      </c>
      <c r="F294" t="s">
        <v>19</v>
      </c>
      <c r="G294" t="s">
        <v>20</v>
      </c>
      <c r="H294">
        <v>3</v>
      </c>
      <c r="I294">
        <v>1</v>
      </c>
      <c r="J294">
        <v>950</v>
      </c>
      <c r="K294" s="5">
        <v>1.025846E-2</v>
      </c>
      <c r="L294" t="s">
        <v>27</v>
      </c>
      <c r="M294" s="4">
        <v>137600</v>
      </c>
      <c r="N294" s="3">
        <v>354.73680000000002</v>
      </c>
      <c r="O294" t="s">
        <v>22</v>
      </c>
      <c r="P294" t="s">
        <v>24</v>
      </c>
      <c r="Q294" t="s">
        <v>24</v>
      </c>
      <c r="R294" t="s">
        <v>50</v>
      </c>
      <c r="S294">
        <v>8</v>
      </c>
    </row>
    <row r="295" spans="1:19" x14ac:dyDescent="0.3">
      <c r="A295" s="1">
        <v>40396</v>
      </c>
      <c r="B295">
        <v>2010</v>
      </c>
      <c r="C295" t="s">
        <v>52</v>
      </c>
      <c r="D295" s="4">
        <v>203800</v>
      </c>
      <c r="E295" s="2">
        <v>390000</v>
      </c>
      <c r="F295" t="s">
        <v>19</v>
      </c>
      <c r="G295" t="s">
        <v>20</v>
      </c>
      <c r="H295">
        <v>3</v>
      </c>
      <c r="I295">
        <v>3</v>
      </c>
      <c r="J295">
        <v>987</v>
      </c>
      <c r="K295" s="5">
        <v>1.025846E-2</v>
      </c>
      <c r="L295" t="s">
        <v>27</v>
      </c>
      <c r="M295" s="4">
        <v>186200</v>
      </c>
      <c r="N295" s="3">
        <v>395.13679999999999</v>
      </c>
      <c r="O295" t="s">
        <v>22</v>
      </c>
      <c r="P295" t="s">
        <v>24</v>
      </c>
      <c r="Q295" t="s">
        <v>24</v>
      </c>
      <c r="R295" t="s">
        <v>50</v>
      </c>
      <c r="S295">
        <v>8</v>
      </c>
    </row>
    <row r="296" spans="1:19" x14ac:dyDescent="0.3">
      <c r="A296" s="1">
        <v>40398</v>
      </c>
      <c r="B296">
        <v>2010</v>
      </c>
      <c r="C296" t="s">
        <v>35</v>
      </c>
      <c r="D296" s="4">
        <v>1782410</v>
      </c>
      <c r="E296" s="2">
        <v>2250000</v>
      </c>
      <c r="F296" t="s">
        <v>19</v>
      </c>
      <c r="G296" t="s">
        <v>20</v>
      </c>
      <c r="H296">
        <v>3</v>
      </c>
      <c r="I296">
        <v>3</v>
      </c>
      <c r="J296">
        <v>1030</v>
      </c>
      <c r="K296" s="5">
        <v>1.025846E-2</v>
      </c>
      <c r="L296" t="s">
        <v>27</v>
      </c>
      <c r="M296" s="4">
        <v>467590</v>
      </c>
      <c r="N296" s="3">
        <v>2184.4659999999999</v>
      </c>
      <c r="O296" t="s">
        <v>22</v>
      </c>
      <c r="P296" t="s">
        <v>28</v>
      </c>
      <c r="Q296" t="s">
        <v>24</v>
      </c>
      <c r="R296" t="s">
        <v>50</v>
      </c>
      <c r="S296">
        <v>8</v>
      </c>
    </row>
    <row r="297" spans="1:19" x14ac:dyDescent="0.3">
      <c r="A297" s="1">
        <v>40402</v>
      </c>
      <c r="B297">
        <v>2010</v>
      </c>
      <c r="C297" t="s">
        <v>52</v>
      </c>
      <c r="D297" s="4">
        <v>444584.20699999999</v>
      </c>
      <c r="E297" s="2">
        <v>629100</v>
      </c>
      <c r="F297" t="s">
        <v>19</v>
      </c>
      <c r="G297" t="s">
        <v>20</v>
      </c>
      <c r="H297">
        <v>3</v>
      </c>
      <c r="I297">
        <v>2</v>
      </c>
      <c r="J297">
        <v>1083</v>
      </c>
      <c r="K297" s="5">
        <v>1.025846E-2</v>
      </c>
      <c r="L297" t="s">
        <v>32</v>
      </c>
      <c r="M297" s="4">
        <v>184515.79300000001</v>
      </c>
      <c r="N297" s="3">
        <v>580.88639999999998</v>
      </c>
      <c r="O297" t="s">
        <v>22</v>
      </c>
      <c r="P297" t="s">
        <v>28</v>
      </c>
      <c r="Q297" t="s">
        <v>24</v>
      </c>
      <c r="R297" t="s">
        <v>50</v>
      </c>
      <c r="S297">
        <v>8</v>
      </c>
    </row>
    <row r="298" spans="1:19" x14ac:dyDescent="0.3">
      <c r="A298" s="1">
        <v>40403</v>
      </c>
      <c r="B298">
        <v>2010</v>
      </c>
      <c r="C298" t="s">
        <v>35</v>
      </c>
      <c r="D298" s="4">
        <v>1060360</v>
      </c>
      <c r="E298" s="2">
        <v>1250000</v>
      </c>
      <c r="F298" t="s">
        <v>19</v>
      </c>
      <c r="G298" t="s">
        <v>20</v>
      </c>
      <c r="H298">
        <v>3</v>
      </c>
      <c r="I298">
        <v>1</v>
      </c>
      <c r="J298">
        <v>1018</v>
      </c>
      <c r="K298" s="5">
        <v>1.025846E-2</v>
      </c>
      <c r="L298" t="s">
        <v>38</v>
      </c>
      <c r="M298" s="4">
        <v>189640</v>
      </c>
      <c r="N298" s="3">
        <v>1227.8978</v>
      </c>
      <c r="O298" t="s">
        <v>22</v>
      </c>
      <c r="P298" t="s">
        <v>28</v>
      </c>
      <c r="Q298" t="s">
        <v>24</v>
      </c>
      <c r="R298" t="s">
        <v>50</v>
      </c>
      <c r="S298">
        <v>8</v>
      </c>
    </row>
    <row r="299" spans="1:19" x14ac:dyDescent="0.3">
      <c r="A299" s="1">
        <v>40404</v>
      </c>
      <c r="B299">
        <v>2010</v>
      </c>
      <c r="C299" t="s">
        <v>26</v>
      </c>
      <c r="D299" s="4">
        <v>285600</v>
      </c>
      <c r="E299" s="2">
        <v>430000</v>
      </c>
      <c r="F299" t="s">
        <v>19</v>
      </c>
      <c r="G299" t="s">
        <v>20</v>
      </c>
      <c r="H299">
        <v>3</v>
      </c>
      <c r="I299">
        <v>1</v>
      </c>
      <c r="J299">
        <v>911</v>
      </c>
      <c r="K299" s="5">
        <v>1.025846E-2</v>
      </c>
      <c r="L299" t="s">
        <v>38</v>
      </c>
      <c r="M299" s="4">
        <v>144400</v>
      </c>
      <c r="N299" s="3">
        <v>472.00880000000001</v>
      </c>
      <c r="O299" t="s">
        <v>22</v>
      </c>
      <c r="P299" t="s">
        <v>24</v>
      </c>
      <c r="Q299" t="s">
        <v>24</v>
      </c>
      <c r="R299" t="s">
        <v>50</v>
      </c>
      <c r="S299">
        <v>8</v>
      </c>
    </row>
    <row r="300" spans="1:19" x14ac:dyDescent="0.3">
      <c r="A300" s="1">
        <v>40405</v>
      </c>
      <c r="B300">
        <v>2010</v>
      </c>
      <c r="C300" t="s">
        <v>29</v>
      </c>
      <c r="D300" s="4">
        <v>131870</v>
      </c>
      <c r="E300" s="2">
        <v>247000</v>
      </c>
      <c r="F300" t="s">
        <v>19</v>
      </c>
      <c r="G300" t="s">
        <v>20</v>
      </c>
      <c r="H300">
        <v>3</v>
      </c>
      <c r="I300">
        <v>2</v>
      </c>
      <c r="J300">
        <v>918</v>
      </c>
      <c r="K300" s="5">
        <v>1.025846E-2</v>
      </c>
      <c r="L300" t="s">
        <v>27</v>
      </c>
      <c r="M300" s="4">
        <v>115130</v>
      </c>
      <c r="N300" s="3">
        <v>269.06319999999999</v>
      </c>
      <c r="O300" t="s">
        <v>22</v>
      </c>
      <c r="P300" t="s">
        <v>24</v>
      </c>
      <c r="Q300" t="s">
        <v>24</v>
      </c>
      <c r="R300" t="s">
        <v>50</v>
      </c>
      <c r="S300">
        <v>8</v>
      </c>
    </row>
    <row r="301" spans="1:19" x14ac:dyDescent="0.3">
      <c r="A301" s="1">
        <v>40408</v>
      </c>
      <c r="B301">
        <v>2010</v>
      </c>
      <c r="C301" t="s">
        <v>52</v>
      </c>
      <c r="D301" s="4">
        <v>208000</v>
      </c>
      <c r="E301" s="2">
        <v>284500</v>
      </c>
      <c r="F301" t="s">
        <v>19</v>
      </c>
      <c r="G301" t="s">
        <v>20</v>
      </c>
      <c r="H301">
        <v>3</v>
      </c>
      <c r="I301">
        <v>2</v>
      </c>
      <c r="J301">
        <v>943</v>
      </c>
      <c r="K301" s="5">
        <v>1.025846E-2</v>
      </c>
      <c r="L301" t="s">
        <v>21</v>
      </c>
      <c r="M301" s="4">
        <v>76500</v>
      </c>
      <c r="N301" s="3">
        <v>301.69670000000002</v>
      </c>
      <c r="O301" t="s">
        <v>22</v>
      </c>
      <c r="P301" t="s">
        <v>24</v>
      </c>
      <c r="Q301" t="s">
        <v>24</v>
      </c>
      <c r="R301" t="s">
        <v>50</v>
      </c>
      <c r="S301">
        <v>8</v>
      </c>
    </row>
    <row r="302" spans="1:19" x14ac:dyDescent="0.3">
      <c r="A302" s="1">
        <v>40410</v>
      </c>
      <c r="B302">
        <v>2010</v>
      </c>
      <c r="C302" t="s">
        <v>26</v>
      </c>
      <c r="D302" s="4">
        <v>318220</v>
      </c>
      <c r="E302" s="2">
        <v>549000</v>
      </c>
      <c r="F302" t="s">
        <v>19</v>
      </c>
      <c r="G302" t="s">
        <v>20</v>
      </c>
      <c r="H302">
        <v>3</v>
      </c>
      <c r="I302">
        <v>1</v>
      </c>
      <c r="J302">
        <v>947</v>
      </c>
      <c r="K302" s="5">
        <v>1.025846E-2</v>
      </c>
      <c r="L302" t="s">
        <v>21</v>
      </c>
      <c r="M302" s="4">
        <v>230780</v>
      </c>
      <c r="N302" s="3">
        <v>579.72540000000004</v>
      </c>
      <c r="O302" t="s">
        <v>22</v>
      </c>
      <c r="P302" t="s">
        <v>24</v>
      </c>
      <c r="Q302" t="s">
        <v>24</v>
      </c>
      <c r="R302" t="s">
        <v>50</v>
      </c>
      <c r="S302">
        <v>8</v>
      </c>
    </row>
    <row r="303" spans="1:19" x14ac:dyDescent="0.3">
      <c r="A303" s="1">
        <v>40415</v>
      </c>
      <c r="B303">
        <v>2010</v>
      </c>
      <c r="C303" t="s">
        <v>29</v>
      </c>
      <c r="D303" s="4">
        <v>100460</v>
      </c>
      <c r="E303" s="2">
        <v>190000</v>
      </c>
      <c r="F303" t="s">
        <v>19</v>
      </c>
      <c r="G303" t="s">
        <v>20</v>
      </c>
      <c r="H303">
        <v>3</v>
      </c>
      <c r="I303">
        <v>1</v>
      </c>
      <c r="J303">
        <v>1100</v>
      </c>
      <c r="K303" s="5">
        <v>1.025846E-2</v>
      </c>
      <c r="L303" t="s">
        <v>27</v>
      </c>
      <c r="M303" s="4">
        <v>89540</v>
      </c>
      <c r="N303" s="3">
        <v>172.72730000000001</v>
      </c>
      <c r="O303" t="s">
        <v>22</v>
      </c>
      <c r="P303" t="s">
        <v>23</v>
      </c>
      <c r="Q303" t="s">
        <v>24</v>
      </c>
      <c r="R303" t="s">
        <v>50</v>
      </c>
      <c r="S303">
        <v>8</v>
      </c>
    </row>
    <row r="304" spans="1:19" x14ac:dyDescent="0.3">
      <c r="A304" s="1">
        <v>40416</v>
      </c>
      <c r="B304">
        <v>2010</v>
      </c>
      <c r="C304" t="s">
        <v>52</v>
      </c>
      <c r="D304" s="4">
        <v>144200</v>
      </c>
      <c r="E304" s="2">
        <v>209000</v>
      </c>
      <c r="F304" t="s">
        <v>19</v>
      </c>
      <c r="G304" t="s">
        <v>20</v>
      </c>
      <c r="H304">
        <v>3</v>
      </c>
      <c r="I304">
        <v>3</v>
      </c>
      <c r="J304">
        <v>1111.6589814177564</v>
      </c>
      <c r="K304" s="5">
        <v>1.025846E-2</v>
      </c>
      <c r="L304" t="s">
        <v>38</v>
      </c>
      <c r="M304" s="4">
        <v>64800</v>
      </c>
      <c r="N304" s="3">
        <v>188.00729999999999</v>
      </c>
      <c r="O304" t="s">
        <v>22</v>
      </c>
      <c r="P304" t="s">
        <v>24</v>
      </c>
      <c r="Q304" t="s">
        <v>24</v>
      </c>
      <c r="R304" t="s">
        <v>50</v>
      </c>
      <c r="S304">
        <v>8</v>
      </c>
    </row>
    <row r="305" spans="1:19" x14ac:dyDescent="0.3">
      <c r="A305" s="1">
        <v>40417</v>
      </c>
      <c r="B305">
        <v>2010</v>
      </c>
      <c r="C305" t="s">
        <v>52</v>
      </c>
      <c r="D305" s="4">
        <v>153000</v>
      </c>
      <c r="E305" s="2">
        <v>225000</v>
      </c>
      <c r="F305" t="s">
        <v>19</v>
      </c>
      <c r="G305" t="s">
        <v>20</v>
      </c>
      <c r="H305">
        <v>3</v>
      </c>
      <c r="I305">
        <v>1</v>
      </c>
      <c r="J305">
        <v>964</v>
      </c>
      <c r="K305" s="5">
        <v>1.025846E-2</v>
      </c>
      <c r="L305" t="s">
        <v>38</v>
      </c>
      <c r="M305" s="4">
        <v>72000</v>
      </c>
      <c r="N305" s="3">
        <v>233.4025</v>
      </c>
      <c r="O305" t="s">
        <v>22</v>
      </c>
      <c r="P305" t="s">
        <v>24</v>
      </c>
      <c r="Q305" t="s">
        <v>24</v>
      </c>
      <c r="R305" t="s">
        <v>50</v>
      </c>
      <c r="S305">
        <v>8</v>
      </c>
    </row>
    <row r="306" spans="1:19" x14ac:dyDescent="0.3">
      <c r="A306" s="1">
        <v>40419</v>
      </c>
      <c r="B306">
        <v>2010</v>
      </c>
      <c r="C306" t="s">
        <v>29</v>
      </c>
      <c r="D306" s="4">
        <v>133340</v>
      </c>
      <c r="E306" s="2">
        <v>190500</v>
      </c>
      <c r="F306" t="s">
        <v>19</v>
      </c>
      <c r="G306" t="s">
        <v>20</v>
      </c>
      <c r="H306">
        <v>3</v>
      </c>
      <c r="I306">
        <v>3</v>
      </c>
      <c r="J306">
        <v>956</v>
      </c>
      <c r="K306" s="5">
        <v>1.025846E-2</v>
      </c>
      <c r="L306" t="s">
        <v>32</v>
      </c>
      <c r="M306" s="4">
        <v>57160</v>
      </c>
      <c r="N306" s="3">
        <v>199.26779999999999</v>
      </c>
      <c r="O306" t="s">
        <v>22</v>
      </c>
      <c r="P306" t="s">
        <v>23</v>
      </c>
      <c r="Q306" t="s">
        <v>24</v>
      </c>
      <c r="R306" t="s">
        <v>50</v>
      </c>
      <c r="S306">
        <v>8</v>
      </c>
    </row>
    <row r="307" spans="1:19" x14ac:dyDescent="0.3">
      <c r="A307" s="1">
        <v>40423</v>
      </c>
      <c r="B307">
        <v>2010</v>
      </c>
      <c r="C307" t="s">
        <v>52</v>
      </c>
      <c r="D307" s="4">
        <v>146300</v>
      </c>
      <c r="E307" s="2">
        <v>255000</v>
      </c>
      <c r="F307" t="s">
        <v>19</v>
      </c>
      <c r="G307" t="s">
        <v>20</v>
      </c>
      <c r="H307">
        <v>3</v>
      </c>
      <c r="I307">
        <v>1</v>
      </c>
      <c r="J307">
        <v>1027</v>
      </c>
      <c r="K307" s="5">
        <v>1.025846E-2</v>
      </c>
      <c r="L307" t="s">
        <v>32</v>
      </c>
      <c r="M307" s="4">
        <v>108700</v>
      </c>
      <c r="N307" s="3">
        <v>248.29599999999999</v>
      </c>
      <c r="O307" t="s">
        <v>22</v>
      </c>
      <c r="P307" t="s">
        <v>24</v>
      </c>
      <c r="Q307" t="s">
        <v>24</v>
      </c>
      <c r="R307" t="s">
        <v>51</v>
      </c>
      <c r="S307">
        <v>9</v>
      </c>
    </row>
    <row r="308" spans="1:19" x14ac:dyDescent="0.3">
      <c r="A308" s="1">
        <v>40424</v>
      </c>
      <c r="B308">
        <v>2010</v>
      </c>
      <c r="C308" t="s">
        <v>29</v>
      </c>
      <c r="D308" s="4">
        <v>144340</v>
      </c>
      <c r="E308" s="2">
        <v>57500</v>
      </c>
      <c r="F308" t="s">
        <v>19</v>
      </c>
      <c r="G308" t="s">
        <v>20</v>
      </c>
      <c r="H308">
        <v>3</v>
      </c>
      <c r="I308">
        <v>2</v>
      </c>
      <c r="J308">
        <v>965</v>
      </c>
      <c r="K308" s="5">
        <v>1.025846E-2</v>
      </c>
      <c r="L308" t="s">
        <v>21</v>
      </c>
      <c r="M308" s="4">
        <v>-86840</v>
      </c>
      <c r="N308" s="3">
        <v>59.585500000000003</v>
      </c>
      <c r="O308" t="s">
        <v>33</v>
      </c>
      <c r="P308" t="s">
        <v>23</v>
      </c>
      <c r="Q308" t="s">
        <v>24</v>
      </c>
      <c r="R308" t="s">
        <v>51</v>
      </c>
      <c r="S308">
        <v>9</v>
      </c>
    </row>
    <row r="309" spans="1:19" x14ac:dyDescent="0.3">
      <c r="A309" s="1">
        <v>40425</v>
      </c>
      <c r="B309">
        <v>2010</v>
      </c>
      <c r="C309" t="s">
        <v>39</v>
      </c>
      <c r="D309" s="4">
        <v>444584.20699999999</v>
      </c>
      <c r="E309" s="2">
        <v>500000</v>
      </c>
      <c r="F309" t="s">
        <v>19</v>
      </c>
      <c r="G309" t="s">
        <v>20</v>
      </c>
      <c r="H309">
        <v>3</v>
      </c>
      <c r="I309">
        <v>2</v>
      </c>
      <c r="J309">
        <v>1005</v>
      </c>
      <c r="K309" s="5">
        <v>1.025846E-2</v>
      </c>
      <c r="L309" t="s">
        <v>32</v>
      </c>
      <c r="M309" s="4">
        <v>55415.792999999998</v>
      </c>
      <c r="N309" s="3">
        <v>497.51240000000001</v>
      </c>
      <c r="O309" t="s">
        <v>22</v>
      </c>
      <c r="P309" t="s">
        <v>24</v>
      </c>
      <c r="Q309" t="s">
        <v>24</v>
      </c>
      <c r="R309" t="s">
        <v>51</v>
      </c>
      <c r="S309">
        <v>9</v>
      </c>
    </row>
    <row r="310" spans="1:19" x14ac:dyDescent="0.3">
      <c r="A310" s="1">
        <v>40426</v>
      </c>
      <c r="B310">
        <v>2010</v>
      </c>
      <c r="C310" t="s">
        <v>52</v>
      </c>
      <c r="D310" s="4">
        <v>226400</v>
      </c>
      <c r="E310" s="2">
        <v>312500</v>
      </c>
      <c r="F310" t="s">
        <v>19</v>
      </c>
      <c r="G310" t="s">
        <v>20</v>
      </c>
      <c r="H310">
        <v>3</v>
      </c>
      <c r="I310">
        <v>3</v>
      </c>
      <c r="J310">
        <v>1111.6589814177564</v>
      </c>
      <c r="K310" s="5">
        <v>1.025846E-2</v>
      </c>
      <c r="L310" t="s">
        <v>27</v>
      </c>
      <c r="M310" s="4">
        <v>86100</v>
      </c>
      <c r="N310" s="3">
        <v>281.1114</v>
      </c>
      <c r="O310" t="s">
        <v>22</v>
      </c>
      <c r="P310" t="s">
        <v>24</v>
      </c>
      <c r="Q310" t="s">
        <v>24</v>
      </c>
      <c r="R310" t="s">
        <v>51</v>
      </c>
      <c r="S310">
        <v>9</v>
      </c>
    </row>
    <row r="311" spans="1:19" x14ac:dyDescent="0.3">
      <c r="A311" s="1">
        <v>40430</v>
      </c>
      <c r="B311">
        <v>2010</v>
      </c>
      <c r="C311" t="s">
        <v>40</v>
      </c>
      <c r="D311" s="4">
        <v>845460</v>
      </c>
      <c r="E311" s="2">
        <v>845000</v>
      </c>
      <c r="F311" t="s">
        <v>19</v>
      </c>
      <c r="G311" t="s">
        <v>20</v>
      </c>
      <c r="H311">
        <v>3</v>
      </c>
      <c r="I311">
        <v>1</v>
      </c>
      <c r="J311">
        <v>1038</v>
      </c>
      <c r="K311" s="5">
        <v>1.025846E-2</v>
      </c>
      <c r="L311" t="s">
        <v>38</v>
      </c>
      <c r="M311" s="4">
        <v>-460</v>
      </c>
      <c r="N311" s="3">
        <v>814.06550000000004</v>
      </c>
      <c r="O311" t="s">
        <v>33</v>
      </c>
      <c r="P311" t="s">
        <v>28</v>
      </c>
      <c r="Q311" t="s">
        <v>24</v>
      </c>
      <c r="R311" t="s">
        <v>51</v>
      </c>
      <c r="S311">
        <v>9</v>
      </c>
    </row>
    <row r="312" spans="1:19" x14ac:dyDescent="0.3">
      <c r="A312" s="1">
        <v>40431</v>
      </c>
      <c r="B312">
        <v>2010</v>
      </c>
      <c r="C312" t="s">
        <v>52</v>
      </c>
      <c r="D312" s="4">
        <v>243400</v>
      </c>
      <c r="E312" s="2">
        <v>380000</v>
      </c>
      <c r="F312" t="s">
        <v>19</v>
      </c>
      <c r="G312" t="s">
        <v>20</v>
      </c>
      <c r="H312">
        <v>3</v>
      </c>
      <c r="I312">
        <v>1</v>
      </c>
      <c r="J312">
        <v>1056</v>
      </c>
      <c r="K312" s="5">
        <v>1.025846E-2</v>
      </c>
      <c r="L312" t="s">
        <v>27</v>
      </c>
      <c r="M312" s="4">
        <v>136600</v>
      </c>
      <c r="N312" s="3">
        <v>359.8485</v>
      </c>
      <c r="O312" t="s">
        <v>22</v>
      </c>
      <c r="P312" t="s">
        <v>24</v>
      </c>
      <c r="Q312" t="s">
        <v>24</v>
      </c>
      <c r="R312" t="s">
        <v>51</v>
      </c>
      <c r="S312">
        <v>9</v>
      </c>
    </row>
    <row r="313" spans="1:19" x14ac:dyDescent="0.3">
      <c r="A313" s="1">
        <v>40432</v>
      </c>
      <c r="B313">
        <v>2010</v>
      </c>
      <c r="C313" t="s">
        <v>29</v>
      </c>
      <c r="D313" s="4">
        <v>444584.20699999999</v>
      </c>
      <c r="E313" s="2">
        <v>55500</v>
      </c>
      <c r="F313" t="s">
        <v>19</v>
      </c>
      <c r="G313" t="s">
        <v>20</v>
      </c>
      <c r="H313">
        <v>3</v>
      </c>
      <c r="I313">
        <v>1</v>
      </c>
      <c r="J313">
        <v>1067</v>
      </c>
      <c r="K313" s="5">
        <v>1.025846E-2</v>
      </c>
      <c r="L313" t="s">
        <v>21</v>
      </c>
      <c r="M313" s="4">
        <v>-389084.20699999999</v>
      </c>
      <c r="N313" s="3">
        <v>52.015000000000001</v>
      </c>
      <c r="O313" t="s">
        <v>33</v>
      </c>
      <c r="P313" t="s">
        <v>23</v>
      </c>
      <c r="Q313" t="s">
        <v>24</v>
      </c>
      <c r="R313" t="s">
        <v>51</v>
      </c>
      <c r="S313">
        <v>9</v>
      </c>
    </row>
    <row r="314" spans="1:19" x14ac:dyDescent="0.3">
      <c r="A314" s="1">
        <v>40433</v>
      </c>
      <c r="B314">
        <v>2010</v>
      </c>
      <c r="C314" t="s">
        <v>29</v>
      </c>
      <c r="D314" s="4">
        <v>113330</v>
      </c>
      <c r="E314" s="2">
        <v>170000</v>
      </c>
      <c r="F314" t="s">
        <v>36</v>
      </c>
      <c r="G314" t="s">
        <v>37</v>
      </c>
      <c r="H314">
        <v>6</v>
      </c>
      <c r="I314">
        <v>4</v>
      </c>
      <c r="J314">
        <v>2047</v>
      </c>
      <c r="K314" s="5">
        <v>1.025846E-2</v>
      </c>
      <c r="L314" t="s">
        <v>27</v>
      </c>
      <c r="M314" s="4">
        <v>56670</v>
      </c>
      <c r="N314" s="3">
        <v>83.048400000000001</v>
      </c>
      <c r="O314" t="s">
        <v>22</v>
      </c>
      <c r="P314" t="s">
        <v>23</v>
      </c>
      <c r="Q314" t="s">
        <v>34</v>
      </c>
      <c r="R314" t="s">
        <v>51</v>
      </c>
      <c r="S314">
        <v>9</v>
      </c>
    </row>
    <row r="315" spans="1:19" x14ac:dyDescent="0.3">
      <c r="A315" s="1">
        <v>40436</v>
      </c>
      <c r="B315">
        <v>2010</v>
      </c>
      <c r="C315" t="s">
        <v>39</v>
      </c>
      <c r="D315" s="4">
        <v>589400</v>
      </c>
      <c r="E315" s="2">
        <v>750000</v>
      </c>
      <c r="F315" t="s">
        <v>19</v>
      </c>
      <c r="G315" t="s">
        <v>20</v>
      </c>
      <c r="H315">
        <v>3</v>
      </c>
      <c r="I315">
        <v>2</v>
      </c>
      <c r="J315">
        <v>1006</v>
      </c>
      <c r="K315" s="5">
        <v>1.025846E-2</v>
      </c>
      <c r="L315" t="s">
        <v>38</v>
      </c>
      <c r="M315" s="4">
        <v>160600</v>
      </c>
      <c r="N315" s="3">
        <v>745.52679999999998</v>
      </c>
      <c r="O315" t="s">
        <v>22</v>
      </c>
      <c r="P315" t="s">
        <v>28</v>
      </c>
      <c r="Q315" t="s">
        <v>24</v>
      </c>
      <c r="R315" t="s">
        <v>51</v>
      </c>
      <c r="S315">
        <v>9</v>
      </c>
    </row>
    <row r="316" spans="1:19" x14ac:dyDescent="0.3">
      <c r="A316" s="1">
        <v>40437</v>
      </c>
      <c r="B316">
        <v>2010</v>
      </c>
      <c r="C316" t="s">
        <v>29</v>
      </c>
      <c r="D316" s="4">
        <v>162470</v>
      </c>
      <c r="E316" s="2">
        <v>172500</v>
      </c>
      <c r="F316" t="s">
        <v>19</v>
      </c>
      <c r="G316" t="s">
        <v>20</v>
      </c>
      <c r="H316">
        <v>3</v>
      </c>
      <c r="I316">
        <v>1</v>
      </c>
      <c r="J316">
        <v>1111.6589814177564</v>
      </c>
      <c r="K316" s="5">
        <v>1.025846E-2</v>
      </c>
      <c r="L316" t="s">
        <v>38</v>
      </c>
      <c r="M316" s="4">
        <v>10030</v>
      </c>
      <c r="N316" s="3">
        <v>155.17349999999999</v>
      </c>
      <c r="O316" t="s">
        <v>22</v>
      </c>
      <c r="P316" t="s">
        <v>23</v>
      </c>
      <c r="Q316" t="s">
        <v>24</v>
      </c>
      <c r="R316" t="s">
        <v>51</v>
      </c>
      <c r="S316">
        <v>9</v>
      </c>
    </row>
    <row r="317" spans="1:19" x14ac:dyDescent="0.3">
      <c r="A317" s="1">
        <v>40438</v>
      </c>
      <c r="B317">
        <v>2010</v>
      </c>
      <c r="C317" t="s">
        <v>52</v>
      </c>
      <c r="D317" s="4">
        <v>157600</v>
      </c>
      <c r="E317" s="2">
        <v>243800</v>
      </c>
      <c r="F317" t="s">
        <v>19</v>
      </c>
      <c r="G317" t="s">
        <v>20</v>
      </c>
      <c r="H317">
        <v>3</v>
      </c>
      <c r="I317">
        <v>1</v>
      </c>
      <c r="J317">
        <v>947</v>
      </c>
      <c r="K317" s="5">
        <v>1.025846E-2</v>
      </c>
      <c r="L317" t="s">
        <v>21</v>
      </c>
      <c r="M317" s="4">
        <v>86200</v>
      </c>
      <c r="N317" s="3">
        <v>257.44459999999998</v>
      </c>
      <c r="O317" t="s">
        <v>22</v>
      </c>
      <c r="P317" t="s">
        <v>24</v>
      </c>
      <c r="Q317" t="s">
        <v>24</v>
      </c>
      <c r="R317" t="s">
        <v>51</v>
      </c>
      <c r="S317">
        <v>9</v>
      </c>
    </row>
    <row r="318" spans="1:19" x14ac:dyDescent="0.3">
      <c r="A318" s="1">
        <v>40440</v>
      </c>
      <c r="B318">
        <v>2010</v>
      </c>
      <c r="C318" t="s">
        <v>35</v>
      </c>
      <c r="D318" s="4">
        <v>1551760</v>
      </c>
      <c r="E318" s="2">
        <v>1900000</v>
      </c>
      <c r="F318" t="s">
        <v>19</v>
      </c>
      <c r="G318" t="s">
        <v>20</v>
      </c>
      <c r="H318">
        <v>3</v>
      </c>
      <c r="I318">
        <v>3</v>
      </c>
      <c r="J318">
        <v>930</v>
      </c>
      <c r="K318" s="5">
        <v>1.025846E-2</v>
      </c>
      <c r="L318" t="s">
        <v>32</v>
      </c>
      <c r="M318" s="4">
        <v>348240</v>
      </c>
      <c r="N318" s="3">
        <v>2043.0108</v>
      </c>
      <c r="O318" t="s">
        <v>22</v>
      </c>
      <c r="P318" t="s">
        <v>28</v>
      </c>
      <c r="Q318" t="s">
        <v>24</v>
      </c>
      <c r="R318" t="s">
        <v>51</v>
      </c>
      <c r="S318">
        <v>9</v>
      </c>
    </row>
    <row r="319" spans="1:19" x14ac:dyDescent="0.3">
      <c r="A319" s="1">
        <v>40443</v>
      </c>
      <c r="B319">
        <v>2010</v>
      </c>
      <c r="C319" t="s">
        <v>39</v>
      </c>
      <c r="D319" s="4">
        <v>350770</v>
      </c>
      <c r="E319" s="2">
        <v>360000</v>
      </c>
      <c r="F319" t="s">
        <v>19</v>
      </c>
      <c r="G319" t="s">
        <v>20</v>
      </c>
      <c r="H319">
        <v>3</v>
      </c>
      <c r="I319">
        <v>2</v>
      </c>
      <c r="J319">
        <v>907</v>
      </c>
      <c r="K319" s="5">
        <v>1.025846E-2</v>
      </c>
      <c r="L319" t="s">
        <v>38</v>
      </c>
      <c r="M319" s="4">
        <v>9230</v>
      </c>
      <c r="N319" s="3">
        <v>396.91289999999998</v>
      </c>
      <c r="O319" t="s">
        <v>22</v>
      </c>
      <c r="P319" t="s">
        <v>24</v>
      </c>
      <c r="Q319" t="s">
        <v>24</v>
      </c>
      <c r="R319" t="s">
        <v>51</v>
      </c>
      <c r="S319">
        <v>9</v>
      </c>
    </row>
    <row r="320" spans="1:19" x14ac:dyDescent="0.3">
      <c r="A320" s="1">
        <v>40444</v>
      </c>
      <c r="B320">
        <v>2010</v>
      </c>
      <c r="C320" t="s">
        <v>52</v>
      </c>
      <c r="D320" s="4">
        <v>263900</v>
      </c>
      <c r="E320" s="2">
        <v>200450</v>
      </c>
      <c r="F320" t="s">
        <v>19</v>
      </c>
      <c r="G320" t="s">
        <v>20</v>
      </c>
      <c r="H320">
        <v>3</v>
      </c>
      <c r="I320">
        <v>1</v>
      </c>
      <c r="J320">
        <v>981</v>
      </c>
      <c r="K320" s="5">
        <v>1.025846E-2</v>
      </c>
      <c r="L320" t="s">
        <v>32</v>
      </c>
      <c r="M320" s="4">
        <v>-63450</v>
      </c>
      <c r="N320" s="3">
        <v>204.3323</v>
      </c>
      <c r="O320" t="s">
        <v>33</v>
      </c>
      <c r="P320" t="s">
        <v>24</v>
      </c>
      <c r="Q320" t="s">
        <v>24</v>
      </c>
      <c r="R320" t="s">
        <v>51</v>
      </c>
      <c r="S320">
        <v>9</v>
      </c>
    </row>
    <row r="321" spans="1:19" x14ac:dyDescent="0.3">
      <c r="A321" s="1">
        <v>40445</v>
      </c>
      <c r="B321">
        <v>2010</v>
      </c>
      <c r="C321" t="s">
        <v>29</v>
      </c>
      <c r="D321" s="4">
        <v>444584.20699999999</v>
      </c>
      <c r="E321" s="2">
        <v>165000</v>
      </c>
      <c r="F321" t="s">
        <v>19</v>
      </c>
      <c r="G321" t="s">
        <v>20</v>
      </c>
      <c r="H321">
        <v>3</v>
      </c>
      <c r="I321">
        <v>2</v>
      </c>
      <c r="J321">
        <v>941</v>
      </c>
      <c r="K321" s="5">
        <v>1.025846E-2</v>
      </c>
      <c r="L321" t="s">
        <v>38</v>
      </c>
      <c r="M321" s="4">
        <v>-279584.20699999999</v>
      </c>
      <c r="N321" s="3">
        <v>175.34540000000001</v>
      </c>
      <c r="O321" t="s">
        <v>33</v>
      </c>
      <c r="P321" t="s">
        <v>23</v>
      </c>
      <c r="Q321" t="s">
        <v>24</v>
      </c>
      <c r="R321" t="s">
        <v>51</v>
      </c>
      <c r="S321">
        <v>9</v>
      </c>
    </row>
    <row r="322" spans="1:19" x14ac:dyDescent="0.3">
      <c r="A322" s="1">
        <v>40447</v>
      </c>
      <c r="B322">
        <v>2010</v>
      </c>
      <c r="C322" t="s">
        <v>29</v>
      </c>
      <c r="D322" s="4">
        <v>70850</v>
      </c>
      <c r="E322" s="2">
        <v>60000</v>
      </c>
      <c r="F322" t="s">
        <v>19</v>
      </c>
      <c r="G322" t="s">
        <v>20</v>
      </c>
      <c r="H322">
        <v>3</v>
      </c>
      <c r="I322">
        <v>2</v>
      </c>
      <c r="J322">
        <v>902</v>
      </c>
      <c r="K322" s="5">
        <v>1.025846E-2</v>
      </c>
      <c r="L322" t="s">
        <v>21</v>
      </c>
      <c r="M322" s="4">
        <v>-10850</v>
      </c>
      <c r="N322" s="3">
        <v>66.518799999999999</v>
      </c>
      <c r="O322" t="s">
        <v>33</v>
      </c>
      <c r="P322" t="s">
        <v>23</v>
      </c>
      <c r="Q322" t="s">
        <v>24</v>
      </c>
      <c r="R322" t="s">
        <v>51</v>
      </c>
      <c r="S322">
        <v>9</v>
      </c>
    </row>
    <row r="323" spans="1:19" x14ac:dyDescent="0.3">
      <c r="A323" s="1">
        <v>40450</v>
      </c>
      <c r="B323">
        <v>2010</v>
      </c>
      <c r="C323" t="s">
        <v>26</v>
      </c>
      <c r="D323" s="4">
        <v>497910</v>
      </c>
      <c r="E323" s="2">
        <v>731000</v>
      </c>
      <c r="F323" t="s">
        <v>19</v>
      </c>
      <c r="G323" t="s">
        <v>20</v>
      </c>
      <c r="H323">
        <v>3</v>
      </c>
      <c r="I323">
        <v>2</v>
      </c>
      <c r="J323">
        <v>949</v>
      </c>
      <c r="K323" s="5">
        <v>1.025846E-2</v>
      </c>
      <c r="L323" t="s">
        <v>27</v>
      </c>
      <c r="M323" s="4">
        <v>233090</v>
      </c>
      <c r="N323" s="3">
        <v>770.28449999999998</v>
      </c>
      <c r="O323" t="s">
        <v>22</v>
      </c>
      <c r="P323" t="s">
        <v>28</v>
      </c>
      <c r="Q323" t="s">
        <v>24</v>
      </c>
      <c r="R323" t="s">
        <v>51</v>
      </c>
      <c r="S323">
        <v>9</v>
      </c>
    </row>
    <row r="324" spans="1:19" x14ac:dyDescent="0.3">
      <c r="A324" s="1">
        <v>40451</v>
      </c>
      <c r="B324">
        <v>2010</v>
      </c>
      <c r="C324" t="s">
        <v>40</v>
      </c>
      <c r="D324" s="4">
        <v>444584.20699999999</v>
      </c>
      <c r="E324" s="2">
        <v>1861128</v>
      </c>
      <c r="F324" t="s">
        <v>19</v>
      </c>
      <c r="G324" t="s">
        <v>20</v>
      </c>
      <c r="H324">
        <v>3</v>
      </c>
      <c r="I324">
        <v>2</v>
      </c>
      <c r="J324">
        <v>1097</v>
      </c>
      <c r="K324" s="5">
        <v>1.025846E-2</v>
      </c>
      <c r="L324" t="s">
        <v>38</v>
      </c>
      <c r="M324" s="4">
        <v>1416543.7930000001</v>
      </c>
      <c r="N324" s="3">
        <v>1696.5615</v>
      </c>
      <c r="O324" t="s">
        <v>22</v>
      </c>
      <c r="P324" t="s">
        <v>28</v>
      </c>
      <c r="Q324" t="s">
        <v>24</v>
      </c>
      <c r="R324" t="s">
        <v>51</v>
      </c>
      <c r="S324">
        <v>9</v>
      </c>
    </row>
    <row r="325" spans="1:19" x14ac:dyDescent="0.3">
      <c r="A325" s="1">
        <v>40452</v>
      </c>
      <c r="B325">
        <v>2010</v>
      </c>
      <c r="C325" t="s">
        <v>39</v>
      </c>
      <c r="D325" s="4">
        <v>931700</v>
      </c>
      <c r="E325" s="2">
        <v>832000</v>
      </c>
      <c r="F325" t="s">
        <v>19</v>
      </c>
      <c r="G325" t="s">
        <v>20</v>
      </c>
      <c r="H325">
        <v>3</v>
      </c>
      <c r="I325">
        <v>1</v>
      </c>
      <c r="J325">
        <v>977</v>
      </c>
      <c r="K325" s="5">
        <v>1.025846E-2</v>
      </c>
      <c r="L325" t="s">
        <v>27</v>
      </c>
      <c r="M325" s="4">
        <v>-99700</v>
      </c>
      <c r="N325" s="3">
        <v>851.5865</v>
      </c>
      <c r="O325" t="s">
        <v>33</v>
      </c>
      <c r="P325" t="s">
        <v>28</v>
      </c>
      <c r="Q325" t="s">
        <v>24</v>
      </c>
      <c r="R325" t="s">
        <v>53</v>
      </c>
      <c r="S325">
        <v>10</v>
      </c>
    </row>
    <row r="326" spans="1:19" x14ac:dyDescent="0.3">
      <c r="A326" s="1">
        <v>40454</v>
      </c>
      <c r="B326">
        <v>2010</v>
      </c>
      <c r="C326" t="s">
        <v>35</v>
      </c>
      <c r="D326" s="4">
        <v>1895460</v>
      </c>
      <c r="E326" s="2">
        <v>3900000</v>
      </c>
      <c r="F326" t="s">
        <v>19</v>
      </c>
      <c r="G326" t="s">
        <v>20</v>
      </c>
      <c r="H326">
        <v>3</v>
      </c>
      <c r="I326">
        <v>2</v>
      </c>
      <c r="J326">
        <v>1038</v>
      </c>
      <c r="K326" s="5">
        <v>1.025846E-2</v>
      </c>
      <c r="L326" t="s">
        <v>27</v>
      </c>
      <c r="M326" s="4">
        <v>2004540</v>
      </c>
      <c r="N326" s="3">
        <v>3757.2253999999998</v>
      </c>
      <c r="O326" t="s">
        <v>22</v>
      </c>
      <c r="P326" t="s">
        <v>28</v>
      </c>
      <c r="Q326" t="s">
        <v>24</v>
      </c>
      <c r="R326" t="s">
        <v>53</v>
      </c>
      <c r="S326">
        <v>10</v>
      </c>
    </row>
    <row r="327" spans="1:19" x14ac:dyDescent="0.3">
      <c r="A327" s="1">
        <v>40458</v>
      </c>
      <c r="B327">
        <v>2010</v>
      </c>
      <c r="C327" t="s">
        <v>39</v>
      </c>
      <c r="D327" s="4">
        <v>272720</v>
      </c>
      <c r="E327" s="2">
        <v>385000</v>
      </c>
      <c r="F327" t="s">
        <v>19</v>
      </c>
      <c r="G327" t="s">
        <v>20</v>
      </c>
      <c r="H327">
        <v>3</v>
      </c>
      <c r="I327">
        <v>3</v>
      </c>
      <c r="J327">
        <v>1006</v>
      </c>
      <c r="K327" s="5">
        <v>1.025846E-2</v>
      </c>
      <c r="L327" t="s">
        <v>21</v>
      </c>
      <c r="M327" s="4">
        <v>112280</v>
      </c>
      <c r="N327" s="3">
        <v>382.7038</v>
      </c>
      <c r="O327" t="s">
        <v>22</v>
      </c>
      <c r="P327" t="s">
        <v>24</v>
      </c>
      <c r="Q327" t="s">
        <v>24</v>
      </c>
      <c r="R327" t="s">
        <v>53</v>
      </c>
      <c r="S327">
        <v>10</v>
      </c>
    </row>
    <row r="328" spans="1:19" x14ac:dyDescent="0.3">
      <c r="A328" s="1">
        <v>40459</v>
      </c>
      <c r="B328">
        <v>2010</v>
      </c>
      <c r="C328" t="s">
        <v>39</v>
      </c>
      <c r="D328" s="4">
        <v>590660</v>
      </c>
      <c r="E328" s="2">
        <v>750000</v>
      </c>
      <c r="F328" t="s">
        <v>19</v>
      </c>
      <c r="G328" t="s">
        <v>20</v>
      </c>
      <c r="H328">
        <v>3</v>
      </c>
      <c r="I328">
        <v>3</v>
      </c>
      <c r="J328">
        <v>1059</v>
      </c>
      <c r="K328" s="5">
        <v>1.025846E-2</v>
      </c>
      <c r="L328" t="s">
        <v>32</v>
      </c>
      <c r="M328" s="4">
        <v>159340</v>
      </c>
      <c r="N328" s="3">
        <v>708.21529999999996</v>
      </c>
      <c r="O328" t="s">
        <v>22</v>
      </c>
      <c r="P328" t="s">
        <v>28</v>
      </c>
      <c r="Q328" t="s">
        <v>24</v>
      </c>
      <c r="R328" t="s">
        <v>53</v>
      </c>
      <c r="S328">
        <v>10</v>
      </c>
    </row>
    <row r="329" spans="1:19" x14ac:dyDescent="0.3">
      <c r="A329" s="1">
        <v>40460</v>
      </c>
      <c r="B329">
        <v>2010</v>
      </c>
      <c r="C329" t="s">
        <v>18</v>
      </c>
      <c r="D329" s="4">
        <v>94130</v>
      </c>
      <c r="E329" s="2">
        <v>40000</v>
      </c>
      <c r="F329" t="s">
        <v>19</v>
      </c>
      <c r="G329" t="s">
        <v>20</v>
      </c>
      <c r="H329">
        <v>3</v>
      </c>
      <c r="I329">
        <v>2</v>
      </c>
      <c r="J329">
        <v>1111.6589814177564</v>
      </c>
      <c r="K329" s="5">
        <v>1.025846E-2</v>
      </c>
      <c r="L329" t="s">
        <v>27</v>
      </c>
      <c r="M329" s="4">
        <v>-54130</v>
      </c>
      <c r="N329" s="3">
        <v>35.982300000000002</v>
      </c>
      <c r="O329" t="s">
        <v>33</v>
      </c>
      <c r="P329" t="s">
        <v>23</v>
      </c>
      <c r="Q329" t="s">
        <v>24</v>
      </c>
      <c r="R329" t="s">
        <v>53</v>
      </c>
      <c r="S329">
        <v>10</v>
      </c>
    </row>
    <row r="330" spans="1:19" x14ac:dyDescent="0.3">
      <c r="A330" s="1">
        <v>40465</v>
      </c>
      <c r="B330">
        <v>2010</v>
      </c>
      <c r="C330" t="s">
        <v>18</v>
      </c>
      <c r="D330" s="4">
        <v>188990</v>
      </c>
      <c r="E330" s="2">
        <v>200000</v>
      </c>
      <c r="F330" t="s">
        <v>19</v>
      </c>
      <c r="G330" t="s">
        <v>20</v>
      </c>
      <c r="H330">
        <v>3</v>
      </c>
      <c r="I330">
        <v>2</v>
      </c>
      <c r="J330">
        <v>1111.6589814177564</v>
      </c>
      <c r="K330" s="5">
        <v>1.025846E-2</v>
      </c>
      <c r="L330" t="s">
        <v>21</v>
      </c>
      <c r="M330" s="4">
        <v>11010</v>
      </c>
      <c r="N330" s="3">
        <v>179.91130000000001</v>
      </c>
      <c r="O330" t="s">
        <v>22</v>
      </c>
      <c r="P330" t="s">
        <v>24</v>
      </c>
      <c r="Q330" t="s">
        <v>24</v>
      </c>
      <c r="R330" t="s">
        <v>53</v>
      </c>
      <c r="S330">
        <v>10</v>
      </c>
    </row>
    <row r="331" spans="1:19" x14ac:dyDescent="0.3">
      <c r="A331" s="1">
        <v>40466</v>
      </c>
      <c r="B331">
        <v>2010</v>
      </c>
      <c r="C331" t="s">
        <v>35</v>
      </c>
      <c r="D331" s="4">
        <v>444584.20699999999</v>
      </c>
      <c r="E331" s="2">
        <v>1885000</v>
      </c>
      <c r="F331" t="s">
        <v>19</v>
      </c>
      <c r="G331" t="s">
        <v>20</v>
      </c>
      <c r="H331">
        <v>3</v>
      </c>
      <c r="I331">
        <v>1</v>
      </c>
      <c r="J331">
        <v>1086</v>
      </c>
      <c r="K331" s="5">
        <v>1.025846E-2</v>
      </c>
      <c r="L331" t="s">
        <v>38</v>
      </c>
      <c r="M331" s="4">
        <v>1440415.7930000001</v>
      </c>
      <c r="N331" s="3">
        <v>1735.7274</v>
      </c>
      <c r="O331" t="s">
        <v>22</v>
      </c>
      <c r="P331" t="s">
        <v>28</v>
      </c>
      <c r="Q331" t="s">
        <v>24</v>
      </c>
      <c r="R331" t="s">
        <v>53</v>
      </c>
      <c r="S331">
        <v>10</v>
      </c>
    </row>
    <row r="332" spans="1:19" x14ac:dyDescent="0.3">
      <c r="A332" s="1">
        <v>40468</v>
      </c>
      <c r="B332">
        <v>2010</v>
      </c>
      <c r="C332" t="s">
        <v>39</v>
      </c>
      <c r="D332" s="4">
        <v>420770</v>
      </c>
      <c r="E332" s="2">
        <v>475000</v>
      </c>
      <c r="F332" t="s">
        <v>19</v>
      </c>
      <c r="G332" t="s">
        <v>20</v>
      </c>
      <c r="H332">
        <v>3</v>
      </c>
      <c r="I332">
        <v>3</v>
      </c>
      <c r="J332">
        <v>972</v>
      </c>
      <c r="K332" s="5">
        <v>1.025846E-2</v>
      </c>
      <c r="L332" t="s">
        <v>32</v>
      </c>
      <c r="M332" s="4">
        <v>54230</v>
      </c>
      <c r="N332" s="3">
        <v>488.68310000000002</v>
      </c>
      <c r="O332" t="s">
        <v>22</v>
      </c>
      <c r="P332" t="s">
        <v>24</v>
      </c>
      <c r="Q332" t="s">
        <v>24</v>
      </c>
      <c r="R332" t="s">
        <v>53</v>
      </c>
      <c r="S332">
        <v>10</v>
      </c>
    </row>
    <row r="333" spans="1:19" x14ac:dyDescent="0.3">
      <c r="A333" s="1">
        <v>40473</v>
      </c>
      <c r="B333">
        <v>2010</v>
      </c>
      <c r="C333" t="s">
        <v>52</v>
      </c>
      <c r="D333" s="4">
        <v>286000</v>
      </c>
      <c r="E333" s="2">
        <v>687530</v>
      </c>
      <c r="F333" t="s">
        <v>19</v>
      </c>
      <c r="G333" t="s">
        <v>20</v>
      </c>
      <c r="H333">
        <v>3</v>
      </c>
      <c r="I333">
        <v>1</v>
      </c>
      <c r="J333">
        <v>916</v>
      </c>
      <c r="K333" s="5">
        <v>1.025846E-2</v>
      </c>
      <c r="L333" t="s">
        <v>21</v>
      </c>
      <c r="M333" s="4">
        <v>401530</v>
      </c>
      <c r="N333" s="3">
        <v>750.57860000000005</v>
      </c>
      <c r="O333" t="s">
        <v>22</v>
      </c>
      <c r="P333" t="s">
        <v>28</v>
      </c>
      <c r="Q333" t="s">
        <v>24</v>
      </c>
      <c r="R333" t="s">
        <v>53</v>
      </c>
      <c r="S333">
        <v>10</v>
      </c>
    </row>
    <row r="334" spans="1:19" x14ac:dyDescent="0.3">
      <c r="A334" s="1">
        <v>40474</v>
      </c>
      <c r="B334">
        <v>2010</v>
      </c>
      <c r="C334" t="s">
        <v>52</v>
      </c>
      <c r="D334" s="4">
        <v>183700</v>
      </c>
      <c r="E334" s="2">
        <v>309000</v>
      </c>
      <c r="F334" t="s">
        <v>19</v>
      </c>
      <c r="G334" t="s">
        <v>20</v>
      </c>
      <c r="H334">
        <v>3</v>
      </c>
      <c r="I334">
        <v>2</v>
      </c>
      <c r="J334">
        <v>1031</v>
      </c>
      <c r="K334" s="5">
        <v>1.025846E-2</v>
      </c>
      <c r="L334" t="s">
        <v>21</v>
      </c>
      <c r="M334" s="4">
        <v>125300</v>
      </c>
      <c r="N334" s="3">
        <v>299.709</v>
      </c>
      <c r="O334" t="s">
        <v>22</v>
      </c>
      <c r="P334" t="s">
        <v>24</v>
      </c>
      <c r="Q334" t="s">
        <v>24</v>
      </c>
      <c r="R334" t="s">
        <v>53</v>
      </c>
      <c r="S334">
        <v>10</v>
      </c>
    </row>
    <row r="335" spans="1:19" x14ac:dyDescent="0.3">
      <c r="A335" s="1">
        <v>40478</v>
      </c>
      <c r="B335">
        <v>2010</v>
      </c>
      <c r="C335" t="s">
        <v>56</v>
      </c>
      <c r="D335" s="4">
        <v>440070</v>
      </c>
      <c r="E335" s="2">
        <v>640000</v>
      </c>
      <c r="F335" t="s">
        <v>19</v>
      </c>
      <c r="G335" t="s">
        <v>20</v>
      </c>
      <c r="H335">
        <v>3</v>
      </c>
      <c r="I335">
        <v>3</v>
      </c>
      <c r="J335">
        <v>1099</v>
      </c>
      <c r="K335" s="5">
        <v>1.025846E-2</v>
      </c>
      <c r="L335" t="s">
        <v>21</v>
      </c>
      <c r="M335" s="4">
        <v>199930</v>
      </c>
      <c r="N335" s="3">
        <v>582.34760000000006</v>
      </c>
      <c r="O335" t="s">
        <v>22</v>
      </c>
      <c r="P335" t="s">
        <v>28</v>
      </c>
      <c r="Q335" t="s">
        <v>24</v>
      </c>
      <c r="R335" t="s">
        <v>53</v>
      </c>
      <c r="S335">
        <v>10</v>
      </c>
    </row>
    <row r="336" spans="1:19" x14ac:dyDescent="0.3">
      <c r="A336" s="1">
        <v>40479</v>
      </c>
      <c r="B336">
        <v>2010</v>
      </c>
      <c r="C336" t="s">
        <v>40</v>
      </c>
      <c r="D336" s="4">
        <v>338080</v>
      </c>
      <c r="E336" s="2">
        <v>510000</v>
      </c>
      <c r="F336" t="s">
        <v>30</v>
      </c>
      <c r="G336" t="s">
        <v>31</v>
      </c>
      <c r="H336">
        <v>4</v>
      </c>
      <c r="I336">
        <v>4</v>
      </c>
      <c r="J336">
        <v>1475</v>
      </c>
      <c r="K336" s="5">
        <v>1.025846E-2</v>
      </c>
      <c r="L336" t="s">
        <v>32</v>
      </c>
      <c r="M336" s="4">
        <v>171920</v>
      </c>
      <c r="N336" s="3">
        <v>345.7627</v>
      </c>
      <c r="O336" t="s">
        <v>22</v>
      </c>
      <c r="P336" t="s">
        <v>24</v>
      </c>
      <c r="Q336" t="s">
        <v>34</v>
      </c>
      <c r="R336" t="s">
        <v>53</v>
      </c>
      <c r="S336">
        <v>10</v>
      </c>
    </row>
    <row r="337" spans="1:19" x14ac:dyDescent="0.3">
      <c r="A337" s="1">
        <v>40480</v>
      </c>
      <c r="B337">
        <v>2010</v>
      </c>
      <c r="C337" t="s">
        <v>35</v>
      </c>
      <c r="D337" s="4">
        <v>819910</v>
      </c>
      <c r="E337" s="2">
        <v>336000</v>
      </c>
      <c r="F337" t="s">
        <v>19</v>
      </c>
      <c r="G337" t="s">
        <v>20</v>
      </c>
      <c r="H337">
        <v>3</v>
      </c>
      <c r="I337">
        <v>1</v>
      </c>
      <c r="J337">
        <v>1038</v>
      </c>
      <c r="K337" s="5">
        <v>1.025846E-2</v>
      </c>
      <c r="L337" t="s">
        <v>32</v>
      </c>
      <c r="M337" s="4">
        <v>-483910</v>
      </c>
      <c r="N337" s="3">
        <v>323.69940000000003</v>
      </c>
      <c r="O337" t="s">
        <v>33</v>
      </c>
      <c r="P337" t="s">
        <v>24</v>
      </c>
      <c r="Q337" t="s">
        <v>24</v>
      </c>
      <c r="R337" t="s">
        <v>53</v>
      </c>
      <c r="S337">
        <v>10</v>
      </c>
    </row>
    <row r="338" spans="1:19" x14ac:dyDescent="0.3">
      <c r="A338" s="1">
        <v>40485</v>
      </c>
      <c r="B338">
        <v>2010</v>
      </c>
      <c r="C338" t="s">
        <v>56</v>
      </c>
      <c r="D338" s="4">
        <v>444584.20699999999</v>
      </c>
      <c r="E338" s="2">
        <v>798000</v>
      </c>
      <c r="F338" t="s">
        <v>19</v>
      </c>
      <c r="G338" t="s">
        <v>20</v>
      </c>
      <c r="H338">
        <v>3</v>
      </c>
      <c r="I338">
        <v>2</v>
      </c>
      <c r="J338">
        <v>1028</v>
      </c>
      <c r="K338" s="5">
        <v>1.025846E-2</v>
      </c>
      <c r="L338" t="s">
        <v>27</v>
      </c>
      <c r="M338" s="4">
        <v>353415.79300000001</v>
      </c>
      <c r="N338" s="3">
        <v>776.26459999999997</v>
      </c>
      <c r="O338" t="s">
        <v>22</v>
      </c>
      <c r="P338" t="s">
        <v>28</v>
      </c>
      <c r="Q338" t="s">
        <v>24</v>
      </c>
      <c r="R338" t="s">
        <v>54</v>
      </c>
      <c r="S338">
        <v>11</v>
      </c>
    </row>
    <row r="339" spans="1:19" x14ac:dyDescent="0.3">
      <c r="A339" s="1">
        <v>40486</v>
      </c>
      <c r="B339">
        <v>2010</v>
      </c>
      <c r="C339" t="s">
        <v>40</v>
      </c>
      <c r="D339" s="4">
        <v>160300</v>
      </c>
      <c r="E339" s="2">
        <v>225000</v>
      </c>
      <c r="F339" t="s">
        <v>19</v>
      </c>
      <c r="G339" t="s">
        <v>20</v>
      </c>
      <c r="H339">
        <v>3</v>
      </c>
      <c r="I339">
        <v>3</v>
      </c>
      <c r="J339">
        <v>1055</v>
      </c>
      <c r="K339" s="5">
        <v>1.025846E-2</v>
      </c>
      <c r="L339" t="s">
        <v>21</v>
      </c>
      <c r="M339" s="4">
        <v>64700</v>
      </c>
      <c r="N339" s="3">
        <v>213.27010000000001</v>
      </c>
      <c r="O339" t="s">
        <v>22</v>
      </c>
      <c r="P339" t="s">
        <v>24</v>
      </c>
      <c r="Q339" t="s">
        <v>24</v>
      </c>
      <c r="R339" t="s">
        <v>54</v>
      </c>
      <c r="S339">
        <v>11</v>
      </c>
    </row>
    <row r="340" spans="1:19" x14ac:dyDescent="0.3">
      <c r="A340" s="1">
        <v>40487</v>
      </c>
      <c r="B340">
        <v>2010</v>
      </c>
      <c r="C340" t="s">
        <v>39</v>
      </c>
      <c r="D340" s="4">
        <v>369320</v>
      </c>
      <c r="E340" s="2">
        <v>558000</v>
      </c>
      <c r="F340" t="s">
        <v>19</v>
      </c>
      <c r="G340" t="s">
        <v>20</v>
      </c>
      <c r="H340">
        <v>3</v>
      </c>
      <c r="I340">
        <v>1</v>
      </c>
      <c r="J340">
        <v>903</v>
      </c>
      <c r="K340" s="5">
        <v>1.025846E-2</v>
      </c>
      <c r="L340" t="s">
        <v>38</v>
      </c>
      <c r="M340" s="4">
        <v>188680</v>
      </c>
      <c r="N340" s="3">
        <v>617.9402</v>
      </c>
      <c r="O340" t="s">
        <v>22</v>
      </c>
      <c r="P340" t="s">
        <v>24</v>
      </c>
      <c r="Q340" t="s">
        <v>24</v>
      </c>
      <c r="R340" t="s">
        <v>54</v>
      </c>
      <c r="S340">
        <v>11</v>
      </c>
    </row>
    <row r="341" spans="1:19" x14ac:dyDescent="0.3">
      <c r="A341" s="1">
        <v>40488</v>
      </c>
      <c r="B341">
        <v>2010</v>
      </c>
      <c r="C341" t="s">
        <v>18</v>
      </c>
      <c r="D341" s="4">
        <v>145810</v>
      </c>
      <c r="E341" s="2">
        <v>99397</v>
      </c>
      <c r="F341" t="s">
        <v>36</v>
      </c>
      <c r="G341" t="s">
        <v>37</v>
      </c>
      <c r="H341">
        <v>6</v>
      </c>
      <c r="I341">
        <v>4</v>
      </c>
      <c r="J341">
        <v>1893</v>
      </c>
      <c r="K341" s="5">
        <v>1.025846E-2</v>
      </c>
      <c r="L341" t="s">
        <v>27</v>
      </c>
      <c r="M341" s="4">
        <v>-46413</v>
      </c>
      <c r="N341" s="3">
        <v>52.5077</v>
      </c>
      <c r="O341" t="s">
        <v>33</v>
      </c>
      <c r="P341" t="s">
        <v>23</v>
      </c>
      <c r="Q341" t="s">
        <v>34</v>
      </c>
      <c r="R341" t="s">
        <v>54</v>
      </c>
      <c r="S341">
        <v>11</v>
      </c>
    </row>
    <row r="342" spans="1:19" x14ac:dyDescent="0.3">
      <c r="A342" s="1">
        <v>40489</v>
      </c>
      <c r="B342">
        <v>2010</v>
      </c>
      <c r="C342" t="s">
        <v>18</v>
      </c>
      <c r="D342" s="4">
        <v>98780</v>
      </c>
      <c r="E342" s="2">
        <v>135000</v>
      </c>
      <c r="F342" t="s">
        <v>19</v>
      </c>
      <c r="G342" t="s">
        <v>20</v>
      </c>
      <c r="H342">
        <v>3</v>
      </c>
      <c r="I342">
        <v>3</v>
      </c>
      <c r="J342">
        <v>1095</v>
      </c>
      <c r="K342" s="5">
        <v>1.025846E-2</v>
      </c>
      <c r="L342" t="s">
        <v>32</v>
      </c>
      <c r="M342" s="4">
        <v>36220</v>
      </c>
      <c r="N342" s="3">
        <v>123.2877</v>
      </c>
      <c r="O342" t="s">
        <v>22</v>
      </c>
      <c r="P342" t="s">
        <v>23</v>
      </c>
      <c r="Q342" t="s">
        <v>24</v>
      </c>
      <c r="R342" t="s">
        <v>54</v>
      </c>
      <c r="S342">
        <v>11</v>
      </c>
    </row>
    <row r="343" spans="1:19" x14ac:dyDescent="0.3">
      <c r="A343" s="1">
        <v>40492</v>
      </c>
      <c r="B343">
        <v>2010</v>
      </c>
      <c r="C343" t="s">
        <v>56</v>
      </c>
      <c r="D343" s="4">
        <v>367420</v>
      </c>
      <c r="E343" s="2">
        <v>390000</v>
      </c>
      <c r="F343" t="s">
        <v>19</v>
      </c>
      <c r="G343" t="s">
        <v>20</v>
      </c>
      <c r="H343">
        <v>3</v>
      </c>
      <c r="I343">
        <v>3</v>
      </c>
      <c r="J343">
        <v>905</v>
      </c>
      <c r="K343" s="5">
        <v>1.025846E-2</v>
      </c>
      <c r="L343" t="s">
        <v>32</v>
      </c>
      <c r="M343" s="4">
        <v>22580</v>
      </c>
      <c r="N343" s="3">
        <v>430.93920000000003</v>
      </c>
      <c r="O343" t="s">
        <v>22</v>
      </c>
      <c r="P343" t="s">
        <v>24</v>
      </c>
      <c r="Q343" t="s">
        <v>24</v>
      </c>
      <c r="R343" t="s">
        <v>54</v>
      </c>
      <c r="S343">
        <v>11</v>
      </c>
    </row>
    <row r="344" spans="1:19" x14ac:dyDescent="0.3">
      <c r="A344" s="1">
        <v>40495</v>
      </c>
      <c r="B344">
        <v>2010</v>
      </c>
      <c r="C344" t="s">
        <v>35</v>
      </c>
      <c r="D344" s="4">
        <v>553140</v>
      </c>
      <c r="E344" s="2">
        <v>570000</v>
      </c>
      <c r="F344" t="s">
        <v>19</v>
      </c>
      <c r="G344" t="s">
        <v>20</v>
      </c>
      <c r="H344">
        <v>3</v>
      </c>
      <c r="I344">
        <v>1</v>
      </c>
      <c r="J344">
        <v>905</v>
      </c>
      <c r="K344" s="5">
        <v>1.025846E-2</v>
      </c>
      <c r="L344" t="s">
        <v>32</v>
      </c>
      <c r="M344" s="4">
        <v>16860</v>
      </c>
      <c r="N344" s="3">
        <v>629.83429999999998</v>
      </c>
      <c r="O344" t="s">
        <v>22</v>
      </c>
      <c r="P344" t="s">
        <v>24</v>
      </c>
      <c r="Q344" t="s">
        <v>24</v>
      </c>
      <c r="R344" t="s">
        <v>54</v>
      </c>
      <c r="S344">
        <v>11</v>
      </c>
    </row>
    <row r="345" spans="1:19" x14ac:dyDescent="0.3">
      <c r="A345" s="1">
        <v>40496</v>
      </c>
      <c r="B345">
        <v>2010</v>
      </c>
      <c r="C345" t="s">
        <v>56</v>
      </c>
      <c r="D345" s="4">
        <v>522120</v>
      </c>
      <c r="E345" s="2">
        <v>710000</v>
      </c>
      <c r="F345" t="s">
        <v>19</v>
      </c>
      <c r="G345" t="s">
        <v>20</v>
      </c>
      <c r="H345">
        <v>3</v>
      </c>
      <c r="I345">
        <v>1</v>
      </c>
      <c r="J345">
        <v>1021</v>
      </c>
      <c r="K345" s="5">
        <v>1.025846E-2</v>
      </c>
      <c r="L345" t="s">
        <v>32</v>
      </c>
      <c r="M345" s="4">
        <v>187880</v>
      </c>
      <c r="N345" s="3">
        <v>695.39670000000001</v>
      </c>
      <c r="O345" t="s">
        <v>22</v>
      </c>
      <c r="P345" t="s">
        <v>28</v>
      </c>
      <c r="Q345" t="s">
        <v>24</v>
      </c>
      <c r="R345" t="s">
        <v>54</v>
      </c>
      <c r="S345">
        <v>11</v>
      </c>
    </row>
    <row r="346" spans="1:19" x14ac:dyDescent="0.3">
      <c r="A346" s="1">
        <v>40499</v>
      </c>
      <c r="B346">
        <v>2010</v>
      </c>
      <c r="C346" t="s">
        <v>40</v>
      </c>
      <c r="D346" s="4">
        <v>343880</v>
      </c>
      <c r="E346" s="2">
        <v>415000</v>
      </c>
      <c r="F346" t="s">
        <v>19</v>
      </c>
      <c r="G346" t="s">
        <v>20</v>
      </c>
      <c r="H346">
        <v>3</v>
      </c>
      <c r="I346">
        <v>1</v>
      </c>
      <c r="J346">
        <v>947</v>
      </c>
      <c r="K346" s="5">
        <v>1.025846E-2</v>
      </c>
      <c r="L346" t="s">
        <v>21</v>
      </c>
      <c r="M346" s="4">
        <v>71120</v>
      </c>
      <c r="N346" s="3">
        <v>438.226</v>
      </c>
      <c r="O346" t="s">
        <v>22</v>
      </c>
      <c r="P346" t="s">
        <v>24</v>
      </c>
      <c r="Q346" t="s">
        <v>24</v>
      </c>
      <c r="R346" t="s">
        <v>54</v>
      </c>
      <c r="S346">
        <v>11</v>
      </c>
    </row>
    <row r="347" spans="1:19" x14ac:dyDescent="0.3">
      <c r="A347" s="1">
        <v>40501</v>
      </c>
      <c r="B347">
        <v>2010</v>
      </c>
      <c r="C347" t="s">
        <v>18</v>
      </c>
      <c r="D347" s="4">
        <v>444584.20699999999</v>
      </c>
      <c r="E347" s="2">
        <v>167500</v>
      </c>
      <c r="F347" t="s">
        <v>19</v>
      </c>
      <c r="G347" t="s">
        <v>20</v>
      </c>
      <c r="H347">
        <v>3</v>
      </c>
      <c r="I347">
        <v>3</v>
      </c>
      <c r="J347">
        <v>1111.6589814177564</v>
      </c>
      <c r="K347" s="5">
        <v>1.025846E-2</v>
      </c>
      <c r="L347" t="s">
        <v>27</v>
      </c>
      <c r="M347" s="4">
        <v>-277084.20699999999</v>
      </c>
      <c r="N347" s="3">
        <v>150.67570000000001</v>
      </c>
      <c r="O347" t="s">
        <v>33</v>
      </c>
      <c r="P347" t="s">
        <v>23</v>
      </c>
      <c r="Q347" t="s">
        <v>24</v>
      </c>
      <c r="R347" t="s">
        <v>54</v>
      </c>
      <c r="S347">
        <v>11</v>
      </c>
    </row>
    <row r="348" spans="1:19" x14ac:dyDescent="0.3">
      <c r="A348" s="1">
        <v>40502</v>
      </c>
      <c r="B348">
        <v>2010</v>
      </c>
      <c r="C348" t="s">
        <v>52</v>
      </c>
      <c r="D348" s="4">
        <v>137700</v>
      </c>
      <c r="E348" s="2">
        <v>174000</v>
      </c>
      <c r="F348" t="s">
        <v>19</v>
      </c>
      <c r="G348" t="s">
        <v>20</v>
      </c>
      <c r="H348">
        <v>3</v>
      </c>
      <c r="I348">
        <v>3</v>
      </c>
      <c r="J348">
        <v>1097</v>
      </c>
      <c r="K348" s="5">
        <v>1.025846E-2</v>
      </c>
      <c r="L348" t="s">
        <v>27</v>
      </c>
      <c r="M348" s="4">
        <v>36300</v>
      </c>
      <c r="N348" s="3">
        <v>158.61439999999999</v>
      </c>
      <c r="O348" t="s">
        <v>22</v>
      </c>
      <c r="P348" t="s">
        <v>23</v>
      </c>
      <c r="Q348" t="s">
        <v>24</v>
      </c>
      <c r="R348" t="s">
        <v>54</v>
      </c>
      <c r="S348">
        <v>11</v>
      </c>
    </row>
    <row r="349" spans="1:19" x14ac:dyDescent="0.3">
      <c r="A349" s="1">
        <v>40503</v>
      </c>
      <c r="B349">
        <v>2010</v>
      </c>
      <c r="C349" t="s">
        <v>40</v>
      </c>
      <c r="D349" s="4">
        <v>105670</v>
      </c>
      <c r="E349" s="2">
        <v>109000</v>
      </c>
      <c r="F349" t="s">
        <v>30</v>
      </c>
      <c r="G349" t="s">
        <v>31</v>
      </c>
      <c r="H349">
        <v>4</v>
      </c>
      <c r="I349">
        <v>4</v>
      </c>
      <c r="J349">
        <v>1111.6589814177564</v>
      </c>
      <c r="K349" s="5">
        <v>1.025846E-2</v>
      </c>
      <c r="L349" t="s">
        <v>38</v>
      </c>
      <c r="M349" s="4">
        <v>3330</v>
      </c>
      <c r="N349" s="3">
        <v>98.051699999999997</v>
      </c>
      <c r="O349" t="s">
        <v>22</v>
      </c>
      <c r="P349" t="s">
        <v>23</v>
      </c>
      <c r="Q349" t="s">
        <v>24</v>
      </c>
      <c r="R349" t="s">
        <v>54</v>
      </c>
      <c r="S349">
        <v>11</v>
      </c>
    </row>
    <row r="350" spans="1:19" x14ac:dyDescent="0.3">
      <c r="A350" s="1">
        <v>40506</v>
      </c>
      <c r="B350">
        <v>2010</v>
      </c>
      <c r="C350" t="s">
        <v>18</v>
      </c>
      <c r="D350" s="4">
        <v>124120</v>
      </c>
      <c r="E350" s="2">
        <v>63000</v>
      </c>
      <c r="F350" t="s">
        <v>19</v>
      </c>
      <c r="G350" t="s">
        <v>20</v>
      </c>
      <c r="H350">
        <v>3</v>
      </c>
      <c r="I350">
        <v>3</v>
      </c>
      <c r="J350">
        <v>1111.6589814177564</v>
      </c>
      <c r="K350" s="5">
        <v>1.025846E-2</v>
      </c>
      <c r="L350" t="s">
        <v>21</v>
      </c>
      <c r="M350" s="4">
        <v>-61120</v>
      </c>
      <c r="N350" s="3">
        <v>56.6721</v>
      </c>
      <c r="O350" t="s">
        <v>33</v>
      </c>
      <c r="P350" t="s">
        <v>23</v>
      </c>
      <c r="Q350" t="s">
        <v>24</v>
      </c>
      <c r="R350" t="s">
        <v>54</v>
      </c>
      <c r="S350">
        <v>11</v>
      </c>
    </row>
    <row r="351" spans="1:19" x14ac:dyDescent="0.3">
      <c r="A351" s="1">
        <v>40507</v>
      </c>
      <c r="B351">
        <v>2010</v>
      </c>
      <c r="C351" t="s">
        <v>52</v>
      </c>
      <c r="D351" s="4">
        <v>218600</v>
      </c>
      <c r="E351" s="2">
        <v>290000</v>
      </c>
      <c r="F351" t="s">
        <v>19</v>
      </c>
      <c r="G351" t="s">
        <v>20</v>
      </c>
      <c r="H351">
        <v>3</v>
      </c>
      <c r="I351">
        <v>2</v>
      </c>
      <c r="J351">
        <v>957</v>
      </c>
      <c r="K351" s="5">
        <v>1.025846E-2</v>
      </c>
      <c r="L351" t="s">
        <v>38</v>
      </c>
      <c r="M351" s="4">
        <v>71400</v>
      </c>
      <c r="N351" s="3">
        <v>303.03030000000001</v>
      </c>
      <c r="O351" t="s">
        <v>22</v>
      </c>
      <c r="P351" t="s">
        <v>24</v>
      </c>
      <c r="Q351" t="s">
        <v>24</v>
      </c>
      <c r="R351" t="s">
        <v>54</v>
      </c>
      <c r="S351">
        <v>11</v>
      </c>
    </row>
    <row r="352" spans="1:19" x14ac:dyDescent="0.3">
      <c r="A352" s="1">
        <v>40514</v>
      </c>
      <c r="B352">
        <v>2010</v>
      </c>
      <c r="C352" t="s">
        <v>40</v>
      </c>
      <c r="D352" s="4">
        <v>1024940</v>
      </c>
      <c r="E352" s="2">
        <v>1440000</v>
      </c>
      <c r="F352" t="s">
        <v>19</v>
      </c>
      <c r="G352" t="s">
        <v>20</v>
      </c>
      <c r="H352">
        <v>3</v>
      </c>
      <c r="I352">
        <v>1</v>
      </c>
      <c r="J352">
        <v>958</v>
      </c>
      <c r="K352" s="5">
        <v>1.025846E-2</v>
      </c>
      <c r="L352" t="s">
        <v>27</v>
      </c>
      <c r="M352" s="4">
        <v>415060</v>
      </c>
      <c r="N352" s="3">
        <v>1503.1315</v>
      </c>
      <c r="O352" t="s">
        <v>22</v>
      </c>
      <c r="P352" t="s">
        <v>28</v>
      </c>
      <c r="Q352" t="s">
        <v>24</v>
      </c>
      <c r="R352" t="s">
        <v>55</v>
      </c>
      <c r="S352">
        <v>12</v>
      </c>
    </row>
    <row r="353" spans="1:19" x14ac:dyDescent="0.3">
      <c r="A353" s="1">
        <v>40516</v>
      </c>
      <c r="B353">
        <v>2010</v>
      </c>
      <c r="C353" t="s">
        <v>40</v>
      </c>
      <c r="D353" s="4">
        <v>435570</v>
      </c>
      <c r="E353" s="2">
        <v>415000</v>
      </c>
      <c r="F353" t="s">
        <v>19</v>
      </c>
      <c r="G353" t="s">
        <v>20</v>
      </c>
      <c r="H353">
        <v>3</v>
      </c>
      <c r="I353">
        <v>1</v>
      </c>
      <c r="J353">
        <v>914</v>
      </c>
      <c r="K353" s="5">
        <v>1.025846E-2</v>
      </c>
      <c r="L353" t="s">
        <v>21</v>
      </c>
      <c r="M353" s="4">
        <v>-20570</v>
      </c>
      <c r="N353" s="3">
        <v>454.04809999999998</v>
      </c>
      <c r="O353" t="s">
        <v>33</v>
      </c>
      <c r="P353" t="s">
        <v>24</v>
      </c>
      <c r="Q353" t="s">
        <v>24</v>
      </c>
      <c r="R353" t="s">
        <v>55</v>
      </c>
      <c r="S353">
        <v>12</v>
      </c>
    </row>
    <row r="354" spans="1:19" x14ac:dyDescent="0.3">
      <c r="A354" s="1">
        <v>40517</v>
      </c>
      <c r="B354">
        <v>2010</v>
      </c>
      <c r="C354" t="s">
        <v>18</v>
      </c>
      <c r="D354" s="4">
        <v>119450</v>
      </c>
      <c r="E354" s="2">
        <v>150000</v>
      </c>
      <c r="F354" t="s">
        <v>19</v>
      </c>
      <c r="G354" t="s">
        <v>20</v>
      </c>
      <c r="H354">
        <v>3</v>
      </c>
      <c r="I354">
        <v>3</v>
      </c>
      <c r="J354">
        <v>1049</v>
      </c>
      <c r="K354" s="5">
        <v>1.025846E-2</v>
      </c>
      <c r="L354" t="s">
        <v>32</v>
      </c>
      <c r="M354" s="4">
        <v>30550</v>
      </c>
      <c r="N354" s="3">
        <v>142.9933</v>
      </c>
      <c r="O354" t="s">
        <v>22</v>
      </c>
      <c r="P354" t="s">
        <v>23</v>
      </c>
      <c r="Q354" t="s">
        <v>24</v>
      </c>
      <c r="R354" t="s">
        <v>55</v>
      </c>
      <c r="S354">
        <v>12</v>
      </c>
    </row>
    <row r="355" spans="1:19" x14ac:dyDescent="0.3">
      <c r="A355" s="1">
        <v>40523</v>
      </c>
      <c r="B355">
        <v>2010</v>
      </c>
      <c r="C355" t="s">
        <v>52</v>
      </c>
      <c r="D355" s="4">
        <v>444584.20699999999</v>
      </c>
      <c r="E355" s="2">
        <v>370000</v>
      </c>
      <c r="F355" t="s">
        <v>36</v>
      </c>
      <c r="G355" t="s">
        <v>37</v>
      </c>
      <c r="H355">
        <v>6</v>
      </c>
      <c r="I355">
        <v>4</v>
      </c>
      <c r="J355">
        <v>1969</v>
      </c>
      <c r="K355" s="5">
        <v>1.025846E-2</v>
      </c>
      <c r="L355" t="s">
        <v>21</v>
      </c>
      <c r="M355" s="4">
        <v>-74584.206999999995</v>
      </c>
      <c r="N355" s="3">
        <v>187.9126</v>
      </c>
      <c r="O355" t="s">
        <v>33</v>
      </c>
      <c r="P355" t="s">
        <v>24</v>
      </c>
      <c r="Q355" t="s">
        <v>34</v>
      </c>
      <c r="R355" t="s">
        <v>55</v>
      </c>
      <c r="S355">
        <v>12</v>
      </c>
    </row>
    <row r="356" spans="1:19" x14ac:dyDescent="0.3">
      <c r="A356" s="1">
        <v>40524</v>
      </c>
      <c r="B356">
        <v>2010</v>
      </c>
      <c r="C356" t="s">
        <v>39</v>
      </c>
      <c r="D356" s="4">
        <v>249760</v>
      </c>
      <c r="E356" s="2">
        <v>348000</v>
      </c>
      <c r="F356" t="s">
        <v>30</v>
      </c>
      <c r="G356" t="s">
        <v>31</v>
      </c>
      <c r="H356">
        <v>4</v>
      </c>
      <c r="I356">
        <v>3</v>
      </c>
      <c r="J356">
        <v>1111.6589814177564</v>
      </c>
      <c r="K356" s="5">
        <v>1.025846E-2</v>
      </c>
      <c r="L356" t="s">
        <v>27</v>
      </c>
      <c r="M356" s="4">
        <v>98240</v>
      </c>
      <c r="N356" s="3">
        <v>313.04559999999998</v>
      </c>
      <c r="O356" t="s">
        <v>22</v>
      </c>
      <c r="P356" t="s">
        <v>24</v>
      </c>
      <c r="Q356" t="s">
        <v>24</v>
      </c>
      <c r="R356" t="s">
        <v>55</v>
      </c>
      <c r="S356">
        <v>12</v>
      </c>
    </row>
    <row r="357" spans="1:19" x14ac:dyDescent="0.3">
      <c r="A357" s="1">
        <v>40527</v>
      </c>
      <c r="B357">
        <v>2010</v>
      </c>
      <c r="C357" t="s">
        <v>18</v>
      </c>
      <c r="D357" s="4">
        <v>130360</v>
      </c>
      <c r="E357" s="2">
        <v>85000</v>
      </c>
      <c r="F357" t="s">
        <v>36</v>
      </c>
      <c r="G357" t="s">
        <v>37</v>
      </c>
      <c r="H357">
        <v>6</v>
      </c>
      <c r="I357">
        <v>4</v>
      </c>
      <c r="J357">
        <v>2148</v>
      </c>
      <c r="K357" s="5">
        <v>1.025846E-2</v>
      </c>
      <c r="L357" t="s">
        <v>38</v>
      </c>
      <c r="M357" s="4">
        <v>-45360</v>
      </c>
      <c r="N357" s="3">
        <v>39.5717</v>
      </c>
      <c r="O357" t="s">
        <v>33</v>
      </c>
      <c r="P357" t="s">
        <v>23</v>
      </c>
      <c r="Q357" t="s">
        <v>34</v>
      </c>
      <c r="R357" t="s">
        <v>55</v>
      </c>
      <c r="S357">
        <v>12</v>
      </c>
    </row>
    <row r="358" spans="1:19" x14ac:dyDescent="0.3">
      <c r="A358" s="1">
        <v>40529</v>
      </c>
      <c r="B358">
        <v>2010</v>
      </c>
      <c r="C358" t="s">
        <v>56</v>
      </c>
      <c r="D358" s="4">
        <v>491200</v>
      </c>
      <c r="E358" s="2">
        <v>725000</v>
      </c>
      <c r="F358" t="s">
        <v>30</v>
      </c>
      <c r="G358" t="s">
        <v>31</v>
      </c>
      <c r="H358">
        <v>4</v>
      </c>
      <c r="I358">
        <v>2</v>
      </c>
      <c r="J358">
        <v>1425</v>
      </c>
      <c r="K358" s="5">
        <v>1.025846E-2</v>
      </c>
      <c r="L358" t="s">
        <v>38</v>
      </c>
      <c r="M358" s="4">
        <v>233800</v>
      </c>
      <c r="N358" s="3">
        <v>508.77190000000002</v>
      </c>
      <c r="O358" t="s">
        <v>22</v>
      </c>
      <c r="P358" t="s">
        <v>28</v>
      </c>
      <c r="Q358" t="s">
        <v>34</v>
      </c>
      <c r="R358" t="s">
        <v>55</v>
      </c>
      <c r="S358">
        <v>12</v>
      </c>
    </row>
    <row r="359" spans="1:19" x14ac:dyDescent="0.3">
      <c r="A359" s="1">
        <v>40531</v>
      </c>
      <c r="B359">
        <v>2010</v>
      </c>
      <c r="C359" t="s">
        <v>18</v>
      </c>
      <c r="D359" s="4">
        <v>151300</v>
      </c>
      <c r="E359" s="2">
        <v>170000</v>
      </c>
      <c r="F359" t="s">
        <v>19</v>
      </c>
      <c r="G359" t="s">
        <v>20</v>
      </c>
      <c r="H359">
        <v>3</v>
      </c>
      <c r="I359">
        <v>3</v>
      </c>
      <c r="J359">
        <v>933</v>
      </c>
      <c r="K359" s="5">
        <v>1.025846E-2</v>
      </c>
      <c r="L359" t="s">
        <v>21</v>
      </c>
      <c r="M359" s="4">
        <v>18700</v>
      </c>
      <c r="N359" s="3">
        <v>182.2079</v>
      </c>
      <c r="O359" t="s">
        <v>22</v>
      </c>
      <c r="P359" t="s">
        <v>23</v>
      </c>
      <c r="Q359" t="s">
        <v>24</v>
      </c>
      <c r="R359" t="s">
        <v>55</v>
      </c>
      <c r="S359">
        <v>12</v>
      </c>
    </row>
    <row r="360" spans="1:19" x14ac:dyDescent="0.3">
      <c r="A360" s="1">
        <v>40535</v>
      </c>
      <c r="B360">
        <v>2010</v>
      </c>
      <c r="C360" t="s">
        <v>18</v>
      </c>
      <c r="D360" s="4">
        <v>444584.20699999999</v>
      </c>
      <c r="E360" s="2">
        <v>129800</v>
      </c>
      <c r="F360" t="s">
        <v>19</v>
      </c>
      <c r="G360" t="s">
        <v>20</v>
      </c>
      <c r="H360">
        <v>3</v>
      </c>
      <c r="I360">
        <v>1</v>
      </c>
      <c r="J360">
        <v>1042</v>
      </c>
      <c r="K360" s="5">
        <v>1.025846E-2</v>
      </c>
      <c r="L360" t="s">
        <v>21</v>
      </c>
      <c r="M360" s="4">
        <v>-314784.20699999999</v>
      </c>
      <c r="N360" s="3">
        <v>124.5681</v>
      </c>
      <c r="O360" t="s">
        <v>33</v>
      </c>
      <c r="P360" t="s">
        <v>23</v>
      </c>
      <c r="Q360" t="s">
        <v>24</v>
      </c>
      <c r="R360" t="s">
        <v>55</v>
      </c>
      <c r="S360">
        <v>12</v>
      </c>
    </row>
    <row r="361" spans="1:19" x14ac:dyDescent="0.3">
      <c r="A361" s="1">
        <v>40541</v>
      </c>
      <c r="B361">
        <v>2010</v>
      </c>
      <c r="C361" t="s">
        <v>56</v>
      </c>
      <c r="D361" s="4">
        <v>343880</v>
      </c>
      <c r="E361" s="2">
        <v>375000</v>
      </c>
      <c r="F361" t="s">
        <v>19</v>
      </c>
      <c r="G361" t="s">
        <v>20</v>
      </c>
      <c r="H361">
        <v>3</v>
      </c>
      <c r="I361">
        <v>3</v>
      </c>
      <c r="J361">
        <v>1070</v>
      </c>
      <c r="K361" s="5">
        <v>1.025846E-2</v>
      </c>
      <c r="L361" t="s">
        <v>38</v>
      </c>
      <c r="M361" s="4">
        <v>31120</v>
      </c>
      <c r="N361" s="3">
        <v>350.46730000000002</v>
      </c>
      <c r="O361" t="s">
        <v>22</v>
      </c>
      <c r="P361" t="s">
        <v>24</v>
      </c>
      <c r="Q361" t="s">
        <v>24</v>
      </c>
      <c r="R361" t="s">
        <v>55</v>
      </c>
      <c r="S361">
        <v>12</v>
      </c>
    </row>
    <row r="362" spans="1:19" x14ac:dyDescent="0.3">
      <c r="A362" s="1">
        <v>40543</v>
      </c>
      <c r="B362">
        <v>2010</v>
      </c>
      <c r="C362" t="s">
        <v>18</v>
      </c>
      <c r="D362" s="4">
        <v>84610</v>
      </c>
      <c r="E362" s="2">
        <v>23000</v>
      </c>
      <c r="F362" t="s">
        <v>30</v>
      </c>
      <c r="G362" t="s">
        <v>31</v>
      </c>
      <c r="H362">
        <v>4</v>
      </c>
      <c r="I362">
        <v>4</v>
      </c>
      <c r="J362">
        <v>1200</v>
      </c>
      <c r="K362" s="5">
        <v>1.025846E-2</v>
      </c>
      <c r="L362" t="s">
        <v>21</v>
      </c>
      <c r="M362" s="4">
        <v>-61610</v>
      </c>
      <c r="N362" s="3">
        <v>19.166699999999999</v>
      </c>
      <c r="O362" t="s">
        <v>33</v>
      </c>
      <c r="P362" t="s">
        <v>23</v>
      </c>
      <c r="Q362" t="s">
        <v>24</v>
      </c>
      <c r="R362" t="s">
        <v>55</v>
      </c>
      <c r="S362">
        <v>12</v>
      </c>
    </row>
    <row r="363" spans="1:19" x14ac:dyDescent="0.3">
      <c r="A363" s="1">
        <v>40552</v>
      </c>
      <c r="B363">
        <v>2011</v>
      </c>
      <c r="C363" t="s">
        <v>39</v>
      </c>
      <c r="D363" s="4">
        <v>353570</v>
      </c>
      <c r="E363" s="2">
        <v>400000</v>
      </c>
      <c r="F363" t="s">
        <v>19</v>
      </c>
      <c r="G363" t="s">
        <v>20</v>
      </c>
      <c r="H363">
        <v>3</v>
      </c>
      <c r="I363">
        <v>2</v>
      </c>
      <c r="J363">
        <v>972</v>
      </c>
      <c r="K363" s="5">
        <v>1.025033E-2</v>
      </c>
      <c r="L363" t="s">
        <v>21</v>
      </c>
      <c r="M363" s="4">
        <v>46430</v>
      </c>
      <c r="N363" s="3">
        <v>411.52260000000001</v>
      </c>
      <c r="O363" t="s">
        <v>22</v>
      </c>
      <c r="P363" t="s">
        <v>24</v>
      </c>
      <c r="Q363" t="s">
        <v>24</v>
      </c>
      <c r="R363" t="s">
        <v>25</v>
      </c>
      <c r="S363">
        <v>1</v>
      </c>
    </row>
    <row r="364" spans="1:19" x14ac:dyDescent="0.3">
      <c r="A364" s="1">
        <v>40557</v>
      </c>
      <c r="B364">
        <v>2011</v>
      </c>
      <c r="C364" t="s">
        <v>40</v>
      </c>
      <c r="D364" s="4">
        <v>720650</v>
      </c>
      <c r="E364" s="2">
        <v>1015000</v>
      </c>
      <c r="F364" t="s">
        <v>19</v>
      </c>
      <c r="G364" t="s">
        <v>20</v>
      </c>
      <c r="H364">
        <v>3</v>
      </c>
      <c r="I364">
        <v>3</v>
      </c>
      <c r="J364">
        <v>1093</v>
      </c>
      <c r="K364" s="5">
        <v>1.025033E-2</v>
      </c>
      <c r="L364" t="s">
        <v>27</v>
      </c>
      <c r="M364" s="4">
        <v>294350</v>
      </c>
      <c r="N364" s="3">
        <v>928.63679999999999</v>
      </c>
      <c r="O364" t="s">
        <v>22</v>
      </c>
      <c r="P364" t="s">
        <v>28</v>
      </c>
      <c r="Q364" t="s">
        <v>24</v>
      </c>
      <c r="R364" t="s">
        <v>25</v>
      </c>
      <c r="S364">
        <v>1</v>
      </c>
    </row>
    <row r="365" spans="1:19" x14ac:dyDescent="0.3">
      <c r="A365" s="1">
        <v>40558</v>
      </c>
      <c r="B365">
        <v>2011</v>
      </c>
      <c r="C365" t="s">
        <v>40</v>
      </c>
      <c r="D365" s="4">
        <v>559790</v>
      </c>
      <c r="E365" s="2">
        <v>426000</v>
      </c>
      <c r="F365" t="s">
        <v>19</v>
      </c>
      <c r="G365" t="s">
        <v>20</v>
      </c>
      <c r="H365">
        <v>3</v>
      </c>
      <c r="I365">
        <v>3</v>
      </c>
      <c r="J365">
        <v>1087</v>
      </c>
      <c r="K365" s="5">
        <v>1.025033E-2</v>
      </c>
      <c r="L365" t="s">
        <v>27</v>
      </c>
      <c r="M365" s="4">
        <v>-133790</v>
      </c>
      <c r="N365" s="3">
        <v>391.90429999999998</v>
      </c>
      <c r="O365" t="s">
        <v>33</v>
      </c>
      <c r="P365" t="s">
        <v>24</v>
      </c>
      <c r="Q365" t="s">
        <v>24</v>
      </c>
      <c r="R365" t="s">
        <v>25</v>
      </c>
      <c r="S365">
        <v>1</v>
      </c>
    </row>
    <row r="366" spans="1:19" x14ac:dyDescent="0.3">
      <c r="A366" s="1">
        <v>40563</v>
      </c>
      <c r="B366">
        <v>2011</v>
      </c>
      <c r="C366" t="s">
        <v>40</v>
      </c>
      <c r="D366" s="4">
        <v>84300</v>
      </c>
      <c r="E366" s="2">
        <v>65100</v>
      </c>
      <c r="F366" t="s">
        <v>19</v>
      </c>
      <c r="G366" t="s">
        <v>20</v>
      </c>
      <c r="H366">
        <v>3</v>
      </c>
      <c r="I366">
        <v>3</v>
      </c>
      <c r="J366">
        <v>1004</v>
      </c>
      <c r="K366" s="5">
        <v>1.025033E-2</v>
      </c>
      <c r="L366" t="s">
        <v>27</v>
      </c>
      <c r="M366" s="4">
        <v>-19200</v>
      </c>
      <c r="N366" s="3">
        <v>64.840599999999995</v>
      </c>
      <c r="O366" t="s">
        <v>33</v>
      </c>
      <c r="P366" t="s">
        <v>23</v>
      </c>
      <c r="Q366" t="s">
        <v>24</v>
      </c>
      <c r="R366" t="s">
        <v>25</v>
      </c>
      <c r="S366">
        <v>1</v>
      </c>
    </row>
    <row r="367" spans="1:19" x14ac:dyDescent="0.3">
      <c r="A367" s="1">
        <v>40565</v>
      </c>
      <c r="B367">
        <v>2011</v>
      </c>
      <c r="C367" t="s">
        <v>18</v>
      </c>
      <c r="D367" s="4">
        <v>104660</v>
      </c>
      <c r="E367" s="2">
        <v>129000</v>
      </c>
      <c r="F367" t="s">
        <v>19</v>
      </c>
      <c r="G367" t="s">
        <v>20</v>
      </c>
      <c r="H367">
        <v>3</v>
      </c>
      <c r="I367">
        <v>1</v>
      </c>
      <c r="J367">
        <v>1015</v>
      </c>
      <c r="K367" s="5">
        <v>1.025033E-2</v>
      </c>
      <c r="L367" t="s">
        <v>27</v>
      </c>
      <c r="M367" s="4">
        <v>24340</v>
      </c>
      <c r="N367" s="3">
        <v>127.0936</v>
      </c>
      <c r="O367" t="s">
        <v>22</v>
      </c>
      <c r="P367" t="s">
        <v>23</v>
      </c>
      <c r="Q367" t="s">
        <v>24</v>
      </c>
      <c r="R367" t="s">
        <v>25</v>
      </c>
      <c r="S367">
        <v>1</v>
      </c>
    </row>
    <row r="368" spans="1:19" x14ac:dyDescent="0.3">
      <c r="A368" s="1">
        <v>40566</v>
      </c>
      <c r="B368">
        <v>2011</v>
      </c>
      <c r="C368" t="s">
        <v>18</v>
      </c>
      <c r="D368" s="4">
        <v>444584.20699999999</v>
      </c>
      <c r="E368" s="2">
        <v>200000</v>
      </c>
      <c r="F368" t="s">
        <v>19</v>
      </c>
      <c r="G368" t="s">
        <v>20</v>
      </c>
      <c r="H368">
        <v>3</v>
      </c>
      <c r="I368">
        <v>1</v>
      </c>
      <c r="J368">
        <v>974</v>
      </c>
      <c r="K368" s="5">
        <v>1.025033E-2</v>
      </c>
      <c r="L368" t="s">
        <v>32</v>
      </c>
      <c r="M368" s="4">
        <v>-244584.20699999999</v>
      </c>
      <c r="N368" s="3">
        <v>205.33879999999999</v>
      </c>
      <c r="O368" t="s">
        <v>33</v>
      </c>
      <c r="P368" t="s">
        <v>24</v>
      </c>
      <c r="Q368" t="s">
        <v>24</v>
      </c>
      <c r="R368" t="s">
        <v>25</v>
      </c>
      <c r="S368">
        <v>1</v>
      </c>
    </row>
    <row r="369" spans="1:19" x14ac:dyDescent="0.3">
      <c r="A369" s="1">
        <v>40569</v>
      </c>
      <c r="B369">
        <v>2011</v>
      </c>
      <c r="C369" t="s">
        <v>39</v>
      </c>
      <c r="D369" s="4">
        <v>408870</v>
      </c>
      <c r="E369" s="2">
        <v>410000</v>
      </c>
      <c r="F369" t="s">
        <v>19</v>
      </c>
      <c r="G369" t="s">
        <v>20</v>
      </c>
      <c r="H369">
        <v>3</v>
      </c>
      <c r="I369">
        <v>1</v>
      </c>
      <c r="J369">
        <v>1111.6589814177564</v>
      </c>
      <c r="K369" s="5">
        <v>1.025033E-2</v>
      </c>
      <c r="L369" t="s">
        <v>21</v>
      </c>
      <c r="M369" s="4">
        <v>1130</v>
      </c>
      <c r="N369" s="3">
        <v>368.81810000000002</v>
      </c>
      <c r="O369" t="s">
        <v>22</v>
      </c>
      <c r="P369" t="s">
        <v>24</v>
      </c>
      <c r="Q369" t="s">
        <v>24</v>
      </c>
      <c r="R369" t="s">
        <v>25</v>
      </c>
      <c r="S369">
        <v>1</v>
      </c>
    </row>
    <row r="370" spans="1:19" x14ac:dyDescent="0.3">
      <c r="A370" s="1">
        <v>40572</v>
      </c>
      <c r="B370">
        <v>2011</v>
      </c>
      <c r="C370" t="s">
        <v>35</v>
      </c>
      <c r="D370" s="4">
        <v>500290</v>
      </c>
      <c r="E370" s="2">
        <v>600000</v>
      </c>
      <c r="F370" t="s">
        <v>30</v>
      </c>
      <c r="G370" t="s">
        <v>31</v>
      </c>
      <c r="H370">
        <v>4</v>
      </c>
      <c r="I370">
        <v>4</v>
      </c>
      <c r="J370">
        <v>1396</v>
      </c>
      <c r="K370" s="5">
        <v>1.025033E-2</v>
      </c>
      <c r="L370" t="s">
        <v>27</v>
      </c>
      <c r="M370" s="4">
        <v>99710</v>
      </c>
      <c r="N370" s="3">
        <v>429.79939999999999</v>
      </c>
      <c r="O370" t="s">
        <v>22</v>
      </c>
      <c r="P370" t="s">
        <v>28</v>
      </c>
      <c r="Q370" t="s">
        <v>34</v>
      </c>
      <c r="R370" t="s">
        <v>25</v>
      </c>
      <c r="S370">
        <v>1</v>
      </c>
    </row>
    <row r="371" spans="1:19" x14ac:dyDescent="0.3">
      <c r="A371" s="1">
        <v>40573</v>
      </c>
      <c r="B371">
        <v>2011</v>
      </c>
      <c r="C371" t="s">
        <v>40</v>
      </c>
      <c r="D371" s="4">
        <v>417120</v>
      </c>
      <c r="E371" s="2">
        <v>580000</v>
      </c>
      <c r="F371" t="s">
        <v>19</v>
      </c>
      <c r="G371" t="s">
        <v>20</v>
      </c>
      <c r="H371">
        <v>3</v>
      </c>
      <c r="I371">
        <v>3</v>
      </c>
      <c r="J371">
        <v>1018</v>
      </c>
      <c r="K371" s="5">
        <v>1.025033E-2</v>
      </c>
      <c r="L371" t="s">
        <v>32</v>
      </c>
      <c r="M371" s="4">
        <v>162880</v>
      </c>
      <c r="N371" s="3">
        <v>569.74459999999999</v>
      </c>
      <c r="O371" t="s">
        <v>22</v>
      </c>
      <c r="P371" t="s">
        <v>24</v>
      </c>
      <c r="Q371" t="s">
        <v>24</v>
      </c>
      <c r="R371" t="s">
        <v>25</v>
      </c>
      <c r="S371">
        <v>1</v>
      </c>
    </row>
    <row r="372" spans="1:19" x14ac:dyDescent="0.3">
      <c r="A372" s="1">
        <v>40576</v>
      </c>
      <c r="B372">
        <v>2011</v>
      </c>
      <c r="C372" t="s">
        <v>56</v>
      </c>
      <c r="D372" s="4">
        <v>294080</v>
      </c>
      <c r="E372" s="2">
        <v>325000</v>
      </c>
      <c r="F372" t="s">
        <v>19</v>
      </c>
      <c r="G372" t="s">
        <v>20</v>
      </c>
      <c r="H372">
        <v>3</v>
      </c>
      <c r="I372">
        <v>1</v>
      </c>
      <c r="J372">
        <v>931</v>
      </c>
      <c r="K372" s="5">
        <v>1.025033E-2</v>
      </c>
      <c r="L372" t="s">
        <v>21</v>
      </c>
      <c r="M372" s="4">
        <v>30920</v>
      </c>
      <c r="N372" s="3">
        <v>349.08699999999999</v>
      </c>
      <c r="O372" t="s">
        <v>22</v>
      </c>
      <c r="P372" t="s">
        <v>24</v>
      </c>
      <c r="Q372" t="s">
        <v>24</v>
      </c>
      <c r="R372" t="s">
        <v>41</v>
      </c>
      <c r="S372">
        <v>2</v>
      </c>
    </row>
    <row r="373" spans="1:19" x14ac:dyDescent="0.3">
      <c r="A373" s="1">
        <v>40579</v>
      </c>
      <c r="B373">
        <v>2011</v>
      </c>
      <c r="C373" t="s">
        <v>18</v>
      </c>
      <c r="D373" s="4">
        <v>94460</v>
      </c>
      <c r="E373" s="2">
        <v>92000</v>
      </c>
      <c r="F373" t="s">
        <v>19</v>
      </c>
      <c r="G373" t="s">
        <v>20</v>
      </c>
      <c r="H373">
        <v>3</v>
      </c>
      <c r="I373">
        <v>2</v>
      </c>
      <c r="J373">
        <v>939</v>
      </c>
      <c r="K373" s="5">
        <v>1.025033E-2</v>
      </c>
      <c r="L373" t="s">
        <v>27</v>
      </c>
      <c r="M373" s="4">
        <v>-2460</v>
      </c>
      <c r="N373" s="3">
        <v>97.976600000000005</v>
      </c>
      <c r="O373" t="s">
        <v>33</v>
      </c>
      <c r="P373" t="s">
        <v>23</v>
      </c>
      <c r="Q373" t="s">
        <v>24</v>
      </c>
      <c r="R373" t="s">
        <v>41</v>
      </c>
      <c r="S373">
        <v>2</v>
      </c>
    </row>
    <row r="374" spans="1:19" x14ac:dyDescent="0.3">
      <c r="A374" s="1">
        <v>40580</v>
      </c>
      <c r="B374">
        <v>2011</v>
      </c>
      <c r="C374" t="s">
        <v>18</v>
      </c>
      <c r="D374" s="4">
        <v>444584.20699999999</v>
      </c>
      <c r="E374" s="2">
        <v>19900</v>
      </c>
      <c r="F374" t="s">
        <v>36</v>
      </c>
      <c r="G374" t="s">
        <v>37</v>
      </c>
      <c r="H374">
        <v>6</v>
      </c>
      <c r="I374">
        <v>5</v>
      </c>
      <c r="J374">
        <v>2092</v>
      </c>
      <c r="K374" s="5">
        <v>1.025033E-2</v>
      </c>
      <c r="L374" t="s">
        <v>27</v>
      </c>
      <c r="M374" s="4">
        <v>-424684.20699999999</v>
      </c>
      <c r="N374" s="3">
        <v>9.5123999999999995</v>
      </c>
      <c r="O374" t="s">
        <v>33</v>
      </c>
      <c r="P374" t="s">
        <v>23</v>
      </c>
      <c r="Q374" t="s">
        <v>34</v>
      </c>
      <c r="R374" t="s">
        <v>41</v>
      </c>
      <c r="S374">
        <v>2</v>
      </c>
    </row>
    <row r="375" spans="1:19" x14ac:dyDescent="0.3">
      <c r="A375" s="1">
        <v>40583</v>
      </c>
      <c r="B375">
        <v>2011</v>
      </c>
      <c r="C375" t="s">
        <v>35</v>
      </c>
      <c r="D375" s="4">
        <v>806120</v>
      </c>
      <c r="E375" s="2">
        <v>900000</v>
      </c>
      <c r="F375" t="s">
        <v>19</v>
      </c>
      <c r="G375" t="s">
        <v>20</v>
      </c>
      <c r="H375">
        <v>3</v>
      </c>
      <c r="I375">
        <v>1</v>
      </c>
      <c r="J375">
        <v>976</v>
      </c>
      <c r="K375" s="5">
        <v>1.025033E-2</v>
      </c>
      <c r="L375" t="s">
        <v>32</v>
      </c>
      <c r="M375" s="4">
        <v>93880</v>
      </c>
      <c r="N375" s="3">
        <v>922.13109999999995</v>
      </c>
      <c r="O375" t="s">
        <v>22</v>
      </c>
      <c r="P375" t="s">
        <v>28</v>
      </c>
      <c r="Q375" t="s">
        <v>24</v>
      </c>
      <c r="R375" t="s">
        <v>41</v>
      </c>
      <c r="S375">
        <v>2</v>
      </c>
    </row>
    <row r="376" spans="1:19" x14ac:dyDescent="0.3">
      <c r="A376" s="1">
        <v>40587</v>
      </c>
      <c r="B376">
        <v>2011</v>
      </c>
      <c r="C376" t="s">
        <v>35</v>
      </c>
      <c r="D376" s="4">
        <v>1688540</v>
      </c>
      <c r="E376" s="2">
        <v>1600000</v>
      </c>
      <c r="F376" t="s">
        <v>19</v>
      </c>
      <c r="G376" t="s">
        <v>20</v>
      </c>
      <c r="H376">
        <v>3</v>
      </c>
      <c r="I376">
        <v>3</v>
      </c>
      <c r="J376">
        <v>933</v>
      </c>
      <c r="K376" s="5">
        <v>1.025033E-2</v>
      </c>
      <c r="L376" t="s">
        <v>27</v>
      </c>
      <c r="M376" s="4">
        <v>-88540</v>
      </c>
      <c r="N376" s="3">
        <v>1714.8982000000001</v>
      </c>
      <c r="O376" t="s">
        <v>33</v>
      </c>
      <c r="P376" t="s">
        <v>28</v>
      </c>
      <c r="Q376" t="s">
        <v>24</v>
      </c>
      <c r="R376" t="s">
        <v>41</v>
      </c>
      <c r="S376">
        <v>2</v>
      </c>
    </row>
    <row r="377" spans="1:19" x14ac:dyDescent="0.3">
      <c r="A377" s="1">
        <v>40591</v>
      </c>
      <c r="B377">
        <v>2011</v>
      </c>
      <c r="C377" t="s">
        <v>18</v>
      </c>
      <c r="D377" s="4">
        <v>124300</v>
      </c>
      <c r="E377" s="2">
        <v>86500</v>
      </c>
      <c r="F377" t="s">
        <v>30</v>
      </c>
      <c r="G377" t="s">
        <v>31</v>
      </c>
      <c r="H377">
        <v>4</v>
      </c>
      <c r="I377">
        <v>4</v>
      </c>
      <c r="J377">
        <v>1475</v>
      </c>
      <c r="K377" s="5">
        <v>1.025033E-2</v>
      </c>
      <c r="L377" t="s">
        <v>27</v>
      </c>
      <c r="M377" s="4">
        <v>-37800</v>
      </c>
      <c r="N377" s="3">
        <v>58.644100000000002</v>
      </c>
      <c r="O377" t="s">
        <v>33</v>
      </c>
      <c r="P377" t="s">
        <v>23</v>
      </c>
      <c r="Q377" t="s">
        <v>34</v>
      </c>
      <c r="R377" t="s">
        <v>41</v>
      </c>
      <c r="S377">
        <v>2</v>
      </c>
    </row>
    <row r="378" spans="1:19" x14ac:dyDescent="0.3">
      <c r="A378" s="1">
        <v>40593</v>
      </c>
      <c r="B378">
        <v>2011</v>
      </c>
      <c r="C378" t="s">
        <v>39</v>
      </c>
      <c r="D378" s="4">
        <v>356440</v>
      </c>
      <c r="E378" s="2">
        <v>322000</v>
      </c>
      <c r="F378" t="s">
        <v>19</v>
      </c>
      <c r="G378" t="s">
        <v>20</v>
      </c>
      <c r="H378">
        <v>3</v>
      </c>
      <c r="I378">
        <v>1</v>
      </c>
      <c r="J378">
        <v>995</v>
      </c>
      <c r="K378" s="5">
        <v>1.025033E-2</v>
      </c>
      <c r="L378" t="s">
        <v>21</v>
      </c>
      <c r="M378" s="4">
        <v>-34440</v>
      </c>
      <c r="N378" s="3">
        <v>323.61810000000003</v>
      </c>
      <c r="O378" t="s">
        <v>33</v>
      </c>
      <c r="P378" t="s">
        <v>24</v>
      </c>
      <c r="Q378" t="s">
        <v>24</v>
      </c>
      <c r="R378" t="s">
        <v>41</v>
      </c>
      <c r="S378">
        <v>2</v>
      </c>
    </row>
    <row r="379" spans="1:19" x14ac:dyDescent="0.3">
      <c r="A379" s="1">
        <v>40594</v>
      </c>
      <c r="B379">
        <v>2011</v>
      </c>
      <c r="C379" t="s">
        <v>18</v>
      </c>
      <c r="D379" s="4">
        <v>113270</v>
      </c>
      <c r="E379" s="2">
        <v>53000</v>
      </c>
      <c r="F379" t="s">
        <v>19</v>
      </c>
      <c r="G379" t="s">
        <v>20</v>
      </c>
      <c r="H379">
        <v>3</v>
      </c>
      <c r="I379">
        <v>3</v>
      </c>
      <c r="J379">
        <v>1081</v>
      </c>
      <c r="K379" s="5">
        <v>1.025033E-2</v>
      </c>
      <c r="L379" t="s">
        <v>27</v>
      </c>
      <c r="M379" s="4">
        <v>-60270</v>
      </c>
      <c r="N379" s="3">
        <v>49.028700000000001</v>
      </c>
      <c r="O379" t="s">
        <v>33</v>
      </c>
      <c r="P379" t="s">
        <v>23</v>
      </c>
      <c r="Q379" t="s">
        <v>24</v>
      </c>
      <c r="R379" t="s">
        <v>41</v>
      </c>
      <c r="S379">
        <v>2</v>
      </c>
    </row>
    <row r="380" spans="1:19" x14ac:dyDescent="0.3">
      <c r="A380" s="1">
        <v>40597</v>
      </c>
      <c r="B380">
        <v>2011</v>
      </c>
      <c r="C380" t="s">
        <v>18</v>
      </c>
      <c r="D380" s="4">
        <v>126400</v>
      </c>
      <c r="E380" s="2">
        <v>199000</v>
      </c>
      <c r="F380" t="s">
        <v>36</v>
      </c>
      <c r="G380" t="s">
        <v>37</v>
      </c>
      <c r="H380">
        <v>6</v>
      </c>
      <c r="I380">
        <v>4</v>
      </c>
      <c r="J380">
        <v>1834</v>
      </c>
      <c r="K380" s="5">
        <v>1.025033E-2</v>
      </c>
      <c r="L380" t="s">
        <v>21</v>
      </c>
      <c r="M380" s="4">
        <v>72600</v>
      </c>
      <c r="N380" s="3">
        <v>108.506</v>
      </c>
      <c r="O380" t="s">
        <v>22</v>
      </c>
      <c r="P380" t="s">
        <v>23</v>
      </c>
      <c r="Q380" t="s">
        <v>34</v>
      </c>
      <c r="R380" t="s">
        <v>41</v>
      </c>
      <c r="S380">
        <v>2</v>
      </c>
    </row>
    <row r="381" spans="1:19" x14ac:dyDescent="0.3">
      <c r="A381" s="1">
        <v>40598</v>
      </c>
      <c r="B381">
        <v>2011</v>
      </c>
      <c r="C381" t="s">
        <v>18</v>
      </c>
      <c r="D381" s="4">
        <v>127530</v>
      </c>
      <c r="E381" s="2">
        <v>95000</v>
      </c>
      <c r="F381" t="s">
        <v>30</v>
      </c>
      <c r="G381" t="s">
        <v>31</v>
      </c>
      <c r="H381">
        <v>4</v>
      </c>
      <c r="I381">
        <v>3</v>
      </c>
      <c r="J381">
        <v>1424</v>
      </c>
      <c r="K381" s="5">
        <v>1.025033E-2</v>
      </c>
      <c r="L381" t="s">
        <v>32</v>
      </c>
      <c r="M381" s="4">
        <v>-32530</v>
      </c>
      <c r="N381" s="3">
        <v>66.713499999999996</v>
      </c>
      <c r="O381" t="s">
        <v>33</v>
      </c>
      <c r="P381" t="s">
        <v>23</v>
      </c>
      <c r="Q381" t="s">
        <v>34</v>
      </c>
      <c r="R381" t="s">
        <v>41</v>
      </c>
      <c r="S381">
        <v>2</v>
      </c>
    </row>
    <row r="382" spans="1:19" x14ac:dyDescent="0.3">
      <c r="A382" s="1">
        <v>40600</v>
      </c>
      <c r="B382">
        <v>2011</v>
      </c>
      <c r="C382" t="s">
        <v>40</v>
      </c>
      <c r="D382" s="4">
        <v>444584.20699999999</v>
      </c>
      <c r="E382" s="2">
        <v>170000</v>
      </c>
      <c r="F382" t="s">
        <v>19</v>
      </c>
      <c r="G382" t="s">
        <v>20</v>
      </c>
      <c r="H382">
        <v>3</v>
      </c>
      <c r="I382">
        <v>1</v>
      </c>
      <c r="J382">
        <v>920</v>
      </c>
      <c r="K382" s="5">
        <v>1.025033E-2</v>
      </c>
      <c r="L382" t="s">
        <v>32</v>
      </c>
      <c r="M382" s="4">
        <v>-274584.20699999999</v>
      </c>
      <c r="N382" s="3">
        <v>184.7826</v>
      </c>
      <c r="O382" t="s">
        <v>33</v>
      </c>
      <c r="P382" t="s">
        <v>23</v>
      </c>
      <c r="Q382" t="s">
        <v>24</v>
      </c>
      <c r="R382" t="s">
        <v>41</v>
      </c>
      <c r="S382">
        <v>2</v>
      </c>
    </row>
    <row r="383" spans="1:19" x14ac:dyDescent="0.3">
      <c r="A383" s="1">
        <v>40601</v>
      </c>
      <c r="B383">
        <v>2011</v>
      </c>
      <c r="C383" t="s">
        <v>18</v>
      </c>
      <c r="D383" s="4">
        <v>197110</v>
      </c>
      <c r="E383" s="2">
        <v>265000</v>
      </c>
      <c r="F383" t="s">
        <v>19</v>
      </c>
      <c r="G383" t="s">
        <v>20</v>
      </c>
      <c r="H383">
        <v>3</v>
      </c>
      <c r="I383">
        <v>2</v>
      </c>
      <c r="J383">
        <v>943</v>
      </c>
      <c r="K383" s="5">
        <v>1.025033E-2</v>
      </c>
      <c r="L383" t="s">
        <v>27</v>
      </c>
      <c r="M383" s="4">
        <v>67890</v>
      </c>
      <c r="N383" s="3">
        <v>281.01799999999997</v>
      </c>
      <c r="O383" t="s">
        <v>22</v>
      </c>
      <c r="P383" t="s">
        <v>24</v>
      </c>
      <c r="Q383" t="s">
        <v>24</v>
      </c>
      <c r="R383" t="s">
        <v>41</v>
      </c>
      <c r="S383">
        <v>2</v>
      </c>
    </row>
    <row r="384" spans="1:19" x14ac:dyDescent="0.3">
      <c r="A384" s="1">
        <v>40606</v>
      </c>
      <c r="B384">
        <v>2011</v>
      </c>
      <c r="C384" t="s">
        <v>56</v>
      </c>
      <c r="D384" s="4">
        <v>417240</v>
      </c>
      <c r="E384" s="2">
        <v>505000</v>
      </c>
      <c r="F384" t="s">
        <v>19</v>
      </c>
      <c r="G384" t="s">
        <v>20</v>
      </c>
      <c r="H384">
        <v>3</v>
      </c>
      <c r="I384">
        <v>3</v>
      </c>
      <c r="J384">
        <v>1111.6589814177564</v>
      </c>
      <c r="K384" s="5">
        <v>1.025033E-2</v>
      </c>
      <c r="L384" t="s">
        <v>21</v>
      </c>
      <c r="M384" s="4">
        <v>87760</v>
      </c>
      <c r="N384" s="3">
        <v>454.27600000000001</v>
      </c>
      <c r="O384" t="s">
        <v>22</v>
      </c>
      <c r="P384" t="s">
        <v>24</v>
      </c>
      <c r="Q384" t="s">
        <v>24</v>
      </c>
      <c r="R384" t="s">
        <v>44</v>
      </c>
      <c r="S384">
        <v>3</v>
      </c>
    </row>
    <row r="385" spans="1:19" x14ac:dyDescent="0.3">
      <c r="A385" s="1">
        <v>40607</v>
      </c>
      <c r="B385">
        <v>2011</v>
      </c>
      <c r="C385" t="s">
        <v>40</v>
      </c>
      <c r="D385" s="4">
        <v>444584.20699999999</v>
      </c>
      <c r="E385" s="2">
        <v>117200</v>
      </c>
      <c r="F385" t="s">
        <v>19</v>
      </c>
      <c r="G385" t="s">
        <v>20</v>
      </c>
      <c r="H385">
        <v>3</v>
      </c>
      <c r="I385">
        <v>1</v>
      </c>
      <c r="J385">
        <v>1111.6589814177564</v>
      </c>
      <c r="K385" s="5">
        <v>1.025033E-2</v>
      </c>
      <c r="L385" t="s">
        <v>21</v>
      </c>
      <c r="M385" s="4">
        <v>-327384.20699999999</v>
      </c>
      <c r="N385" s="3">
        <v>105.428</v>
      </c>
      <c r="O385" t="s">
        <v>33</v>
      </c>
      <c r="P385" t="s">
        <v>23</v>
      </c>
      <c r="Q385" t="s">
        <v>24</v>
      </c>
      <c r="R385" t="s">
        <v>44</v>
      </c>
      <c r="S385">
        <v>3</v>
      </c>
    </row>
    <row r="386" spans="1:19" x14ac:dyDescent="0.3">
      <c r="A386" s="1">
        <v>40608</v>
      </c>
      <c r="B386">
        <v>2011</v>
      </c>
      <c r="C386" t="s">
        <v>18</v>
      </c>
      <c r="D386" s="4">
        <v>129960</v>
      </c>
      <c r="E386" s="2">
        <v>158000</v>
      </c>
      <c r="F386" t="s">
        <v>19</v>
      </c>
      <c r="G386" t="s">
        <v>20</v>
      </c>
      <c r="H386">
        <v>3</v>
      </c>
      <c r="I386">
        <v>1</v>
      </c>
      <c r="J386">
        <v>905</v>
      </c>
      <c r="K386" s="5">
        <v>1.025033E-2</v>
      </c>
      <c r="L386" t="s">
        <v>27</v>
      </c>
      <c r="M386" s="4">
        <v>28040</v>
      </c>
      <c r="N386" s="3">
        <v>174.5856</v>
      </c>
      <c r="O386" t="s">
        <v>22</v>
      </c>
      <c r="P386" t="s">
        <v>23</v>
      </c>
      <c r="Q386" t="s">
        <v>24</v>
      </c>
      <c r="R386" t="s">
        <v>44</v>
      </c>
      <c r="S386">
        <v>3</v>
      </c>
    </row>
    <row r="387" spans="1:19" x14ac:dyDescent="0.3">
      <c r="A387" s="1">
        <v>40613</v>
      </c>
      <c r="B387">
        <v>2011</v>
      </c>
      <c r="C387" t="s">
        <v>35</v>
      </c>
      <c r="D387" s="4">
        <v>3611790</v>
      </c>
      <c r="E387" s="2">
        <v>6000000</v>
      </c>
      <c r="F387" t="s">
        <v>19</v>
      </c>
      <c r="G387" t="s">
        <v>20</v>
      </c>
      <c r="H387">
        <v>3</v>
      </c>
      <c r="I387">
        <v>1</v>
      </c>
      <c r="J387">
        <v>934</v>
      </c>
      <c r="K387" s="5">
        <v>1.025033E-2</v>
      </c>
      <c r="L387" t="s">
        <v>38</v>
      </c>
      <c r="M387" s="4">
        <v>2388210</v>
      </c>
      <c r="N387" s="3">
        <v>6423.9829</v>
      </c>
      <c r="O387" t="s">
        <v>22</v>
      </c>
      <c r="P387" t="s">
        <v>28</v>
      </c>
      <c r="Q387" t="s">
        <v>24</v>
      </c>
      <c r="R387" t="s">
        <v>44</v>
      </c>
      <c r="S387">
        <v>3</v>
      </c>
    </row>
    <row r="388" spans="1:19" x14ac:dyDescent="0.3">
      <c r="A388" s="1">
        <v>40615</v>
      </c>
      <c r="B388">
        <v>2011</v>
      </c>
      <c r="C388" t="s">
        <v>39</v>
      </c>
      <c r="D388" s="4">
        <v>304500</v>
      </c>
      <c r="E388" s="2">
        <v>399000</v>
      </c>
      <c r="F388" t="s">
        <v>19</v>
      </c>
      <c r="G388" t="s">
        <v>20</v>
      </c>
      <c r="H388">
        <v>3</v>
      </c>
      <c r="I388">
        <v>2</v>
      </c>
      <c r="J388">
        <v>1111.6589814177564</v>
      </c>
      <c r="K388" s="5">
        <v>1.025033E-2</v>
      </c>
      <c r="L388" t="s">
        <v>38</v>
      </c>
      <c r="M388" s="4">
        <v>94500</v>
      </c>
      <c r="N388" s="3">
        <v>358.923</v>
      </c>
      <c r="O388" t="s">
        <v>22</v>
      </c>
      <c r="P388" t="s">
        <v>24</v>
      </c>
      <c r="Q388" t="s">
        <v>24</v>
      </c>
      <c r="R388" t="s">
        <v>44</v>
      </c>
      <c r="S388">
        <v>3</v>
      </c>
    </row>
    <row r="389" spans="1:19" x14ac:dyDescent="0.3">
      <c r="A389" s="1">
        <v>40620</v>
      </c>
      <c r="B389">
        <v>2011</v>
      </c>
      <c r="C389" t="s">
        <v>18</v>
      </c>
      <c r="D389" s="4">
        <v>112850</v>
      </c>
      <c r="E389" s="2">
        <v>27900</v>
      </c>
      <c r="F389" t="s">
        <v>36</v>
      </c>
      <c r="G389" t="s">
        <v>37</v>
      </c>
      <c r="H389">
        <v>6</v>
      </c>
      <c r="I389">
        <v>6</v>
      </c>
      <c r="J389">
        <v>1836</v>
      </c>
      <c r="K389" s="5">
        <v>1.025033E-2</v>
      </c>
      <c r="L389" t="s">
        <v>27</v>
      </c>
      <c r="M389" s="4">
        <v>-84950</v>
      </c>
      <c r="N389" s="3">
        <v>15.196099999999999</v>
      </c>
      <c r="O389" t="s">
        <v>33</v>
      </c>
      <c r="P389" t="s">
        <v>23</v>
      </c>
      <c r="Q389" t="s">
        <v>34</v>
      </c>
      <c r="R389" t="s">
        <v>44</v>
      </c>
      <c r="S389">
        <v>3</v>
      </c>
    </row>
    <row r="390" spans="1:19" x14ac:dyDescent="0.3">
      <c r="A390" s="1">
        <v>40625</v>
      </c>
      <c r="B390">
        <v>2011</v>
      </c>
      <c r="C390" t="s">
        <v>52</v>
      </c>
      <c r="D390" s="4">
        <v>180500</v>
      </c>
      <c r="E390" s="2">
        <v>241500</v>
      </c>
      <c r="F390" t="s">
        <v>19</v>
      </c>
      <c r="G390" t="s">
        <v>20</v>
      </c>
      <c r="H390">
        <v>3</v>
      </c>
      <c r="I390">
        <v>3</v>
      </c>
      <c r="J390">
        <v>1061</v>
      </c>
      <c r="K390" s="5">
        <v>1.025033E-2</v>
      </c>
      <c r="L390" t="s">
        <v>27</v>
      </c>
      <c r="M390" s="4">
        <v>61000</v>
      </c>
      <c r="N390" s="3">
        <v>227.6155</v>
      </c>
      <c r="O390" t="s">
        <v>22</v>
      </c>
      <c r="P390" t="s">
        <v>24</v>
      </c>
      <c r="Q390" t="s">
        <v>24</v>
      </c>
      <c r="R390" t="s">
        <v>44</v>
      </c>
      <c r="S390">
        <v>3</v>
      </c>
    </row>
    <row r="391" spans="1:19" x14ac:dyDescent="0.3">
      <c r="A391" s="1">
        <v>40628</v>
      </c>
      <c r="B391">
        <v>2011</v>
      </c>
      <c r="C391" t="s">
        <v>40</v>
      </c>
      <c r="D391" s="4">
        <v>204200</v>
      </c>
      <c r="E391" s="2">
        <v>234000</v>
      </c>
      <c r="F391" t="s">
        <v>19</v>
      </c>
      <c r="G391" t="s">
        <v>20</v>
      </c>
      <c r="H391">
        <v>3</v>
      </c>
      <c r="I391">
        <v>2</v>
      </c>
      <c r="J391">
        <v>1021</v>
      </c>
      <c r="K391" s="5">
        <v>1.025033E-2</v>
      </c>
      <c r="L391" t="s">
        <v>38</v>
      </c>
      <c r="M391" s="4">
        <v>29800</v>
      </c>
      <c r="N391" s="3">
        <v>229.18709999999999</v>
      </c>
      <c r="O391" t="s">
        <v>22</v>
      </c>
      <c r="P391" t="s">
        <v>24</v>
      </c>
      <c r="Q391" t="s">
        <v>24</v>
      </c>
      <c r="R391" t="s">
        <v>44</v>
      </c>
      <c r="S391">
        <v>3</v>
      </c>
    </row>
    <row r="392" spans="1:19" x14ac:dyDescent="0.3">
      <c r="A392" s="1">
        <v>40632</v>
      </c>
      <c r="B392">
        <v>2011</v>
      </c>
      <c r="C392" t="s">
        <v>56</v>
      </c>
      <c r="D392" s="4">
        <v>334190</v>
      </c>
      <c r="E392" s="2">
        <v>170000</v>
      </c>
      <c r="F392" t="s">
        <v>19</v>
      </c>
      <c r="G392" t="s">
        <v>20</v>
      </c>
      <c r="H392">
        <v>3</v>
      </c>
      <c r="I392">
        <v>2</v>
      </c>
      <c r="J392">
        <v>948</v>
      </c>
      <c r="K392" s="5">
        <v>1.025033E-2</v>
      </c>
      <c r="L392" t="s">
        <v>38</v>
      </c>
      <c r="M392" s="4">
        <v>-164190</v>
      </c>
      <c r="N392" s="3">
        <v>179.32490000000001</v>
      </c>
      <c r="O392" t="s">
        <v>33</v>
      </c>
      <c r="P392" t="s">
        <v>23</v>
      </c>
      <c r="Q392" t="s">
        <v>24</v>
      </c>
      <c r="R392" t="s">
        <v>44</v>
      </c>
      <c r="S392">
        <v>3</v>
      </c>
    </row>
    <row r="393" spans="1:19" x14ac:dyDescent="0.3">
      <c r="A393" s="1">
        <v>40633</v>
      </c>
      <c r="B393">
        <v>2011</v>
      </c>
      <c r="C393" t="s">
        <v>18</v>
      </c>
      <c r="D393" s="4">
        <v>117860</v>
      </c>
      <c r="E393" s="2">
        <v>170000</v>
      </c>
      <c r="F393" t="s">
        <v>19</v>
      </c>
      <c r="G393" t="s">
        <v>20</v>
      </c>
      <c r="H393">
        <v>3</v>
      </c>
      <c r="I393">
        <v>3</v>
      </c>
      <c r="J393">
        <v>918</v>
      </c>
      <c r="K393" s="5">
        <v>1.025033E-2</v>
      </c>
      <c r="L393" t="s">
        <v>27</v>
      </c>
      <c r="M393" s="4">
        <v>52140</v>
      </c>
      <c r="N393" s="3">
        <v>185.18520000000001</v>
      </c>
      <c r="O393" t="s">
        <v>22</v>
      </c>
      <c r="P393" t="s">
        <v>23</v>
      </c>
      <c r="Q393" t="s">
        <v>24</v>
      </c>
      <c r="R393" t="s">
        <v>44</v>
      </c>
      <c r="S393">
        <v>3</v>
      </c>
    </row>
    <row r="394" spans="1:19" x14ac:dyDescent="0.3">
      <c r="A394" s="1">
        <v>40634</v>
      </c>
      <c r="B394">
        <v>2011</v>
      </c>
      <c r="C394" t="s">
        <v>18</v>
      </c>
      <c r="D394" s="4">
        <v>170560</v>
      </c>
      <c r="E394" s="2">
        <v>39500</v>
      </c>
      <c r="F394" t="s">
        <v>36</v>
      </c>
      <c r="G394" t="s">
        <v>37</v>
      </c>
      <c r="H394">
        <v>6</v>
      </c>
      <c r="I394">
        <v>4</v>
      </c>
      <c r="J394">
        <v>2177</v>
      </c>
      <c r="K394" s="5">
        <v>1.025033E-2</v>
      </c>
      <c r="L394" t="s">
        <v>32</v>
      </c>
      <c r="M394" s="4">
        <v>-131060</v>
      </c>
      <c r="N394" s="3">
        <v>18.144200000000001</v>
      </c>
      <c r="O394" t="s">
        <v>33</v>
      </c>
      <c r="P394" t="s">
        <v>23</v>
      </c>
      <c r="Q394" t="s">
        <v>34</v>
      </c>
      <c r="R394" t="s">
        <v>45</v>
      </c>
      <c r="S394">
        <v>4</v>
      </c>
    </row>
    <row r="395" spans="1:19" x14ac:dyDescent="0.3">
      <c r="A395" s="1">
        <v>40635</v>
      </c>
      <c r="B395">
        <v>2011</v>
      </c>
      <c r="C395" t="s">
        <v>52</v>
      </c>
      <c r="D395" s="4">
        <v>196100</v>
      </c>
      <c r="E395" s="2">
        <v>260000</v>
      </c>
      <c r="F395" t="s">
        <v>19</v>
      </c>
      <c r="G395" t="s">
        <v>20</v>
      </c>
      <c r="H395">
        <v>3</v>
      </c>
      <c r="I395">
        <v>1</v>
      </c>
      <c r="J395">
        <v>947</v>
      </c>
      <c r="K395" s="5">
        <v>1.025033E-2</v>
      </c>
      <c r="L395" t="s">
        <v>32</v>
      </c>
      <c r="M395" s="4">
        <v>63900</v>
      </c>
      <c r="N395" s="3">
        <v>274.55119999999999</v>
      </c>
      <c r="O395" t="s">
        <v>22</v>
      </c>
      <c r="P395" t="s">
        <v>24</v>
      </c>
      <c r="Q395" t="s">
        <v>24</v>
      </c>
      <c r="R395" t="s">
        <v>45</v>
      </c>
      <c r="S395">
        <v>4</v>
      </c>
    </row>
    <row r="396" spans="1:19" x14ac:dyDescent="0.3">
      <c r="A396" s="1">
        <v>40639</v>
      </c>
      <c r="B396">
        <v>2011</v>
      </c>
      <c r="C396" t="s">
        <v>56</v>
      </c>
      <c r="D396" s="4">
        <v>492850</v>
      </c>
      <c r="E396" s="2">
        <v>508500</v>
      </c>
      <c r="F396" t="s">
        <v>42</v>
      </c>
      <c r="G396" t="s">
        <v>43</v>
      </c>
      <c r="H396">
        <v>8</v>
      </c>
      <c r="I396">
        <v>6</v>
      </c>
      <c r="J396">
        <v>1111.6589814177564</v>
      </c>
      <c r="K396" s="5">
        <v>1.025033E-2</v>
      </c>
      <c r="L396" t="s">
        <v>21</v>
      </c>
      <c r="M396" s="4">
        <v>15650</v>
      </c>
      <c r="N396" s="3">
        <v>457.42450000000002</v>
      </c>
      <c r="O396" t="s">
        <v>22</v>
      </c>
      <c r="P396" t="s">
        <v>24</v>
      </c>
      <c r="Q396" t="s">
        <v>24</v>
      </c>
      <c r="R396" t="s">
        <v>45</v>
      </c>
      <c r="S396">
        <v>4</v>
      </c>
    </row>
    <row r="397" spans="1:19" x14ac:dyDescent="0.3">
      <c r="A397" s="1">
        <v>40641</v>
      </c>
      <c r="B397">
        <v>2011</v>
      </c>
      <c r="C397" t="s">
        <v>56</v>
      </c>
      <c r="D397" s="4">
        <v>398750</v>
      </c>
      <c r="E397" s="2">
        <v>340000</v>
      </c>
      <c r="F397" t="s">
        <v>30</v>
      </c>
      <c r="G397" t="s">
        <v>31</v>
      </c>
      <c r="H397">
        <v>4</v>
      </c>
      <c r="I397">
        <v>4</v>
      </c>
      <c r="J397">
        <v>1228</v>
      </c>
      <c r="K397" s="5">
        <v>1.025033E-2</v>
      </c>
      <c r="L397" t="s">
        <v>32</v>
      </c>
      <c r="M397" s="4">
        <v>-58750</v>
      </c>
      <c r="N397" s="3">
        <v>276.87299999999999</v>
      </c>
      <c r="O397" t="s">
        <v>33</v>
      </c>
      <c r="P397" t="s">
        <v>24</v>
      </c>
      <c r="Q397" t="s">
        <v>24</v>
      </c>
      <c r="R397" t="s">
        <v>45</v>
      </c>
      <c r="S397">
        <v>4</v>
      </c>
    </row>
    <row r="398" spans="1:19" x14ac:dyDescent="0.3">
      <c r="A398" s="1">
        <v>40646</v>
      </c>
      <c r="B398">
        <v>2011</v>
      </c>
      <c r="C398" t="s">
        <v>56</v>
      </c>
      <c r="D398" s="4">
        <v>279580</v>
      </c>
      <c r="E398" s="2">
        <v>147500</v>
      </c>
      <c r="F398" t="s">
        <v>19</v>
      </c>
      <c r="G398" t="s">
        <v>20</v>
      </c>
      <c r="H398">
        <v>3</v>
      </c>
      <c r="I398">
        <v>3</v>
      </c>
      <c r="J398">
        <v>1085</v>
      </c>
      <c r="K398" s="5">
        <v>1.025033E-2</v>
      </c>
      <c r="L398" t="s">
        <v>21</v>
      </c>
      <c r="M398" s="4">
        <v>-132080</v>
      </c>
      <c r="N398" s="3">
        <v>135.94470000000001</v>
      </c>
      <c r="O398" t="s">
        <v>33</v>
      </c>
      <c r="P398" t="s">
        <v>23</v>
      </c>
      <c r="Q398" t="s">
        <v>24</v>
      </c>
      <c r="R398" t="s">
        <v>45</v>
      </c>
      <c r="S398">
        <v>4</v>
      </c>
    </row>
    <row r="399" spans="1:19" x14ac:dyDescent="0.3">
      <c r="A399" s="1">
        <v>40649</v>
      </c>
      <c r="B399">
        <v>2011</v>
      </c>
      <c r="C399" t="s">
        <v>40</v>
      </c>
      <c r="D399" s="4">
        <v>93150</v>
      </c>
      <c r="E399" s="2">
        <v>58000</v>
      </c>
      <c r="F399" t="s">
        <v>19</v>
      </c>
      <c r="G399" t="s">
        <v>20</v>
      </c>
      <c r="H399">
        <v>3</v>
      </c>
      <c r="I399">
        <v>2</v>
      </c>
      <c r="J399">
        <v>1058</v>
      </c>
      <c r="K399" s="5">
        <v>1.025033E-2</v>
      </c>
      <c r="L399" t="s">
        <v>27</v>
      </c>
      <c r="M399" s="4">
        <v>-35150</v>
      </c>
      <c r="N399" s="3">
        <v>54.820399999999999</v>
      </c>
      <c r="O399" t="s">
        <v>33</v>
      </c>
      <c r="P399" t="s">
        <v>23</v>
      </c>
      <c r="Q399" t="s">
        <v>24</v>
      </c>
      <c r="R399" t="s">
        <v>45</v>
      </c>
      <c r="S399">
        <v>4</v>
      </c>
    </row>
    <row r="400" spans="1:19" x14ac:dyDescent="0.3">
      <c r="A400" s="1">
        <v>40650</v>
      </c>
      <c r="B400">
        <v>2011</v>
      </c>
      <c r="C400" t="s">
        <v>35</v>
      </c>
      <c r="D400" s="4">
        <v>2528400</v>
      </c>
      <c r="E400" s="2">
        <v>3000000</v>
      </c>
      <c r="F400" t="s">
        <v>19</v>
      </c>
      <c r="G400" t="s">
        <v>20</v>
      </c>
      <c r="H400">
        <v>3</v>
      </c>
      <c r="I400">
        <v>1</v>
      </c>
      <c r="J400">
        <v>1070</v>
      </c>
      <c r="K400" s="5">
        <v>1.025033E-2</v>
      </c>
      <c r="L400" t="s">
        <v>38</v>
      </c>
      <c r="M400" s="4">
        <v>471600</v>
      </c>
      <c r="N400" s="3">
        <v>2803.7383</v>
      </c>
      <c r="O400" t="s">
        <v>22</v>
      </c>
      <c r="P400" t="s">
        <v>28</v>
      </c>
      <c r="Q400" t="s">
        <v>24</v>
      </c>
      <c r="R400" t="s">
        <v>45</v>
      </c>
      <c r="S400">
        <v>4</v>
      </c>
    </row>
    <row r="401" spans="1:19" x14ac:dyDescent="0.3">
      <c r="A401" s="1">
        <v>40653</v>
      </c>
      <c r="B401">
        <v>2011</v>
      </c>
      <c r="C401" t="s">
        <v>18</v>
      </c>
      <c r="D401" s="4">
        <v>444584.20699999999</v>
      </c>
      <c r="E401" s="2">
        <v>20300</v>
      </c>
      <c r="F401" t="s">
        <v>19</v>
      </c>
      <c r="G401" t="s">
        <v>20</v>
      </c>
      <c r="H401">
        <v>3</v>
      </c>
      <c r="I401">
        <v>2</v>
      </c>
      <c r="J401">
        <v>938</v>
      </c>
      <c r="K401" s="5">
        <v>1.025033E-2</v>
      </c>
      <c r="L401" t="s">
        <v>38</v>
      </c>
      <c r="M401" s="4">
        <v>-424284.20699999999</v>
      </c>
      <c r="N401" s="3">
        <v>21.6418</v>
      </c>
      <c r="O401" t="s">
        <v>33</v>
      </c>
      <c r="P401" t="s">
        <v>23</v>
      </c>
      <c r="Q401" t="s">
        <v>24</v>
      </c>
      <c r="R401" t="s">
        <v>45</v>
      </c>
      <c r="S401">
        <v>4</v>
      </c>
    </row>
    <row r="402" spans="1:19" x14ac:dyDescent="0.3">
      <c r="A402" s="1">
        <v>40657</v>
      </c>
      <c r="B402">
        <v>2011</v>
      </c>
      <c r="C402" t="s">
        <v>35</v>
      </c>
      <c r="D402" s="4">
        <v>2133810</v>
      </c>
      <c r="E402" s="2">
        <v>1350000</v>
      </c>
      <c r="F402" t="s">
        <v>19</v>
      </c>
      <c r="G402" t="s">
        <v>20</v>
      </c>
      <c r="H402">
        <v>3</v>
      </c>
      <c r="I402">
        <v>2</v>
      </c>
      <c r="J402">
        <v>1060</v>
      </c>
      <c r="K402" s="5">
        <v>1.025033E-2</v>
      </c>
      <c r="L402" t="s">
        <v>21</v>
      </c>
      <c r="M402" s="4">
        <v>-783810</v>
      </c>
      <c r="N402" s="3">
        <v>1273.5849000000001</v>
      </c>
      <c r="O402" t="s">
        <v>33</v>
      </c>
      <c r="P402" t="s">
        <v>28</v>
      </c>
      <c r="Q402" t="s">
        <v>24</v>
      </c>
      <c r="R402" t="s">
        <v>45</v>
      </c>
      <c r="S402">
        <v>4</v>
      </c>
    </row>
    <row r="403" spans="1:19" x14ac:dyDescent="0.3">
      <c r="A403" s="1">
        <v>40660</v>
      </c>
      <c r="B403">
        <v>2011</v>
      </c>
      <c r="C403" t="s">
        <v>52</v>
      </c>
      <c r="D403" s="4">
        <v>154000</v>
      </c>
      <c r="E403" s="2">
        <v>213500</v>
      </c>
      <c r="F403" t="s">
        <v>19</v>
      </c>
      <c r="G403" t="s">
        <v>20</v>
      </c>
      <c r="H403">
        <v>3</v>
      </c>
      <c r="I403">
        <v>1</v>
      </c>
      <c r="J403">
        <v>963</v>
      </c>
      <c r="K403" s="5">
        <v>1.025033E-2</v>
      </c>
      <c r="L403" t="s">
        <v>27</v>
      </c>
      <c r="M403" s="4">
        <v>59500</v>
      </c>
      <c r="N403" s="3">
        <v>221.703</v>
      </c>
      <c r="O403" t="s">
        <v>22</v>
      </c>
      <c r="P403" t="s">
        <v>24</v>
      </c>
      <c r="Q403" t="s">
        <v>24</v>
      </c>
      <c r="R403" t="s">
        <v>45</v>
      </c>
      <c r="S403">
        <v>4</v>
      </c>
    </row>
    <row r="404" spans="1:19" x14ac:dyDescent="0.3">
      <c r="A404" s="1">
        <v>40661</v>
      </c>
      <c r="B404">
        <v>2011</v>
      </c>
      <c r="C404" t="s">
        <v>35</v>
      </c>
      <c r="D404" s="4">
        <v>1521380</v>
      </c>
      <c r="E404" s="2">
        <v>2415000</v>
      </c>
      <c r="F404" t="s">
        <v>19</v>
      </c>
      <c r="G404" t="s">
        <v>20</v>
      </c>
      <c r="H404">
        <v>3</v>
      </c>
      <c r="I404">
        <v>1</v>
      </c>
      <c r="J404">
        <v>907</v>
      </c>
      <c r="K404" s="5">
        <v>1.025033E-2</v>
      </c>
      <c r="L404" t="s">
        <v>27</v>
      </c>
      <c r="M404" s="4">
        <v>893620</v>
      </c>
      <c r="N404" s="3">
        <v>2662.6239999999998</v>
      </c>
      <c r="O404" t="s">
        <v>22</v>
      </c>
      <c r="P404" t="s">
        <v>28</v>
      </c>
      <c r="Q404" t="s">
        <v>24</v>
      </c>
      <c r="R404" t="s">
        <v>45</v>
      </c>
      <c r="S404">
        <v>4</v>
      </c>
    </row>
    <row r="405" spans="1:19" x14ac:dyDescent="0.3">
      <c r="A405" s="1">
        <v>40662</v>
      </c>
      <c r="B405">
        <v>2011</v>
      </c>
      <c r="C405" t="s">
        <v>40</v>
      </c>
      <c r="D405" s="4">
        <v>875080</v>
      </c>
      <c r="E405" s="2">
        <v>1110000</v>
      </c>
      <c r="F405" t="s">
        <v>19</v>
      </c>
      <c r="G405" t="s">
        <v>20</v>
      </c>
      <c r="H405">
        <v>3</v>
      </c>
      <c r="I405">
        <v>2</v>
      </c>
      <c r="J405">
        <v>933</v>
      </c>
      <c r="K405" s="5">
        <v>1.025033E-2</v>
      </c>
      <c r="L405" t="s">
        <v>21</v>
      </c>
      <c r="M405" s="4">
        <v>234920</v>
      </c>
      <c r="N405" s="3">
        <v>1189.7106000000001</v>
      </c>
      <c r="O405" t="s">
        <v>22</v>
      </c>
      <c r="P405" t="s">
        <v>28</v>
      </c>
      <c r="Q405" t="s">
        <v>24</v>
      </c>
      <c r="R405" t="s">
        <v>45</v>
      </c>
      <c r="S405">
        <v>4</v>
      </c>
    </row>
    <row r="406" spans="1:19" x14ac:dyDescent="0.3">
      <c r="A406" s="1">
        <v>40663</v>
      </c>
      <c r="B406">
        <v>2011</v>
      </c>
      <c r="C406" t="s">
        <v>52</v>
      </c>
      <c r="D406" s="4">
        <v>193900</v>
      </c>
      <c r="E406" s="2">
        <v>266000</v>
      </c>
      <c r="F406" t="s">
        <v>19</v>
      </c>
      <c r="G406" t="s">
        <v>20</v>
      </c>
      <c r="H406">
        <v>3</v>
      </c>
      <c r="I406">
        <v>1</v>
      </c>
      <c r="J406">
        <v>1029</v>
      </c>
      <c r="K406" s="5">
        <v>1.025033E-2</v>
      </c>
      <c r="L406" t="s">
        <v>27</v>
      </c>
      <c r="M406" s="4">
        <v>72100</v>
      </c>
      <c r="N406" s="3">
        <v>258.5034</v>
      </c>
      <c r="O406" t="s">
        <v>22</v>
      </c>
      <c r="P406" t="s">
        <v>24</v>
      </c>
      <c r="Q406" t="s">
        <v>24</v>
      </c>
      <c r="R406" t="s">
        <v>45</v>
      </c>
      <c r="S406">
        <v>4</v>
      </c>
    </row>
    <row r="407" spans="1:19" x14ac:dyDescent="0.3">
      <c r="A407" s="1">
        <v>40664</v>
      </c>
      <c r="B407">
        <v>2011</v>
      </c>
      <c r="C407" t="s">
        <v>35</v>
      </c>
      <c r="D407" s="4">
        <v>2254000</v>
      </c>
      <c r="E407" s="2">
        <v>3434510</v>
      </c>
      <c r="F407" t="s">
        <v>19</v>
      </c>
      <c r="G407" t="s">
        <v>20</v>
      </c>
      <c r="H407">
        <v>3</v>
      </c>
      <c r="I407">
        <v>1</v>
      </c>
      <c r="J407">
        <v>1088</v>
      </c>
      <c r="K407" s="5">
        <v>1.025033E-2</v>
      </c>
      <c r="L407" t="s">
        <v>21</v>
      </c>
      <c r="M407" s="4">
        <v>1180510</v>
      </c>
      <c r="N407" s="3">
        <v>3156.7188000000001</v>
      </c>
      <c r="O407" t="s">
        <v>22</v>
      </c>
      <c r="P407" t="s">
        <v>28</v>
      </c>
      <c r="Q407" t="s">
        <v>24</v>
      </c>
      <c r="R407" t="s">
        <v>47</v>
      </c>
      <c r="S407">
        <v>5</v>
      </c>
    </row>
    <row r="408" spans="1:19" x14ac:dyDescent="0.3">
      <c r="A408" s="1">
        <v>40667</v>
      </c>
      <c r="B408">
        <v>2011</v>
      </c>
      <c r="C408" t="s">
        <v>52</v>
      </c>
      <c r="D408" s="4">
        <v>234800</v>
      </c>
      <c r="E408" s="2">
        <v>316000</v>
      </c>
      <c r="F408" t="s">
        <v>19</v>
      </c>
      <c r="G408" t="s">
        <v>20</v>
      </c>
      <c r="H408">
        <v>3</v>
      </c>
      <c r="I408">
        <v>2</v>
      </c>
      <c r="J408">
        <v>1063</v>
      </c>
      <c r="K408" s="5">
        <v>1.025033E-2</v>
      </c>
      <c r="L408" t="s">
        <v>32</v>
      </c>
      <c r="M408" s="4">
        <v>81200</v>
      </c>
      <c r="N408" s="3">
        <v>297.27190000000002</v>
      </c>
      <c r="O408" t="s">
        <v>22</v>
      </c>
      <c r="P408" t="s">
        <v>24</v>
      </c>
      <c r="Q408" t="s">
        <v>24</v>
      </c>
      <c r="R408" t="s">
        <v>47</v>
      </c>
      <c r="S408">
        <v>5</v>
      </c>
    </row>
    <row r="409" spans="1:19" x14ac:dyDescent="0.3">
      <c r="A409" s="1">
        <v>40668</v>
      </c>
      <c r="B409">
        <v>2011</v>
      </c>
      <c r="C409" t="s">
        <v>18</v>
      </c>
      <c r="D409" s="4">
        <v>68710</v>
      </c>
      <c r="E409" s="2">
        <v>34900</v>
      </c>
      <c r="F409" t="s">
        <v>30</v>
      </c>
      <c r="G409" t="s">
        <v>31</v>
      </c>
      <c r="H409">
        <v>4</v>
      </c>
      <c r="I409">
        <v>2</v>
      </c>
      <c r="J409">
        <v>1240</v>
      </c>
      <c r="K409" s="5">
        <v>1.025033E-2</v>
      </c>
      <c r="L409" t="s">
        <v>38</v>
      </c>
      <c r="M409" s="4">
        <v>-33810</v>
      </c>
      <c r="N409" s="3">
        <v>28.145199999999999</v>
      </c>
      <c r="O409" t="s">
        <v>33</v>
      </c>
      <c r="P409" t="s">
        <v>23</v>
      </c>
      <c r="Q409" t="s">
        <v>24</v>
      </c>
      <c r="R409" t="s">
        <v>47</v>
      </c>
      <c r="S409">
        <v>5</v>
      </c>
    </row>
    <row r="410" spans="1:19" x14ac:dyDescent="0.3">
      <c r="A410" s="1">
        <v>40669</v>
      </c>
      <c r="B410">
        <v>2011</v>
      </c>
      <c r="C410" t="s">
        <v>40</v>
      </c>
      <c r="D410" s="4">
        <v>444584.20699999999</v>
      </c>
      <c r="E410" s="2">
        <v>193000</v>
      </c>
      <c r="F410" t="s">
        <v>30</v>
      </c>
      <c r="G410" t="s">
        <v>31</v>
      </c>
      <c r="H410">
        <v>4</v>
      </c>
      <c r="I410">
        <v>2</v>
      </c>
      <c r="J410">
        <v>1279</v>
      </c>
      <c r="K410" s="5">
        <v>1.025033E-2</v>
      </c>
      <c r="L410" t="s">
        <v>32</v>
      </c>
      <c r="M410" s="4">
        <v>-251584.20699999999</v>
      </c>
      <c r="N410" s="3">
        <v>150.8991</v>
      </c>
      <c r="O410" t="s">
        <v>33</v>
      </c>
      <c r="P410" t="s">
        <v>23</v>
      </c>
      <c r="Q410" t="s">
        <v>24</v>
      </c>
      <c r="R410" t="s">
        <v>47</v>
      </c>
      <c r="S410">
        <v>5</v>
      </c>
    </row>
    <row r="411" spans="1:19" x14ac:dyDescent="0.3">
      <c r="A411" s="1">
        <v>40670</v>
      </c>
      <c r="B411">
        <v>2011</v>
      </c>
      <c r="C411" t="s">
        <v>18</v>
      </c>
      <c r="D411" s="4">
        <v>184850</v>
      </c>
      <c r="E411" s="2">
        <v>195000</v>
      </c>
      <c r="F411" t="s">
        <v>19</v>
      </c>
      <c r="G411" t="s">
        <v>20</v>
      </c>
      <c r="H411">
        <v>3</v>
      </c>
      <c r="I411">
        <v>3</v>
      </c>
      <c r="J411">
        <v>1111.6589814177564</v>
      </c>
      <c r="K411" s="5">
        <v>1.025033E-2</v>
      </c>
      <c r="L411" t="s">
        <v>38</v>
      </c>
      <c r="M411" s="4">
        <v>10150</v>
      </c>
      <c r="N411" s="3">
        <v>175.4135</v>
      </c>
      <c r="O411" t="s">
        <v>22</v>
      </c>
      <c r="P411" t="s">
        <v>23</v>
      </c>
      <c r="Q411" t="s">
        <v>24</v>
      </c>
      <c r="R411" t="s">
        <v>47</v>
      </c>
      <c r="S411">
        <v>5</v>
      </c>
    </row>
    <row r="412" spans="1:19" x14ac:dyDescent="0.3">
      <c r="A412" s="1">
        <v>40671</v>
      </c>
      <c r="B412">
        <v>2011</v>
      </c>
      <c r="C412" t="s">
        <v>39</v>
      </c>
      <c r="D412" s="4">
        <v>290570</v>
      </c>
      <c r="E412" s="2">
        <v>310000</v>
      </c>
      <c r="F412" t="s">
        <v>19</v>
      </c>
      <c r="G412" t="s">
        <v>20</v>
      </c>
      <c r="H412">
        <v>3</v>
      </c>
      <c r="I412">
        <v>1</v>
      </c>
      <c r="J412">
        <v>960</v>
      </c>
      <c r="K412" s="5">
        <v>1.025033E-2</v>
      </c>
      <c r="L412" t="s">
        <v>32</v>
      </c>
      <c r="M412" s="4">
        <v>19430</v>
      </c>
      <c r="N412" s="3">
        <v>322.91669999999999</v>
      </c>
      <c r="O412" t="s">
        <v>22</v>
      </c>
      <c r="P412" t="s">
        <v>24</v>
      </c>
      <c r="Q412" t="s">
        <v>24</v>
      </c>
      <c r="R412" t="s">
        <v>47</v>
      </c>
      <c r="S412">
        <v>5</v>
      </c>
    </row>
    <row r="413" spans="1:19" x14ac:dyDescent="0.3">
      <c r="A413" s="1">
        <v>40674</v>
      </c>
      <c r="B413">
        <v>2011</v>
      </c>
      <c r="C413" t="s">
        <v>52</v>
      </c>
      <c r="D413" s="4">
        <v>251100</v>
      </c>
      <c r="E413" s="2">
        <v>450000</v>
      </c>
      <c r="F413" t="s">
        <v>19</v>
      </c>
      <c r="G413" t="s">
        <v>20</v>
      </c>
      <c r="H413">
        <v>3</v>
      </c>
      <c r="I413">
        <v>1</v>
      </c>
      <c r="J413">
        <v>1066</v>
      </c>
      <c r="K413" s="5">
        <v>1.025033E-2</v>
      </c>
      <c r="L413" t="s">
        <v>27</v>
      </c>
      <c r="M413" s="4">
        <v>198900</v>
      </c>
      <c r="N413" s="3">
        <v>422.1388</v>
      </c>
      <c r="O413" t="s">
        <v>22</v>
      </c>
      <c r="P413" t="s">
        <v>24</v>
      </c>
      <c r="Q413" t="s">
        <v>24</v>
      </c>
      <c r="R413" t="s">
        <v>47</v>
      </c>
      <c r="S413">
        <v>5</v>
      </c>
    </row>
    <row r="414" spans="1:19" x14ac:dyDescent="0.3">
      <c r="A414" s="1">
        <v>40678</v>
      </c>
      <c r="B414">
        <v>2011</v>
      </c>
      <c r="C414" t="s">
        <v>18</v>
      </c>
      <c r="D414" s="4">
        <v>96530</v>
      </c>
      <c r="E414" s="2">
        <v>75400</v>
      </c>
      <c r="F414" t="s">
        <v>19</v>
      </c>
      <c r="G414" t="s">
        <v>20</v>
      </c>
      <c r="H414">
        <v>3</v>
      </c>
      <c r="I414">
        <v>2</v>
      </c>
      <c r="J414">
        <v>1019</v>
      </c>
      <c r="K414" s="5">
        <v>1.025033E-2</v>
      </c>
      <c r="L414" t="s">
        <v>38</v>
      </c>
      <c r="M414" s="4">
        <v>-21130</v>
      </c>
      <c r="N414" s="3">
        <v>73.994100000000003</v>
      </c>
      <c r="O414" t="s">
        <v>33</v>
      </c>
      <c r="P414" t="s">
        <v>23</v>
      </c>
      <c r="Q414" t="s">
        <v>24</v>
      </c>
      <c r="R414" t="s">
        <v>47</v>
      </c>
      <c r="S414">
        <v>5</v>
      </c>
    </row>
    <row r="415" spans="1:19" x14ac:dyDescent="0.3">
      <c r="A415" s="1">
        <v>40681</v>
      </c>
      <c r="B415">
        <v>2011</v>
      </c>
      <c r="C415" t="s">
        <v>52</v>
      </c>
      <c r="D415" s="4">
        <v>231100</v>
      </c>
      <c r="E415" s="2">
        <v>322500</v>
      </c>
      <c r="F415" t="s">
        <v>19</v>
      </c>
      <c r="G415" t="s">
        <v>20</v>
      </c>
      <c r="H415">
        <v>3</v>
      </c>
      <c r="I415">
        <v>3</v>
      </c>
      <c r="J415">
        <v>1082</v>
      </c>
      <c r="K415" s="5">
        <v>1.025033E-2</v>
      </c>
      <c r="L415" t="s">
        <v>21</v>
      </c>
      <c r="M415" s="4">
        <v>91400</v>
      </c>
      <c r="N415" s="3">
        <v>298.0591</v>
      </c>
      <c r="O415" t="s">
        <v>22</v>
      </c>
      <c r="P415" t="s">
        <v>24</v>
      </c>
      <c r="Q415" t="s">
        <v>24</v>
      </c>
      <c r="R415" t="s">
        <v>47</v>
      </c>
      <c r="S415">
        <v>5</v>
      </c>
    </row>
    <row r="416" spans="1:19" x14ac:dyDescent="0.3">
      <c r="A416" s="1">
        <v>40683</v>
      </c>
      <c r="B416">
        <v>2011</v>
      </c>
      <c r="C416" t="s">
        <v>39</v>
      </c>
      <c r="D416" s="4">
        <v>242830</v>
      </c>
      <c r="E416" s="2">
        <v>249000</v>
      </c>
      <c r="F416" t="s">
        <v>19</v>
      </c>
      <c r="G416" t="s">
        <v>20</v>
      </c>
      <c r="H416">
        <v>3</v>
      </c>
      <c r="I416">
        <v>2</v>
      </c>
      <c r="J416">
        <v>1111.6589814177564</v>
      </c>
      <c r="K416" s="5">
        <v>1.025033E-2</v>
      </c>
      <c r="L416" t="s">
        <v>32</v>
      </c>
      <c r="M416" s="4">
        <v>6170</v>
      </c>
      <c r="N416" s="3">
        <v>223.9896</v>
      </c>
      <c r="O416" t="s">
        <v>22</v>
      </c>
      <c r="P416" t="s">
        <v>24</v>
      </c>
      <c r="Q416" t="s">
        <v>24</v>
      </c>
      <c r="R416" t="s">
        <v>47</v>
      </c>
      <c r="S416">
        <v>5</v>
      </c>
    </row>
    <row r="417" spans="1:19" x14ac:dyDescent="0.3">
      <c r="A417" s="1">
        <v>40684</v>
      </c>
      <c r="B417">
        <v>2011</v>
      </c>
      <c r="C417" t="s">
        <v>18</v>
      </c>
      <c r="D417" s="4">
        <v>167930</v>
      </c>
      <c r="E417" s="2">
        <v>160000</v>
      </c>
      <c r="F417" t="s">
        <v>19</v>
      </c>
      <c r="G417" t="s">
        <v>20</v>
      </c>
      <c r="H417">
        <v>3</v>
      </c>
      <c r="I417">
        <v>2</v>
      </c>
      <c r="J417">
        <v>939</v>
      </c>
      <c r="K417" s="5">
        <v>1.025033E-2</v>
      </c>
      <c r="L417" t="s">
        <v>38</v>
      </c>
      <c r="M417" s="4">
        <v>-7930</v>
      </c>
      <c r="N417" s="3">
        <v>170.39400000000001</v>
      </c>
      <c r="O417" t="s">
        <v>33</v>
      </c>
      <c r="P417" t="s">
        <v>23</v>
      </c>
      <c r="Q417" t="s">
        <v>24</v>
      </c>
      <c r="R417" t="s">
        <v>47</v>
      </c>
      <c r="S417">
        <v>5</v>
      </c>
    </row>
    <row r="418" spans="1:19" x14ac:dyDescent="0.3">
      <c r="A418" s="1">
        <v>40685</v>
      </c>
      <c r="B418">
        <v>2011</v>
      </c>
      <c r="C418" t="s">
        <v>18</v>
      </c>
      <c r="D418" s="4">
        <v>444584.20699999999</v>
      </c>
      <c r="E418" s="2">
        <v>95000</v>
      </c>
      <c r="F418" t="s">
        <v>19</v>
      </c>
      <c r="G418" t="s">
        <v>20</v>
      </c>
      <c r="H418">
        <v>3</v>
      </c>
      <c r="I418">
        <v>2</v>
      </c>
      <c r="J418">
        <v>1071</v>
      </c>
      <c r="K418" s="5">
        <v>1.025033E-2</v>
      </c>
      <c r="L418" t="s">
        <v>38</v>
      </c>
      <c r="M418" s="4">
        <v>-349584.20699999999</v>
      </c>
      <c r="N418" s="3">
        <v>88.702100000000002</v>
      </c>
      <c r="O418" t="s">
        <v>33</v>
      </c>
      <c r="P418" t="s">
        <v>23</v>
      </c>
      <c r="Q418" t="s">
        <v>24</v>
      </c>
      <c r="R418" t="s">
        <v>47</v>
      </c>
      <c r="S418">
        <v>5</v>
      </c>
    </row>
    <row r="419" spans="1:19" x14ac:dyDescent="0.3">
      <c r="A419" s="1">
        <v>40690</v>
      </c>
      <c r="B419">
        <v>2011</v>
      </c>
      <c r="C419" t="s">
        <v>35</v>
      </c>
      <c r="D419" s="4">
        <v>1413370</v>
      </c>
      <c r="E419" s="2">
        <v>2509500</v>
      </c>
      <c r="F419" t="s">
        <v>19</v>
      </c>
      <c r="G419" t="s">
        <v>20</v>
      </c>
      <c r="H419">
        <v>3</v>
      </c>
      <c r="I419">
        <v>1</v>
      </c>
      <c r="J419">
        <v>1094</v>
      </c>
      <c r="K419" s="5">
        <v>1.025033E-2</v>
      </c>
      <c r="L419" t="s">
        <v>27</v>
      </c>
      <c r="M419" s="4">
        <v>1096130</v>
      </c>
      <c r="N419" s="3">
        <v>2293.8757000000001</v>
      </c>
      <c r="O419" t="s">
        <v>22</v>
      </c>
      <c r="P419" t="s">
        <v>28</v>
      </c>
      <c r="Q419" t="s">
        <v>24</v>
      </c>
      <c r="R419" t="s">
        <v>47</v>
      </c>
      <c r="S419">
        <v>5</v>
      </c>
    </row>
    <row r="420" spans="1:19" x14ac:dyDescent="0.3">
      <c r="A420" s="1">
        <v>40692</v>
      </c>
      <c r="B420">
        <v>2011</v>
      </c>
      <c r="C420" t="s">
        <v>39</v>
      </c>
      <c r="D420" s="4">
        <v>339010</v>
      </c>
      <c r="E420" s="2">
        <v>546000</v>
      </c>
      <c r="F420" t="s">
        <v>19</v>
      </c>
      <c r="G420" t="s">
        <v>20</v>
      </c>
      <c r="H420">
        <v>3</v>
      </c>
      <c r="I420">
        <v>3</v>
      </c>
      <c r="J420">
        <v>1007</v>
      </c>
      <c r="K420" s="5">
        <v>1.025033E-2</v>
      </c>
      <c r="L420" t="s">
        <v>32</v>
      </c>
      <c r="M420" s="4">
        <v>206990</v>
      </c>
      <c r="N420" s="3">
        <v>542.20460000000003</v>
      </c>
      <c r="O420" t="s">
        <v>22</v>
      </c>
      <c r="P420" t="s">
        <v>24</v>
      </c>
      <c r="Q420" t="s">
        <v>24</v>
      </c>
      <c r="R420" t="s">
        <v>47</v>
      </c>
      <c r="S420">
        <v>5</v>
      </c>
    </row>
    <row r="421" spans="1:19" x14ac:dyDescent="0.3">
      <c r="A421" s="1">
        <v>40695</v>
      </c>
      <c r="B421">
        <v>2011</v>
      </c>
      <c r="C421" t="s">
        <v>18</v>
      </c>
      <c r="D421" s="4">
        <v>100170</v>
      </c>
      <c r="E421" s="2">
        <v>140000</v>
      </c>
      <c r="F421" t="s">
        <v>19</v>
      </c>
      <c r="G421" t="s">
        <v>20</v>
      </c>
      <c r="H421">
        <v>3</v>
      </c>
      <c r="I421">
        <v>1</v>
      </c>
      <c r="J421">
        <v>968</v>
      </c>
      <c r="K421" s="5">
        <v>1.025033E-2</v>
      </c>
      <c r="L421" t="s">
        <v>38</v>
      </c>
      <c r="M421" s="4">
        <v>39830</v>
      </c>
      <c r="N421" s="3">
        <v>144.62809999999999</v>
      </c>
      <c r="O421" t="s">
        <v>22</v>
      </c>
      <c r="P421" t="s">
        <v>23</v>
      </c>
      <c r="Q421" t="s">
        <v>24</v>
      </c>
      <c r="R421" t="s">
        <v>48</v>
      </c>
      <c r="S421">
        <v>6</v>
      </c>
    </row>
    <row r="422" spans="1:19" x14ac:dyDescent="0.3">
      <c r="A422" s="1">
        <v>40696</v>
      </c>
      <c r="B422">
        <v>2011</v>
      </c>
      <c r="C422" t="s">
        <v>35</v>
      </c>
      <c r="D422" s="4">
        <v>429310</v>
      </c>
      <c r="E422" s="2">
        <v>400000</v>
      </c>
      <c r="F422" t="s">
        <v>19</v>
      </c>
      <c r="G422" t="s">
        <v>20</v>
      </c>
      <c r="H422">
        <v>3</v>
      </c>
      <c r="I422">
        <v>1</v>
      </c>
      <c r="J422">
        <v>1015</v>
      </c>
      <c r="K422" s="5">
        <v>1.025033E-2</v>
      </c>
      <c r="L422" t="s">
        <v>38</v>
      </c>
      <c r="M422" s="4">
        <v>-29310</v>
      </c>
      <c r="N422" s="3">
        <v>394.08870000000002</v>
      </c>
      <c r="O422" t="s">
        <v>33</v>
      </c>
      <c r="P422" t="s">
        <v>24</v>
      </c>
      <c r="Q422" t="s">
        <v>24</v>
      </c>
      <c r="R422" t="s">
        <v>48</v>
      </c>
      <c r="S422">
        <v>6</v>
      </c>
    </row>
    <row r="423" spans="1:19" x14ac:dyDescent="0.3">
      <c r="A423" s="1">
        <v>40697</v>
      </c>
      <c r="B423">
        <v>2011</v>
      </c>
      <c r="C423" t="s">
        <v>56</v>
      </c>
      <c r="D423" s="4">
        <v>1061150</v>
      </c>
      <c r="E423" s="2">
        <v>1075000</v>
      </c>
      <c r="F423" t="s">
        <v>19</v>
      </c>
      <c r="G423" t="s">
        <v>20</v>
      </c>
      <c r="H423">
        <v>3</v>
      </c>
      <c r="I423">
        <v>2</v>
      </c>
      <c r="J423">
        <v>911</v>
      </c>
      <c r="K423" s="5">
        <v>1.025033E-2</v>
      </c>
      <c r="L423" t="s">
        <v>27</v>
      </c>
      <c r="M423" s="4">
        <v>13850</v>
      </c>
      <c r="N423" s="3">
        <v>1180.0219999999999</v>
      </c>
      <c r="O423" t="s">
        <v>22</v>
      </c>
      <c r="P423" t="s">
        <v>28</v>
      </c>
      <c r="Q423" t="s">
        <v>24</v>
      </c>
      <c r="R423" t="s">
        <v>48</v>
      </c>
      <c r="S423">
        <v>6</v>
      </c>
    </row>
    <row r="424" spans="1:19" x14ac:dyDescent="0.3">
      <c r="A424" s="1">
        <v>40699</v>
      </c>
      <c r="B424">
        <v>2011</v>
      </c>
      <c r="C424" t="s">
        <v>39</v>
      </c>
      <c r="D424" s="4">
        <v>335300</v>
      </c>
      <c r="E424" s="2">
        <v>345000</v>
      </c>
      <c r="F424" t="s">
        <v>19</v>
      </c>
      <c r="G424" t="s">
        <v>20</v>
      </c>
      <c r="H424">
        <v>3</v>
      </c>
      <c r="I424">
        <v>3</v>
      </c>
      <c r="J424">
        <v>992</v>
      </c>
      <c r="K424" s="5">
        <v>1.025033E-2</v>
      </c>
      <c r="L424" t="s">
        <v>27</v>
      </c>
      <c r="M424" s="4">
        <v>9700</v>
      </c>
      <c r="N424" s="3">
        <v>347.78230000000002</v>
      </c>
      <c r="O424" t="s">
        <v>22</v>
      </c>
      <c r="P424" t="s">
        <v>24</v>
      </c>
      <c r="Q424" t="s">
        <v>24</v>
      </c>
      <c r="R424" t="s">
        <v>48</v>
      </c>
      <c r="S424">
        <v>6</v>
      </c>
    </row>
    <row r="425" spans="1:19" x14ac:dyDescent="0.3">
      <c r="A425" s="1">
        <v>40702</v>
      </c>
      <c r="B425">
        <v>2011</v>
      </c>
      <c r="C425" t="s">
        <v>56</v>
      </c>
      <c r="D425" s="4">
        <v>312170</v>
      </c>
      <c r="E425" s="2">
        <v>320000</v>
      </c>
      <c r="F425" t="s">
        <v>30</v>
      </c>
      <c r="G425" t="s">
        <v>31</v>
      </c>
      <c r="H425">
        <v>4</v>
      </c>
      <c r="I425">
        <v>2</v>
      </c>
      <c r="J425">
        <v>1339</v>
      </c>
      <c r="K425" s="5">
        <v>1.025033E-2</v>
      </c>
      <c r="L425" t="s">
        <v>32</v>
      </c>
      <c r="M425" s="4">
        <v>7830</v>
      </c>
      <c r="N425" s="3">
        <v>238.98429999999999</v>
      </c>
      <c r="O425" t="s">
        <v>22</v>
      </c>
      <c r="P425" t="s">
        <v>24</v>
      </c>
      <c r="Q425" t="s">
        <v>34</v>
      </c>
      <c r="R425" t="s">
        <v>48</v>
      </c>
      <c r="S425">
        <v>6</v>
      </c>
    </row>
    <row r="426" spans="1:19" x14ac:dyDescent="0.3">
      <c r="A426" s="1">
        <v>40703</v>
      </c>
      <c r="B426">
        <v>2011</v>
      </c>
      <c r="C426" t="s">
        <v>18</v>
      </c>
      <c r="D426" s="4">
        <v>112030</v>
      </c>
      <c r="E426" s="2">
        <v>145950</v>
      </c>
      <c r="F426" t="s">
        <v>19</v>
      </c>
      <c r="G426" t="s">
        <v>20</v>
      </c>
      <c r="H426">
        <v>3</v>
      </c>
      <c r="I426">
        <v>3</v>
      </c>
      <c r="J426">
        <v>984</v>
      </c>
      <c r="K426" s="5">
        <v>1.025033E-2</v>
      </c>
      <c r="L426" t="s">
        <v>21</v>
      </c>
      <c r="M426" s="4">
        <v>33920</v>
      </c>
      <c r="N426" s="3">
        <v>148.32320000000001</v>
      </c>
      <c r="O426" t="s">
        <v>22</v>
      </c>
      <c r="P426" t="s">
        <v>23</v>
      </c>
      <c r="Q426" t="s">
        <v>24</v>
      </c>
      <c r="R426" t="s">
        <v>48</v>
      </c>
      <c r="S426">
        <v>6</v>
      </c>
    </row>
    <row r="427" spans="1:19" x14ac:dyDescent="0.3">
      <c r="A427" s="1">
        <v>40704</v>
      </c>
      <c r="B427">
        <v>2011</v>
      </c>
      <c r="C427" t="s">
        <v>18</v>
      </c>
      <c r="D427" s="4">
        <v>58270</v>
      </c>
      <c r="E427" s="2">
        <v>53000</v>
      </c>
      <c r="F427" t="s">
        <v>19</v>
      </c>
      <c r="G427" t="s">
        <v>20</v>
      </c>
      <c r="H427">
        <v>3</v>
      </c>
      <c r="I427">
        <v>2</v>
      </c>
      <c r="J427">
        <v>1111.6589814177564</v>
      </c>
      <c r="K427" s="5">
        <v>1.025033E-2</v>
      </c>
      <c r="L427" t="s">
        <v>27</v>
      </c>
      <c r="M427" s="4">
        <v>-5270</v>
      </c>
      <c r="N427" s="3">
        <v>47.676499999999997</v>
      </c>
      <c r="O427" t="s">
        <v>33</v>
      </c>
      <c r="P427" t="s">
        <v>23</v>
      </c>
      <c r="Q427" t="s">
        <v>24</v>
      </c>
      <c r="R427" t="s">
        <v>48</v>
      </c>
      <c r="S427">
        <v>6</v>
      </c>
    </row>
    <row r="428" spans="1:19" x14ac:dyDescent="0.3">
      <c r="A428" s="1">
        <v>40705</v>
      </c>
      <c r="B428">
        <v>2011</v>
      </c>
      <c r="C428" t="s">
        <v>56</v>
      </c>
      <c r="D428" s="4">
        <v>589320</v>
      </c>
      <c r="E428" s="2">
        <v>775000</v>
      </c>
      <c r="F428" t="s">
        <v>19</v>
      </c>
      <c r="G428" t="s">
        <v>20</v>
      </c>
      <c r="H428">
        <v>3</v>
      </c>
      <c r="I428">
        <v>2</v>
      </c>
      <c r="J428">
        <v>1111.6589814177564</v>
      </c>
      <c r="K428" s="5">
        <v>1.025033E-2</v>
      </c>
      <c r="L428" t="s">
        <v>32</v>
      </c>
      <c r="M428" s="4">
        <v>185680</v>
      </c>
      <c r="N428" s="3">
        <v>697.15620000000001</v>
      </c>
      <c r="O428" t="s">
        <v>22</v>
      </c>
      <c r="P428" t="s">
        <v>28</v>
      </c>
      <c r="Q428" t="s">
        <v>24</v>
      </c>
      <c r="R428" t="s">
        <v>48</v>
      </c>
      <c r="S428">
        <v>6</v>
      </c>
    </row>
    <row r="429" spans="1:19" x14ac:dyDescent="0.3">
      <c r="A429" s="1">
        <v>40706</v>
      </c>
      <c r="B429">
        <v>2011</v>
      </c>
      <c r="C429" t="s">
        <v>18</v>
      </c>
      <c r="D429" s="4">
        <v>96520</v>
      </c>
      <c r="E429" s="2">
        <v>24350</v>
      </c>
      <c r="F429" t="s">
        <v>19</v>
      </c>
      <c r="G429" t="s">
        <v>20</v>
      </c>
      <c r="H429">
        <v>3</v>
      </c>
      <c r="I429">
        <v>2</v>
      </c>
      <c r="J429">
        <v>953</v>
      </c>
      <c r="K429" s="5">
        <v>1.025033E-2</v>
      </c>
      <c r="L429" t="s">
        <v>38</v>
      </c>
      <c r="M429" s="4">
        <v>-72170</v>
      </c>
      <c r="N429" s="3">
        <v>25.550899999999999</v>
      </c>
      <c r="O429" t="s">
        <v>33</v>
      </c>
      <c r="P429" t="s">
        <v>23</v>
      </c>
      <c r="Q429" t="s">
        <v>24</v>
      </c>
      <c r="R429" t="s">
        <v>48</v>
      </c>
      <c r="S429">
        <v>6</v>
      </c>
    </row>
    <row r="430" spans="1:19" x14ac:dyDescent="0.3">
      <c r="A430" s="1">
        <v>40709</v>
      </c>
      <c r="B430">
        <v>2011</v>
      </c>
      <c r="C430" t="s">
        <v>52</v>
      </c>
      <c r="D430" s="4">
        <v>181500</v>
      </c>
      <c r="E430" s="2">
        <v>241000</v>
      </c>
      <c r="F430" t="s">
        <v>19</v>
      </c>
      <c r="G430" t="s">
        <v>20</v>
      </c>
      <c r="H430">
        <v>3</v>
      </c>
      <c r="I430">
        <v>1</v>
      </c>
      <c r="J430">
        <v>987</v>
      </c>
      <c r="K430" s="5">
        <v>1.025033E-2</v>
      </c>
      <c r="L430" t="s">
        <v>38</v>
      </c>
      <c r="M430" s="4">
        <v>59500</v>
      </c>
      <c r="N430" s="3">
        <v>244.17429999999999</v>
      </c>
      <c r="O430" t="s">
        <v>22</v>
      </c>
      <c r="P430" t="s">
        <v>24</v>
      </c>
      <c r="Q430" t="s">
        <v>24</v>
      </c>
      <c r="R430" t="s">
        <v>48</v>
      </c>
      <c r="S430">
        <v>6</v>
      </c>
    </row>
    <row r="431" spans="1:19" x14ac:dyDescent="0.3">
      <c r="A431" s="1">
        <v>40711</v>
      </c>
      <c r="B431">
        <v>2011</v>
      </c>
      <c r="C431" t="s">
        <v>40</v>
      </c>
      <c r="D431" s="4">
        <v>610480</v>
      </c>
      <c r="E431" s="2">
        <v>860000</v>
      </c>
      <c r="F431" t="s">
        <v>19</v>
      </c>
      <c r="G431" t="s">
        <v>20</v>
      </c>
      <c r="H431">
        <v>3</v>
      </c>
      <c r="I431">
        <v>1</v>
      </c>
      <c r="J431">
        <v>1111.6589814177564</v>
      </c>
      <c r="K431" s="5">
        <v>1.025033E-2</v>
      </c>
      <c r="L431" t="s">
        <v>27</v>
      </c>
      <c r="M431" s="4">
        <v>249520</v>
      </c>
      <c r="N431" s="3">
        <v>773.61850000000004</v>
      </c>
      <c r="O431" t="s">
        <v>22</v>
      </c>
      <c r="P431" t="s">
        <v>28</v>
      </c>
      <c r="Q431" t="s">
        <v>24</v>
      </c>
      <c r="R431" t="s">
        <v>48</v>
      </c>
      <c r="S431">
        <v>6</v>
      </c>
    </row>
    <row r="432" spans="1:19" x14ac:dyDescent="0.3">
      <c r="A432" s="1">
        <v>40712</v>
      </c>
      <c r="B432">
        <v>2011</v>
      </c>
      <c r="C432" t="s">
        <v>18</v>
      </c>
      <c r="D432" s="4">
        <v>87950</v>
      </c>
      <c r="E432" s="2">
        <v>15000</v>
      </c>
      <c r="F432" t="s">
        <v>30</v>
      </c>
      <c r="G432" t="s">
        <v>31</v>
      </c>
      <c r="H432">
        <v>4</v>
      </c>
      <c r="I432">
        <v>2</v>
      </c>
      <c r="J432">
        <v>1353</v>
      </c>
      <c r="K432" s="5">
        <v>1.025033E-2</v>
      </c>
      <c r="L432" t="s">
        <v>21</v>
      </c>
      <c r="M432" s="4">
        <v>-72950</v>
      </c>
      <c r="N432" s="3">
        <v>11.086499999999999</v>
      </c>
      <c r="O432" t="s">
        <v>33</v>
      </c>
      <c r="P432" t="s">
        <v>23</v>
      </c>
      <c r="Q432" t="s">
        <v>34</v>
      </c>
      <c r="R432" t="s">
        <v>48</v>
      </c>
      <c r="S432">
        <v>6</v>
      </c>
    </row>
    <row r="433" spans="1:19" x14ac:dyDescent="0.3">
      <c r="A433" s="1">
        <v>40713</v>
      </c>
      <c r="B433">
        <v>2011</v>
      </c>
      <c r="C433" t="s">
        <v>35</v>
      </c>
      <c r="D433" s="4">
        <v>1253980</v>
      </c>
      <c r="E433" s="2">
        <v>1485000</v>
      </c>
      <c r="F433" t="s">
        <v>19</v>
      </c>
      <c r="G433" t="s">
        <v>20</v>
      </c>
      <c r="H433">
        <v>3</v>
      </c>
      <c r="I433">
        <v>1</v>
      </c>
      <c r="J433">
        <v>1060</v>
      </c>
      <c r="K433" s="5">
        <v>1.025033E-2</v>
      </c>
      <c r="L433" t="s">
        <v>32</v>
      </c>
      <c r="M433" s="4">
        <v>231020</v>
      </c>
      <c r="N433" s="3">
        <v>1400.9434000000001</v>
      </c>
      <c r="O433" t="s">
        <v>22</v>
      </c>
      <c r="P433" t="s">
        <v>28</v>
      </c>
      <c r="Q433" t="s">
        <v>24</v>
      </c>
      <c r="R433" t="s">
        <v>48</v>
      </c>
      <c r="S433">
        <v>6</v>
      </c>
    </row>
    <row r="434" spans="1:19" x14ac:dyDescent="0.3">
      <c r="A434" s="1">
        <v>40716</v>
      </c>
      <c r="B434">
        <v>2011</v>
      </c>
      <c r="C434" t="s">
        <v>39</v>
      </c>
      <c r="D434" s="4">
        <v>587790</v>
      </c>
      <c r="E434" s="2">
        <v>507000</v>
      </c>
      <c r="F434" t="s">
        <v>19</v>
      </c>
      <c r="G434" t="s">
        <v>20</v>
      </c>
      <c r="H434">
        <v>3</v>
      </c>
      <c r="I434">
        <v>1</v>
      </c>
      <c r="J434">
        <v>1027</v>
      </c>
      <c r="K434" s="5">
        <v>1.025033E-2</v>
      </c>
      <c r="L434" t="s">
        <v>38</v>
      </c>
      <c r="M434" s="4">
        <v>-80790</v>
      </c>
      <c r="N434" s="3">
        <v>493.67090000000002</v>
      </c>
      <c r="O434" t="s">
        <v>33</v>
      </c>
      <c r="P434" t="s">
        <v>24</v>
      </c>
      <c r="Q434" t="s">
        <v>24</v>
      </c>
      <c r="R434" t="s">
        <v>48</v>
      </c>
      <c r="S434">
        <v>6</v>
      </c>
    </row>
    <row r="435" spans="1:19" x14ac:dyDescent="0.3">
      <c r="A435" s="1">
        <v>40717</v>
      </c>
      <c r="B435">
        <v>2011</v>
      </c>
      <c r="C435" t="s">
        <v>18</v>
      </c>
      <c r="D435" s="4">
        <v>119190</v>
      </c>
      <c r="E435" s="2">
        <v>150000</v>
      </c>
      <c r="F435" t="s">
        <v>19</v>
      </c>
      <c r="G435" t="s">
        <v>20</v>
      </c>
      <c r="H435">
        <v>3</v>
      </c>
      <c r="I435">
        <v>1</v>
      </c>
      <c r="J435">
        <v>1039</v>
      </c>
      <c r="K435" s="5">
        <v>1.025033E-2</v>
      </c>
      <c r="L435" t="s">
        <v>27</v>
      </c>
      <c r="M435" s="4">
        <v>30810</v>
      </c>
      <c r="N435" s="3">
        <v>144.36959999999999</v>
      </c>
      <c r="O435" t="s">
        <v>22</v>
      </c>
      <c r="P435" t="s">
        <v>23</v>
      </c>
      <c r="Q435" t="s">
        <v>24</v>
      </c>
      <c r="R435" t="s">
        <v>48</v>
      </c>
      <c r="S435">
        <v>6</v>
      </c>
    </row>
    <row r="436" spans="1:19" x14ac:dyDescent="0.3">
      <c r="A436" s="1">
        <v>40720</v>
      </c>
      <c r="B436">
        <v>2011</v>
      </c>
      <c r="C436" t="s">
        <v>39</v>
      </c>
      <c r="D436" s="4">
        <v>407190</v>
      </c>
      <c r="E436" s="2">
        <v>538500</v>
      </c>
      <c r="F436" t="s">
        <v>19</v>
      </c>
      <c r="G436" t="s">
        <v>20</v>
      </c>
      <c r="H436">
        <v>3</v>
      </c>
      <c r="I436">
        <v>3</v>
      </c>
      <c r="J436">
        <v>947</v>
      </c>
      <c r="K436" s="5">
        <v>1.025033E-2</v>
      </c>
      <c r="L436" t="s">
        <v>38</v>
      </c>
      <c r="M436" s="4">
        <v>131310</v>
      </c>
      <c r="N436" s="3">
        <v>568.63779999999997</v>
      </c>
      <c r="O436" t="s">
        <v>22</v>
      </c>
      <c r="P436" t="s">
        <v>24</v>
      </c>
      <c r="Q436" t="s">
        <v>24</v>
      </c>
      <c r="R436" t="s">
        <v>48</v>
      </c>
      <c r="S436">
        <v>6</v>
      </c>
    </row>
    <row r="437" spans="1:19" x14ac:dyDescent="0.3">
      <c r="A437" s="1">
        <v>40723</v>
      </c>
      <c r="B437">
        <v>2011</v>
      </c>
      <c r="C437" t="s">
        <v>39</v>
      </c>
      <c r="D437" s="4">
        <v>648340</v>
      </c>
      <c r="E437" s="2">
        <v>630000</v>
      </c>
      <c r="F437" t="s">
        <v>19</v>
      </c>
      <c r="G437" t="s">
        <v>20</v>
      </c>
      <c r="H437">
        <v>3</v>
      </c>
      <c r="I437">
        <v>3</v>
      </c>
      <c r="J437">
        <v>1052</v>
      </c>
      <c r="K437" s="5">
        <v>1.025033E-2</v>
      </c>
      <c r="L437" t="s">
        <v>38</v>
      </c>
      <c r="M437" s="4">
        <v>-18340</v>
      </c>
      <c r="N437" s="3">
        <v>598.85929999999996</v>
      </c>
      <c r="O437" t="s">
        <v>33</v>
      </c>
      <c r="P437" t="s">
        <v>28</v>
      </c>
      <c r="Q437" t="s">
        <v>24</v>
      </c>
      <c r="R437" t="s">
        <v>48</v>
      </c>
      <c r="S437">
        <v>6</v>
      </c>
    </row>
    <row r="438" spans="1:19" x14ac:dyDescent="0.3">
      <c r="A438" s="1">
        <v>40724</v>
      </c>
      <c r="B438">
        <v>2011</v>
      </c>
      <c r="C438" t="s">
        <v>18</v>
      </c>
      <c r="D438" s="4">
        <v>444584.20699999999</v>
      </c>
      <c r="E438" s="2">
        <v>70224</v>
      </c>
      <c r="F438" t="s">
        <v>30</v>
      </c>
      <c r="G438" t="s">
        <v>31</v>
      </c>
      <c r="H438">
        <v>4</v>
      </c>
      <c r="I438">
        <v>3</v>
      </c>
      <c r="J438">
        <v>1291</v>
      </c>
      <c r="K438" s="5">
        <v>1.025033E-2</v>
      </c>
      <c r="L438" t="s">
        <v>32</v>
      </c>
      <c r="M438" s="4">
        <v>-374360.20699999999</v>
      </c>
      <c r="N438" s="3">
        <v>54.395000000000003</v>
      </c>
      <c r="O438" t="s">
        <v>33</v>
      </c>
      <c r="P438" t="s">
        <v>23</v>
      </c>
      <c r="Q438" t="s">
        <v>24</v>
      </c>
      <c r="R438" t="s">
        <v>48</v>
      </c>
      <c r="S438">
        <v>6</v>
      </c>
    </row>
    <row r="439" spans="1:19" x14ac:dyDescent="0.3">
      <c r="A439" s="1">
        <v>40725</v>
      </c>
      <c r="B439">
        <v>2011</v>
      </c>
      <c r="C439" t="s">
        <v>56</v>
      </c>
      <c r="D439" s="4">
        <v>444584.20699999999</v>
      </c>
      <c r="E439" s="2">
        <v>750000</v>
      </c>
      <c r="F439" t="s">
        <v>19</v>
      </c>
      <c r="G439" t="s">
        <v>20</v>
      </c>
      <c r="H439">
        <v>3</v>
      </c>
      <c r="I439">
        <v>3</v>
      </c>
      <c r="J439">
        <v>916</v>
      </c>
      <c r="K439" s="5">
        <v>1.025033E-2</v>
      </c>
      <c r="L439" t="s">
        <v>27</v>
      </c>
      <c r="M439" s="4">
        <v>305415.79300000001</v>
      </c>
      <c r="N439" s="3">
        <v>818.77729999999997</v>
      </c>
      <c r="O439" t="s">
        <v>22</v>
      </c>
      <c r="P439" t="s">
        <v>28</v>
      </c>
      <c r="Q439" t="s">
        <v>24</v>
      </c>
      <c r="R439" t="s">
        <v>49</v>
      </c>
      <c r="S439">
        <v>7</v>
      </c>
    </row>
    <row r="440" spans="1:19" x14ac:dyDescent="0.3">
      <c r="A440" s="1">
        <v>40730</v>
      </c>
      <c r="B440">
        <v>2011</v>
      </c>
      <c r="C440" t="s">
        <v>40</v>
      </c>
      <c r="D440" s="4">
        <v>378570</v>
      </c>
      <c r="E440" s="2">
        <v>540000</v>
      </c>
      <c r="F440" t="s">
        <v>19</v>
      </c>
      <c r="G440" t="s">
        <v>20</v>
      </c>
      <c r="H440">
        <v>3</v>
      </c>
      <c r="I440">
        <v>1</v>
      </c>
      <c r="J440">
        <v>989</v>
      </c>
      <c r="K440" s="5">
        <v>1.025033E-2</v>
      </c>
      <c r="L440" t="s">
        <v>27</v>
      </c>
      <c r="M440" s="4">
        <v>161430</v>
      </c>
      <c r="N440" s="3">
        <v>546.00609999999995</v>
      </c>
      <c r="O440" t="s">
        <v>22</v>
      </c>
      <c r="P440" t="s">
        <v>24</v>
      </c>
      <c r="Q440" t="s">
        <v>24</v>
      </c>
      <c r="R440" t="s">
        <v>49</v>
      </c>
      <c r="S440">
        <v>7</v>
      </c>
    </row>
    <row r="441" spans="1:19" x14ac:dyDescent="0.3">
      <c r="A441" s="1">
        <v>40731</v>
      </c>
      <c r="B441">
        <v>2011</v>
      </c>
      <c r="C441" t="s">
        <v>35</v>
      </c>
      <c r="D441" s="4">
        <v>1899030</v>
      </c>
      <c r="E441" s="2">
        <v>1825000</v>
      </c>
      <c r="F441" t="s">
        <v>19</v>
      </c>
      <c r="G441" t="s">
        <v>20</v>
      </c>
      <c r="H441">
        <v>3</v>
      </c>
      <c r="I441">
        <v>1</v>
      </c>
      <c r="J441">
        <v>917</v>
      </c>
      <c r="K441" s="5">
        <v>1.025033E-2</v>
      </c>
      <c r="L441" t="s">
        <v>27</v>
      </c>
      <c r="M441" s="4">
        <v>-74030</v>
      </c>
      <c r="N441" s="3">
        <v>1990.1854000000001</v>
      </c>
      <c r="O441" t="s">
        <v>33</v>
      </c>
      <c r="P441" t="s">
        <v>28</v>
      </c>
      <c r="Q441" t="s">
        <v>24</v>
      </c>
      <c r="R441" t="s">
        <v>49</v>
      </c>
      <c r="S441">
        <v>7</v>
      </c>
    </row>
    <row r="442" spans="1:19" x14ac:dyDescent="0.3">
      <c r="A442" s="1">
        <v>40732</v>
      </c>
      <c r="B442">
        <v>2011</v>
      </c>
      <c r="C442" t="s">
        <v>18</v>
      </c>
      <c r="D442" s="4">
        <v>105940</v>
      </c>
      <c r="E442" s="2">
        <v>140000</v>
      </c>
      <c r="F442" t="s">
        <v>19</v>
      </c>
      <c r="G442" t="s">
        <v>20</v>
      </c>
      <c r="H442">
        <v>3</v>
      </c>
      <c r="I442">
        <v>3</v>
      </c>
      <c r="J442">
        <v>1014</v>
      </c>
      <c r="K442" s="5">
        <v>1.025033E-2</v>
      </c>
      <c r="L442" t="s">
        <v>21</v>
      </c>
      <c r="M442" s="4">
        <v>34060</v>
      </c>
      <c r="N442" s="3">
        <v>138.06710000000001</v>
      </c>
      <c r="O442" t="s">
        <v>22</v>
      </c>
      <c r="P442" t="s">
        <v>23</v>
      </c>
      <c r="Q442" t="s">
        <v>24</v>
      </c>
      <c r="R442" t="s">
        <v>49</v>
      </c>
      <c r="S442">
        <v>7</v>
      </c>
    </row>
    <row r="443" spans="1:19" x14ac:dyDescent="0.3">
      <c r="A443" s="1">
        <v>40733</v>
      </c>
      <c r="B443">
        <v>2011</v>
      </c>
      <c r="C443" t="s">
        <v>39</v>
      </c>
      <c r="D443" s="4">
        <v>422450</v>
      </c>
      <c r="E443" s="2">
        <v>540000</v>
      </c>
      <c r="F443" t="s">
        <v>19</v>
      </c>
      <c r="G443" t="s">
        <v>20</v>
      </c>
      <c r="H443">
        <v>3</v>
      </c>
      <c r="I443">
        <v>3</v>
      </c>
      <c r="J443">
        <v>1029</v>
      </c>
      <c r="K443" s="5">
        <v>1.025033E-2</v>
      </c>
      <c r="L443" t="s">
        <v>21</v>
      </c>
      <c r="M443" s="4">
        <v>117550</v>
      </c>
      <c r="N443" s="3">
        <v>524.78129999999999</v>
      </c>
      <c r="O443" t="s">
        <v>22</v>
      </c>
      <c r="P443" t="s">
        <v>24</v>
      </c>
      <c r="Q443" t="s">
        <v>24</v>
      </c>
      <c r="R443" t="s">
        <v>49</v>
      </c>
      <c r="S443">
        <v>7</v>
      </c>
    </row>
    <row r="444" spans="1:19" x14ac:dyDescent="0.3">
      <c r="A444" s="1">
        <v>40737</v>
      </c>
      <c r="B444">
        <v>2011</v>
      </c>
      <c r="C444" t="s">
        <v>52</v>
      </c>
      <c r="D444" s="4">
        <v>180400</v>
      </c>
      <c r="E444" s="2">
        <v>215000</v>
      </c>
      <c r="F444" t="s">
        <v>19</v>
      </c>
      <c r="G444" t="s">
        <v>20</v>
      </c>
      <c r="H444">
        <v>3</v>
      </c>
      <c r="I444">
        <v>1</v>
      </c>
      <c r="J444">
        <v>1065</v>
      </c>
      <c r="K444" s="5">
        <v>1.025033E-2</v>
      </c>
      <c r="L444" t="s">
        <v>38</v>
      </c>
      <c r="M444" s="4">
        <v>34600</v>
      </c>
      <c r="N444" s="3">
        <v>201.87790000000001</v>
      </c>
      <c r="O444" t="s">
        <v>22</v>
      </c>
      <c r="P444" t="s">
        <v>24</v>
      </c>
      <c r="Q444" t="s">
        <v>24</v>
      </c>
      <c r="R444" t="s">
        <v>49</v>
      </c>
      <c r="S444">
        <v>7</v>
      </c>
    </row>
    <row r="445" spans="1:19" x14ac:dyDescent="0.3">
      <c r="A445" s="1">
        <v>40738</v>
      </c>
      <c r="B445">
        <v>2011</v>
      </c>
      <c r="C445" t="s">
        <v>18</v>
      </c>
      <c r="D445" s="4">
        <v>100890</v>
      </c>
      <c r="E445" s="2">
        <v>20000</v>
      </c>
      <c r="F445" t="s">
        <v>30</v>
      </c>
      <c r="G445" t="s">
        <v>31</v>
      </c>
      <c r="H445">
        <v>4</v>
      </c>
      <c r="I445">
        <v>2</v>
      </c>
      <c r="J445">
        <v>1351</v>
      </c>
      <c r="K445" s="5">
        <v>1.025033E-2</v>
      </c>
      <c r="L445" t="s">
        <v>27</v>
      </c>
      <c r="M445" s="4">
        <v>-80890</v>
      </c>
      <c r="N445" s="3">
        <v>14.803800000000001</v>
      </c>
      <c r="O445" t="s">
        <v>33</v>
      </c>
      <c r="P445" t="s">
        <v>23</v>
      </c>
      <c r="Q445" t="s">
        <v>34</v>
      </c>
      <c r="R445" t="s">
        <v>49</v>
      </c>
      <c r="S445">
        <v>7</v>
      </c>
    </row>
    <row r="446" spans="1:19" x14ac:dyDescent="0.3">
      <c r="A446" s="1">
        <v>40739</v>
      </c>
      <c r="B446">
        <v>2011</v>
      </c>
      <c r="C446" t="s">
        <v>35</v>
      </c>
      <c r="D446" s="4">
        <v>444584.20699999999</v>
      </c>
      <c r="E446" s="2">
        <v>1685000</v>
      </c>
      <c r="F446" t="s">
        <v>19</v>
      </c>
      <c r="G446" t="s">
        <v>20</v>
      </c>
      <c r="H446">
        <v>3</v>
      </c>
      <c r="I446">
        <v>1</v>
      </c>
      <c r="J446">
        <v>920</v>
      </c>
      <c r="K446" s="5">
        <v>1.025033E-2</v>
      </c>
      <c r="L446" t="s">
        <v>21</v>
      </c>
      <c r="M446" s="4">
        <v>1240415.7930000001</v>
      </c>
      <c r="N446" s="3">
        <v>1831.5217</v>
      </c>
      <c r="O446" t="s">
        <v>22</v>
      </c>
      <c r="P446" t="s">
        <v>28</v>
      </c>
      <c r="Q446" t="s">
        <v>24</v>
      </c>
      <c r="R446" t="s">
        <v>49</v>
      </c>
      <c r="S446">
        <v>7</v>
      </c>
    </row>
    <row r="447" spans="1:19" x14ac:dyDescent="0.3">
      <c r="A447" s="1">
        <v>40746</v>
      </c>
      <c r="B447">
        <v>2011</v>
      </c>
      <c r="C447" t="s">
        <v>52</v>
      </c>
      <c r="D447" s="4">
        <v>247500</v>
      </c>
      <c r="E447" s="2">
        <v>334900</v>
      </c>
      <c r="F447" t="s">
        <v>30</v>
      </c>
      <c r="G447" t="s">
        <v>31</v>
      </c>
      <c r="H447">
        <v>4</v>
      </c>
      <c r="I447">
        <v>3</v>
      </c>
      <c r="J447">
        <v>1218</v>
      </c>
      <c r="K447" s="5">
        <v>1.025033E-2</v>
      </c>
      <c r="L447" t="s">
        <v>38</v>
      </c>
      <c r="M447" s="4">
        <v>87400</v>
      </c>
      <c r="N447" s="3">
        <v>274.95890000000003</v>
      </c>
      <c r="O447" t="s">
        <v>22</v>
      </c>
      <c r="P447" t="s">
        <v>24</v>
      </c>
      <c r="Q447" t="s">
        <v>24</v>
      </c>
      <c r="R447" t="s">
        <v>49</v>
      </c>
      <c r="S447">
        <v>7</v>
      </c>
    </row>
    <row r="448" spans="1:19" x14ac:dyDescent="0.3">
      <c r="A448" s="1">
        <v>40748</v>
      </c>
      <c r="B448">
        <v>2011</v>
      </c>
      <c r="C448" t="s">
        <v>35</v>
      </c>
      <c r="D448" s="4">
        <v>1253700</v>
      </c>
      <c r="E448" s="2">
        <v>1550000</v>
      </c>
      <c r="F448" t="s">
        <v>19</v>
      </c>
      <c r="G448" t="s">
        <v>20</v>
      </c>
      <c r="H448">
        <v>3</v>
      </c>
      <c r="I448">
        <v>1</v>
      </c>
      <c r="J448">
        <v>1013</v>
      </c>
      <c r="K448" s="5">
        <v>1.025033E-2</v>
      </c>
      <c r="L448" t="s">
        <v>32</v>
      </c>
      <c r="M448" s="4">
        <v>296300</v>
      </c>
      <c r="N448" s="3">
        <v>1530.1086</v>
      </c>
      <c r="O448" t="s">
        <v>22</v>
      </c>
      <c r="P448" t="s">
        <v>28</v>
      </c>
      <c r="Q448" t="s">
        <v>24</v>
      </c>
      <c r="R448" t="s">
        <v>49</v>
      </c>
      <c r="S448">
        <v>7</v>
      </c>
    </row>
    <row r="449" spans="1:19" x14ac:dyDescent="0.3">
      <c r="A449" s="1">
        <v>40751</v>
      </c>
      <c r="B449">
        <v>2011</v>
      </c>
      <c r="C449" t="s">
        <v>52</v>
      </c>
      <c r="D449" s="4">
        <v>444584.20699999999</v>
      </c>
      <c r="E449" s="2">
        <v>255000</v>
      </c>
      <c r="F449" t="s">
        <v>19</v>
      </c>
      <c r="G449" t="s">
        <v>20</v>
      </c>
      <c r="H449">
        <v>3</v>
      </c>
      <c r="I449">
        <v>1</v>
      </c>
      <c r="J449">
        <v>904</v>
      </c>
      <c r="K449" s="5">
        <v>1.025033E-2</v>
      </c>
      <c r="L449" t="s">
        <v>27</v>
      </c>
      <c r="M449" s="4">
        <v>-189584.20699999999</v>
      </c>
      <c r="N449" s="3">
        <v>282.07960000000003</v>
      </c>
      <c r="O449" t="s">
        <v>33</v>
      </c>
      <c r="P449" t="s">
        <v>24</v>
      </c>
      <c r="Q449" t="s">
        <v>24</v>
      </c>
      <c r="R449" t="s">
        <v>49</v>
      </c>
      <c r="S449">
        <v>7</v>
      </c>
    </row>
    <row r="450" spans="1:19" x14ac:dyDescent="0.3">
      <c r="A450" s="1">
        <v>40752</v>
      </c>
      <c r="B450">
        <v>2011</v>
      </c>
      <c r="C450" t="s">
        <v>40</v>
      </c>
      <c r="D450" s="4">
        <v>588500</v>
      </c>
      <c r="E450" s="2">
        <v>640000</v>
      </c>
      <c r="F450" t="s">
        <v>19</v>
      </c>
      <c r="G450" t="s">
        <v>20</v>
      </c>
      <c r="H450">
        <v>3</v>
      </c>
      <c r="I450">
        <v>1</v>
      </c>
      <c r="J450">
        <v>986</v>
      </c>
      <c r="K450" s="5">
        <v>1.025033E-2</v>
      </c>
      <c r="L450" t="s">
        <v>27</v>
      </c>
      <c r="M450" s="4">
        <v>51500</v>
      </c>
      <c r="N450" s="3">
        <v>649.08720000000005</v>
      </c>
      <c r="O450" t="s">
        <v>22</v>
      </c>
      <c r="P450" t="s">
        <v>28</v>
      </c>
      <c r="Q450" t="s">
        <v>24</v>
      </c>
      <c r="R450" t="s">
        <v>49</v>
      </c>
      <c r="S450">
        <v>7</v>
      </c>
    </row>
    <row r="451" spans="1:19" x14ac:dyDescent="0.3">
      <c r="A451" s="1">
        <v>40753</v>
      </c>
      <c r="B451">
        <v>2011</v>
      </c>
      <c r="C451" t="s">
        <v>35</v>
      </c>
      <c r="D451" s="4">
        <v>7756490</v>
      </c>
      <c r="E451" s="2">
        <v>7820000</v>
      </c>
      <c r="F451" t="s">
        <v>19</v>
      </c>
      <c r="G451" t="s">
        <v>20</v>
      </c>
      <c r="H451">
        <v>3</v>
      </c>
      <c r="I451">
        <v>1</v>
      </c>
      <c r="J451">
        <v>1072</v>
      </c>
      <c r="K451" s="5">
        <v>1.025033E-2</v>
      </c>
      <c r="L451" t="s">
        <v>21</v>
      </c>
      <c r="M451" s="4">
        <v>63510</v>
      </c>
      <c r="N451" s="3">
        <v>7294.7761</v>
      </c>
      <c r="O451" t="s">
        <v>22</v>
      </c>
      <c r="P451" t="s">
        <v>28</v>
      </c>
      <c r="Q451" t="s">
        <v>24</v>
      </c>
      <c r="R451" t="s">
        <v>49</v>
      </c>
      <c r="S451">
        <v>7</v>
      </c>
    </row>
    <row r="452" spans="1:19" x14ac:dyDescent="0.3">
      <c r="A452" s="1">
        <v>40754</v>
      </c>
      <c r="B452">
        <v>2011</v>
      </c>
      <c r="C452" t="s">
        <v>18</v>
      </c>
      <c r="D452" s="4">
        <v>140090</v>
      </c>
      <c r="E452" s="2">
        <v>184900</v>
      </c>
      <c r="F452" t="s">
        <v>19</v>
      </c>
      <c r="G452" t="s">
        <v>20</v>
      </c>
      <c r="H452">
        <v>3</v>
      </c>
      <c r="I452">
        <v>2</v>
      </c>
      <c r="J452">
        <v>1063</v>
      </c>
      <c r="K452" s="5">
        <v>1.025033E-2</v>
      </c>
      <c r="L452" t="s">
        <v>38</v>
      </c>
      <c r="M452" s="4">
        <v>44810</v>
      </c>
      <c r="N452" s="3">
        <v>173.9417</v>
      </c>
      <c r="O452" t="s">
        <v>22</v>
      </c>
      <c r="P452" t="s">
        <v>23</v>
      </c>
      <c r="Q452" t="s">
        <v>24</v>
      </c>
      <c r="R452" t="s">
        <v>49</v>
      </c>
      <c r="S452">
        <v>7</v>
      </c>
    </row>
    <row r="453" spans="1:19" x14ac:dyDescent="0.3">
      <c r="A453" s="1">
        <v>40755</v>
      </c>
      <c r="B453">
        <v>2011</v>
      </c>
      <c r="C453" t="s">
        <v>39</v>
      </c>
      <c r="D453" s="4">
        <v>511910</v>
      </c>
      <c r="E453" s="2">
        <v>700000</v>
      </c>
      <c r="F453" t="s">
        <v>19</v>
      </c>
      <c r="G453" t="s">
        <v>20</v>
      </c>
      <c r="H453">
        <v>3</v>
      </c>
      <c r="I453">
        <v>1</v>
      </c>
      <c r="J453">
        <v>952</v>
      </c>
      <c r="K453" s="5">
        <v>1.025033E-2</v>
      </c>
      <c r="L453" t="s">
        <v>32</v>
      </c>
      <c r="M453" s="4">
        <v>188090</v>
      </c>
      <c r="N453" s="3">
        <v>735.29409999999996</v>
      </c>
      <c r="O453" t="s">
        <v>22</v>
      </c>
      <c r="P453" t="s">
        <v>28</v>
      </c>
      <c r="Q453" t="s">
        <v>24</v>
      </c>
      <c r="R453" t="s">
        <v>49</v>
      </c>
      <c r="S453">
        <v>7</v>
      </c>
    </row>
    <row r="454" spans="1:19" x14ac:dyDescent="0.3">
      <c r="A454" s="1">
        <v>40759</v>
      </c>
      <c r="B454">
        <v>2011</v>
      </c>
      <c r="C454" t="s">
        <v>18</v>
      </c>
      <c r="D454" s="4">
        <v>96360</v>
      </c>
      <c r="E454" s="2">
        <v>121000</v>
      </c>
      <c r="F454" t="s">
        <v>19</v>
      </c>
      <c r="G454" t="s">
        <v>20</v>
      </c>
      <c r="H454">
        <v>3</v>
      </c>
      <c r="I454">
        <v>2</v>
      </c>
      <c r="J454">
        <v>1009</v>
      </c>
      <c r="K454" s="5">
        <v>1.025033E-2</v>
      </c>
      <c r="L454" t="s">
        <v>21</v>
      </c>
      <c r="M454" s="4">
        <v>24640</v>
      </c>
      <c r="N454" s="3">
        <v>119.9207</v>
      </c>
      <c r="O454" t="s">
        <v>22</v>
      </c>
      <c r="P454" t="s">
        <v>23</v>
      </c>
      <c r="Q454" t="s">
        <v>24</v>
      </c>
      <c r="R454" t="s">
        <v>50</v>
      </c>
      <c r="S454">
        <v>8</v>
      </c>
    </row>
    <row r="455" spans="1:19" x14ac:dyDescent="0.3">
      <c r="A455" s="1">
        <v>40760</v>
      </c>
      <c r="B455">
        <v>2011</v>
      </c>
      <c r="C455" t="s">
        <v>40</v>
      </c>
      <c r="D455" s="4">
        <v>277420</v>
      </c>
      <c r="E455" s="2">
        <v>385000</v>
      </c>
      <c r="F455" t="s">
        <v>19</v>
      </c>
      <c r="G455" t="s">
        <v>20</v>
      </c>
      <c r="H455">
        <v>3</v>
      </c>
      <c r="I455">
        <v>2</v>
      </c>
      <c r="J455">
        <v>1004</v>
      </c>
      <c r="K455" s="5">
        <v>1.025033E-2</v>
      </c>
      <c r="L455" t="s">
        <v>38</v>
      </c>
      <c r="M455" s="4">
        <v>107580</v>
      </c>
      <c r="N455" s="3">
        <v>383.46609999999998</v>
      </c>
      <c r="O455" t="s">
        <v>22</v>
      </c>
      <c r="P455" t="s">
        <v>24</v>
      </c>
      <c r="Q455" t="s">
        <v>24</v>
      </c>
      <c r="R455" t="s">
        <v>50</v>
      </c>
      <c r="S455">
        <v>8</v>
      </c>
    </row>
    <row r="456" spans="1:19" x14ac:dyDescent="0.3">
      <c r="A456" s="1">
        <v>40761</v>
      </c>
      <c r="B456">
        <v>2011</v>
      </c>
      <c r="C456" t="s">
        <v>18</v>
      </c>
      <c r="D456" s="4">
        <v>86370</v>
      </c>
      <c r="E456" s="2">
        <v>28000</v>
      </c>
      <c r="F456" t="s">
        <v>30</v>
      </c>
      <c r="G456" t="s">
        <v>31</v>
      </c>
      <c r="H456">
        <v>4</v>
      </c>
      <c r="I456">
        <v>4</v>
      </c>
      <c r="J456">
        <v>1111.6589814177564</v>
      </c>
      <c r="K456" s="5">
        <v>1.025033E-2</v>
      </c>
      <c r="L456" t="s">
        <v>38</v>
      </c>
      <c r="M456" s="4">
        <v>-58370</v>
      </c>
      <c r="N456" s="3">
        <v>25.1876</v>
      </c>
      <c r="O456" t="s">
        <v>33</v>
      </c>
      <c r="P456" t="s">
        <v>23</v>
      </c>
      <c r="Q456" t="s">
        <v>24</v>
      </c>
      <c r="R456" t="s">
        <v>50</v>
      </c>
      <c r="S456">
        <v>8</v>
      </c>
    </row>
    <row r="457" spans="1:19" x14ac:dyDescent="0.3">
      <c r="A457" s="1">
        <v>40765</v>
      </c>
      <c r="B457">
        <v>2011</v>
      </c>
      <c r="C457" t="s">
        <v>40</v>
      </c>
      <c r="D457" s="4">
        <v>71760</v>
      </c>
      <c r="E457" s="2">
        <v>95275</v>
      </c>
      <c r="F457" t="s">
        <v>19</v>
      </c>
      <c r="G457" t="s">
        <v>20</v>
      </c>
      <c r="H457">
        <v>3</v>
      </c>
      <c r="I457">
        <v>3</v>
      </c>
      <c r="J457">
        <v>1040</v>
      </c>
      <c r="K457" s="5">
        <v>1.025033E-2</v>
      </c>
      <c r="L457" t="s">
        <v>27</v>
      </c>
      <c r="M457" s="4">
        <v>23515</v>
      </c>
      <c r="N457" s="3">
        <v>91.610600000000005</v>
      </c>
      <c r="O457" t="s">
        <v>22</v>
      </c>
      <c r="P457" t="s">
        <v>23</v>
      </c>
      <c r="Q457" t="s">
        <v>24</v>
      </c>
      <c r="R457" t="s">
        <v>50</v>
      </c>
      <c r="S457">
        <v>8</v>
      </c>
    </row>
    <row r="458" spans="1:19" x14ac:dyDescent="0.3">
      <c r="A458" s="1">
        <v>40766</v>
      </c>
      <c r="B458">
        <v>2011</v>
      </c>
      <c r="C458" t="s">
        <v>40</v>
      </c>
      <c r="D458" s="4">
        <v>125350</v>
      </c>
      <c r="E458" s="2">
        <v>167500</v>
      </c>
      <c r="F458" t="s">
        <v>30</v>
      </c>
      <c r="G458" t="s">
        <v>31</v>
      </c>
      <c r="H458">
        <v>4</v>
      </c>
      <c r="I458">
        <v>3</v>
      </c>
      <c r="J458">
        <v>1111.6589814177564</v>
      </c>
      <c r="K458" s="5">
        <v>1.025033E-2</v>
      </c>
      <c r="L458" t="s">
        <v>38</v>
      </c>
      <c r="M458" s="4">
        <v>42150</v>
      </c>
      <c r="N458" s="3">
        <v>150.67570000000001</v>
      </c>
      <c r="O458" t="s">
        <v>22</v>
      </c>
      <c r="P458" t="s">
        <v>23</v>
      </c>
      <c r="Q458" t="s">
        <v>24</v>
      </c>
      <c r="R458" t="s">
        <v>50</v>
      </c>
      <c r="S458">
        <v>8</v>
      </c>
    </row>
    <row r="459" spans="1:19" x14ac:dyDescent="0.3">
      <c r="A459" s="1">
        <v>40767</v>
      </c>
      <c r="B459">
        <v>2011</v>
      </c>
      <c r="C459" t="s">
        <v>39</v>
      </c>
      <c r="D459" s="4">
        <v>448280</v>
      </c>
      <c r="E459" s="2">
        <v>590000</v>
      </c>
      <c r="F459" t="s">
        <v>19</v>
      </c>
      <c r="G459" t="s">
        <v>20</v>
      </c>
      <c r="H459">
        <v>3</v>
      </c>
      <c r="I459">
        <v>2</v>
      </c>
      <c r="J459">
        <v>1038</v>
      </c>
      <c r="K459" s="5">
        <v>1.025033E-2</v>
      </c>
      <c r="L459" t="s">
        <v>38</v>
      </c>
      <c r="M459" s="4">
        <v>141720</v>
      </c>
      <c r="N459" s="3">
        <v>568.4008</v>
      </c>
      <c r="O459" t="s">
        <v>22</v>
      </c>
      <c r="P459" t="s">
        <v>24</v>
      </c>
      <c r="Q459" t="s">
        <v>24</v>
      </c>
      <c r="R459" t="s">
        <v>50</v>
      </c>
      <c r="S459">
        <v>8</v>
      </c>
    </row>
    <row r="460" spans="1:19" x14ac:dyDescent="0.3">
      <c r="A460" s="1">
        <v>40768</v>
      </c>
      <c r="B460">
        <v>2011</v>
      </c>
      <c r="C460" t="s">
        <v>35</v>
      </c>
      <c r="D460" s="4">
        <v>321650</v>
      </c>
      <c r="E460" s="2">
        <v>568400</v>
      </c>
      <c r="F460" t="s">
        <v>19</v>
      </c>
      <c r="G460" t="s">
        <v>20</v>
      </c>
      <c r="H460">
        <v>3</v>
      </c>
      <c r="I460">
        <v>2</v>
      </c>
      <c r="J460">
        <v>955</v>
      </c>
      <c r="K460" s="5">
        <v>1.025033E-2</v>
      </c>
      <c r="L460" t="s">
        <v>32</v>
      </c>
      <c r="M460" s="4">
        <v>246750</v>
      </c>
      <c r="N460" s="3">
        <v>595.18320000000006</v>
      </c>
      <c r="O460" t="s">
        <v>22</v>
      </c>
      <c r="P460" t="s">
        <v>24</v>
      </c>
      <c r="Q460" t="s">
        <v>24</v>
      </c>
      <c r="R460" t="s">
        <v>50</v>
      </c>
      <c r="S460">
        <v>8</v>
      </c>
    </row>
    <row r="461" spans="1:19" x14ac:dyDescent="0.3">
      <c r="A461" s="1">
        <v>40773</v>
      </c>
      <c r="B461">
        <v>2011</v>
      </c>
      <c r="C461" t="s">
        <v>56</v>
      </c>
      <c r="D461" s="4">
        <v>641950</v>
      </c>
      <c r="E461" s="2">
        <v>795000</v>
      </c>
      <c r="F461" t="s">
        <v>19</v>
      </c>
      <c r="G461" t="s">
        <v>20</v>
      </c>
      <c r="H461">
        <v>3</v>
      </c>
      <c r="I461">
        <v>1</v>
      </c>
      <c r="J461">
        <v>1111.6589814177564</v>
      </c>
      <c r="K461" s="5">
        <v>1.025033E-2</v>
      </c>
      <c r="L461" t="s">
        <v>21</v>
      </c>
      <c r="M461" s="4">
        <v>153050</v>
      </c>
      <c r="N461" s="3">
        <v>715.14739999999995</v>
      </c>
      <c r="O461" t="s">
        <v>22</v>
      </c>
      <c r="P461" t="s">
        <v>28</v>
      </c>
      <c r="Q461" t="s">
        <v>24</v>
      </c>
      <c r="R461" t="s">
        <v>50</v>
      </c>
      <c r="S461">
        <v>8</v>
      </c>
    </row>
    <row r="462" spans="1:19" x14ac:dyDescent="0.3">
      <c r="A462" s="1">
        <v>40774</v>
      </c>
      <c r="B462">
        <v>2011</v>
      </c>
      <c r="C462" t="s">
        <v>35</v>
      </c>
      <c r="D462" s="4">
        <v>1267280</v>
      </c>
      <c r="E462" s="2">
        <v>2260000</v>
      </c>
      <c r="F462" t="s">
        <v>19</v>
      </c>
      <c r="G462" t="s">
        <v>20</v>
      </c>
      <c r="H462">
        <v>3</v>
      </c>
      <c r="I462">
        <v>2</v>
      </c>
      <c r="J462">
        <v>910</v>
      </c>
      <c r="K462" s="5">
        <v>1.025033E-2</v>
      </c>
      <c r="L462" t="s">
        <v>21</v>
      </c>
      <c r="M462" s="4">
        <v>992720</v>
      </c>
      <c r="N462" s="3">
        <v>2483.5165000000002</v>
      </c>
      <c r="O462" t="s">
        <v>22</v>
      </c>
      <c r="P462" t="s">
        <v>28</v>
      </c>
      <c r="Q462" t="s">
        <v>24</v>
      </c>
      <c r="R462" t="s">
        <v>50</v>
      </c>
      <c r="S462">
        <v>8</v>
      </c>
    </row>
    <row r="463" spans="1:19" x14ac:dyDescent="0.3">
      <c r="A463" s="1">
        <v>40776</v>
      </c>
      <c r="B463">
        <v>2011</v>
      </c>
      <c r="C463" t="s">
        <v>18</v>
      </c>
      <c r="D463" s="4">
        <v>167260</v>
      </c>
      <c r="E463" s="2">
        <v>145000</v>
      </c>
      <c r="F463" t="s">
        <v>19</v>
      </c>
      <c r="G463" t="s">
        <v>20</v>
      </c>
      <c r="H463">
        <v>3</v>
      </c>
      <c r="I463">
        <v>1</v>
      </c>
      <c r="J463">
        <v>998</v>
      </c>
      <c r="K463" s="5">
        <v>1.025033E-2</v>
      </c>
      <c r="L463" t="s">
        <v>38</v>
      </c>
      <c r="M463" s="4">
        <v>-22260</v>
      </c>
      <c r="N463" s="3">
        <v>145.29060000000001</v>
      </c>
      <c r="O463" t="s">
        <v>33</v>
      </c>
      <c r="P463" t="s">
        <v>23</v>
      </c>
      <c r="Q463" t="s">
        <v>24</v>
      </c>
      <c r="R463" t="s">
        <v>50</v>
      </c>
      <c r="S463">
        <v>8</v>
      </c>
    </row>
    <row r="464" spans="1:19" x14ac:dyDescent="0.3">
      <c r="A464" s="1">
        <v>40779</v>
      </c>
      <c r="B464">
        <v>2011</v>
      </c>
      <c r="C464" t="s">
        <v>39</v>
      </c>
      <c r="D464" s="4">
        <v>446320</v>
      </c>
      <c r="E464" s="2">
        <v>467500</v>
      </c>
      <c r="F464" t="s">
        <v>19</v>
      </c>
      <c r="G464" t="s">
        <v>20</v>
      </c>
      <c r="H464">
        <v>3</v>
      </c>
      <c r="I464">
        <v>2</v>
      </c>
      <c r="J464">
        <v>921</v>
      </c>
      <c r="K464" s="5">
        <v>1.025033E-2</v>
      </c>
      <c r="L464" t="s">
        <v>32</v>
      </c>
      <c r="M464" s="4">
        <v>21180</v>
      </c>
      <c r="N464" s="3">
        <v>507.60039999999998</v>
      </c>
      <c r="O464" t="s">
        <v>22</v>
      </c>
      <c r="P464" t="s">
        <v>24</v>
      </c>
      <c r="Q464" t="s">
        <v>24</v>
      </c>
      <c r="R464" t="s">
        <v>50</v>
      </c>
      <c r="S464">
        <v>8</v>
      </c>
    </row>
    <row r="465" spans="1:19" x14ac:dyDescent="0.3">
      <c r="A465" s="1">
        <v>40780</v>
      </c>
      <c r="B465">
        <v>2011</v>
      </c>
      <c r="C465" t="s">
        <v>52</v>
      </c>
      <c r="D465" s="4">
        <v>192500</v>
      </c>
      <c r="E465" s="2">
        <v>227500</v>
      </c>
      <c r="F465" t="s">
        <v>19</v>
      </c>
      <c r="G465" t="s">
        <v>20</v>
      </c>
      <c r="H465">
        <v>3</v>
      </c>
      <c r="I465">
        <v>3</v>
      </c>
      <c r="J465">
        <v>1036</v>
      </c>
      <c r="K465" s="5">
        <v>1.025033E-2</v>
      </c>
      <c r="L465" t="s">
        <v>27</v>
      </c>
      <c r="M465" s="4">
        <v>35000</v>
      </c>
      <c r="N465" s="3">
        <v>219.59460000000001</v>
      </c>
      <c r="O465" t="s">
        <v>22</v>
      </c>
      <c r="P465" t="s">
        <v>24</v>
      </c>
      <c r="Q465" t="s">
        <v>24</v>
      </c>
      <c r="R465" t="s">
        <v>50</v>
      </c>
      <c r="S465">
        <v>8</v>
      </c>
    </row>
    <row r="466" spans="1:19" x14ac:dyDescent="0.3">
      <c r="A466" s="1">
        <v>40786</v>
      </c>
      <c r="B466">
        <v>2011</v>
      </c>
      <c r="C466" t="s">
        <v>52</v>
      </c>
      <c r="D466" s="4">
        <v>315100</v>
      </c>
      <c r="E466" s="2">
        <v>379500</v>
      </c>
      <c r="F466" t="s">
        <v>30</v>
      </c>
      <c r="G466" t="s">
        <v>31</v>
      </c>
      <c r="H466">
        <v>4</v>
      </c>
      <c r="I466">
        <v>2</v>
      </c>
      <c r="J466">
        <v>1312</v>
      </c>
      <c r="K466" s="5">
        <v>1.025033E-2</v>
      </c>
      <c r="L466" t="s">
        <v>21</v>
      </c>
      <c r="M466" s="4">
        <v>64400</v>
      </c>
      <c r="N466" s="3">
        <v>289.25299999999999</v>
      </c>
      <c r="O466" t="s">
        <v>22</v>
      </c>
      <c r="P466" t="s">
        <v>24</v>
      </c>
      <c r="Q466" t="s">
        <v>34</v>
      </c>
      <c r="R466" t="s">
        <v>50</v>
      </c>
      <c r="S466">
        <v>8</v>
      </c>
    </row>
    <row r="467" spans="1:19" x14ac:dyDescent="0.3">
      <c r="A467" s="1">
        <v>40788</v>
      </c>
      <c r="B467">
        <v>2011</v>
      </c>
      <c r="C467" t="s">
        <v>39</v>
      </c>
      <c r="D467" s="4">
        <v>394100</v>
      </c>
      <c r="E467" s="2">
        <v>589900</v>
      </c>
      <c r="F467" t="s">
        <v>19</v>
      </c>
      <c r="G467" t="s">
        <v>20</v>
      </c>
      <c r="H467">
        <v>3</v>
      </c>
      <c r="I467">
        <v>1</v>
      </c>
      <c r="J467">
        <v>1019</v>
      </c>
      <c r="K467" s="5">
        <v>1.025033E-2</v>
      </c>
      <c r="L467" t="s">
        <v>32</v>
      </c>
      <c r="M467" s="4">
        <v>195800</v>
      </c>
      <c r="N467" s="3">
        <v>578.90089999999998</v>
      </c>
      <c r="O467" t="s">
        <v>22</v>
      </c>
      <c r="P467" t="s">
        <v>24</v>
      </c>
      <c r="Q467" t="s">
        <v>24</v>
      </c>
      <c r="R467" t="s">
        <v>51</v>
      </c>
      <c r="S467">
        <v>9</v>
      </c>
    </row>
    <row r="468" spans="1:19" x14ac:dyDescent="0.3">
      <c r="A468" s="1">
        <v>40789</v>
      </c>
      <c r="B468">
        <v>2011</v>
      </c>
      <c r="C468" t="s">
        <v>39</v>
      </c>
      <c r="D468" s="4">
        <v>288540</v>
      </c>
      <c r="E468" s="2">
        <v>410000</v>
      </c>
      <c r="F468" t="s">
        <v>19</v>
      </c>
      <c r="G468" t="s">
        <v>20</v>
      </c>
      <c r="H468">
        <v>3</v>
      </c>
      <c r="I468">
        <v>3</v>
      </c>
      <c r="J468">
        <v>1050</v>
      </c>
      <c r="K468" s="5">
        <v>1.025033E-2</v>
      </c>
      <c r="L468" t="s">
        <v>38</v>
      </c>
      <c r="M468" s="4">
        <v>121460</v>
      </c>
      <c r="N468" s="3">
        <v>390.47620000000001</v>
      </c>
      <c r="O468" t="s">
        <v>22</v>
      </c>
      <c r="P468" t="s">
        <v>24</v>
      </c>
      <c r="Q468" t="s">
        <v>24</v>
      </c>
      <c r="R468" t="s">
        <v>51</v>
      </c>
      <c r="S468">
        <v>9</v>
      </c>
    </row>
    <row r="469" spans="1:19" x14ac:dyDescent="0.3">
      <c r="A469" s="1">
        <v>40794</v>
      </c>
      <c r="B469">
        <v>2011</v>
      </c>
      <c r="C469" t="s">
        <v>39</v>
      </c>
      <c r="D469" s="4">
        <v>504700</v>
      </c>
      <c r="E469" s="2">
        <v>375000</v>
      </c>
      <c r="F469" t="s">
        <v>19</v>
      </c>
      <c r="G469" t="s">
        <v>20</v>
      </c>
      <c r="H469">
        <v>3</v>
      </c>
      <c r="I469">
        <v>1</v>
      </c>
      <c r="J469">
        <v>1043</v>
      </c>
      <c r="K469" s="5">
        <v>1.025033E-2</v>
      </c>
      <c r="L469" t="s">
        <v>27</v>
      </c>
      <c r="M469" s="4">
        <v>-129700</v>
      </c>
      <c r="N469" s="3">
        <v>359.53980000000001</v>
      </c>
      <c r="O469" t="s">
        <v>33</v>
      </c>
      <c r="P469" t="s">
        <v>24</v>
      </c>
      <c r="Q469" t="s">
        <v>24</v>
      </c>
      <c r="R469" t="s">
        <v>51</v>
      </c>
      <c r="S469">
        <v>9</v>
      </c>
    </row>
    <row r="470" spans="1:19" x14ac:dyDescent="0.3">
      <c r="A470" s="1">
        <v>40795</v>
      </c>
      <c r="B470">
        <v>2011</v>
      </c>
      <c r="C470" t="s">
        <v>18</v>
      </c>
      <c r="D470" s="4">
        <v>150880</v>
      </c>
      <c r="E470" s="2">
        <v>168000</v>
      </c>
      <c r="F470" t="s">
        <v>19</v>
      </c>
      <c r="G470" t="s">
        <v>20</v>
      </c>
      <c r="H470">
        <v>3</v>
      </c>
      <c r="I470">
        <v>1</v>
      </c>
      <c r="J470">
        <v>1111.6589814177564</v>
      </c>
      <c r="K470" s="5">
        <v>1.025033E-2</v>
      </c>
      <c r="L470" t="s">
        <v>27</v>
      </c>
      <c r="M470" s="4">
        <v>17120</v>
      </c>
      <c r="N470" s="3">
        <v>151.12549999999999</v>
      </c>
      <c r="O470" t="s">
        <v>22</v>
      </c>
      <c r="P470" t="s">
        <v>23</v>
      </c>
      <c r="Q470" t="s">
        <v>24</v>
      </c>
      <c r="R470" t="s">
        <v>51</v>
      </c>
      <c r="S470">
        <v>9</v>
      </c>
    </row>
    <row r="471" spans="1:19" x14ac:dyDescent="0.3">
      <c r="A471" s="1">
        <v>40797</v>
      </c>
      <c r="B471">
        <v>2011</v>
      </c>
      <c r="C471" t="s">
        <v>40</v>
      </c>
      <c r="D471" s="4">
        <v>718450</v>
      </c>
      <c r="E471" s="2">
        <v>870000</v>
      </c>
      <c r="F471" t="s">
        <v>19</v>
      </c>
      <c r="G471" t="s">
        <v>20</v>
      </c>
      <c r="H471">
        <v>3</v>
      </c>
      <c r="I471">
        <v>3</v>
      </c>
      <c r="J471">
        <v>1029</v>
      </c>
      <c r="K471" s="5">
        <v>1.025033E-2</v>
      </c>
      <c r="L471" t="s">
        <v>32</v>
      </c>
      <c r="M471" s="4">
        <v>151550</v>
      </c>
      <c r="N471" s="3">
        <v>845.48099999999999</v>
      </c>
      <c r="O471" t="s">
        <v>22</v>
      </c>
      <c r="P471" t="s">
        <v>28</v>
      </c>
      <c r="Q471" t="s">
        <v>24</v>
      </c>
      <c r="R471" t="s">
        <v>51</v>
      </c>
      <c r="S471">
        <v>9</v>
      </c>
    </row>
    <row r="472" spans="1:19" x14ac:dyDescent="0.3">
      <c r="A472" s="1">
        <v>40800</v>
      </c>
      <c r="B472">
        <v>2011</v>
      </c>
      <c r="C472" t="s">
        <v>56</v>
      </c>
      <c r="D472" s="4">
        <v>1171430</v>
      </c>
      <c r="E472" s="2">
        <v>2375000</v>
      </c>
      <c r="F472" t="s">
        <v>19</v>
      </c>
      <c r="G472" t="s">
        <v>20</v>
      </c>
      <c r="H472">
        <v>3</v>
      </c>
      <c r="I472">
        <v>3</v>
      </c>
      <c r="J472">
        <v>1006</v>
      </c>
      <c r="K472" s="5">
        <v>1.025033E-2</v>
      </c>
      <c r="L472" t="s">
        <v>38</v>
      </c>
      <c r="M472" s="4">
        <v>1203570</v>
      </c>
      <c r="N472" s="3">
        <v>2360.835</v>
      </c>
      <c r="O472" t="s">
        <v>22</v>
      </c>
      <c r="P472" t="s">
        <v>28</v>
      </c>
      <c r="Q472" t="s">
        <v>24</v>
      </c>
      <c r="R472" t="s">
        <v>51</v>
      </c>
      <c r="S472">
        <v>9</v>
      </c>
    </row>
    <row r="473" spans="1:19" x14ac:dyDescent="0.3">
      <c r="A473" s="1">
        <v>40801</v>
      </c>
      <c r="B473">
        <v>2011</v>
      </c>
      <c r="C473" t="s">
        <v>18</v>
      </c>
      <c r="D473" s="4">
        <v>94480</v>
      </c>
      <c r="E473" s="2">
        <v>221000</v>
      </c>
      <c r="F473" t="s">
        <v>36</v>
      </c>
      <c r="G473" t="s">
        <v>37</v>
      </c>
      <c r="H473">
        <v>6</v>
      </c>
      <c r="I473">
        <v>5</v>
      </c>
      <c r="J473">
        <v>1891</v>
      </c>
      <c r="K473" s="5">
        <v>1.025033E-2</v>
      </c>
      <c r="L473" t="s">
        <v>32</v>
      </c>
      <c r="M473" s="4">
        <v>126520</v>
      </c>
      <c r="N473" s="3">
        <v>116.8694</v>
      </c>
      <c r="O473" t="s">
        <v>22</v>
      </c>
      <c r="P473" t="s">
        <v>24</v>
      </c>
      <c r="Q473" t="s">
        <v>34</v>
      </c>
      <c r="R473" t="s">
        <v>51</v>
      </c>
      <c r="S473">
        <v>9</v>
      </c>
    </row>
    <row r="474" spans="1:19" x14ac:dyDescent="0.3">
      <c r="A474" s="1">
        <v>40803</v>
      </c>
      <c r="B474">
        <v>2011</v>
      </c>
      <c r="C474" t="s">
        <v>18</v>
      </c>
      <c r="D474" s="4">
        <v>205000</v>
      </c>
      <c r="E474" s="2">
        <v>138100</v>
      </c>
      <c r="F474" t="s">
        <v>36</v>
      </c>
      <c r="G474" t="s">
        <v>37</v>
      </c>
      <c r="H474">
        <v>6</v>
      </c>
      <c r="I474">
        <v>6</v>
      </c>
      <c r="J474">
        <v>1820</v>
      </c>
      <c r="K474" s="5">
        <v>1.025033E-2</v>
      </c>
      <c r="L474" t="s">
        <v>21</v>
      </c>
      <c r="M474" s="4">
        <v>-66900</v>
      </c>
      <c r="N474" s="3">
        <v>75.879099999999994</v>
      </c>
      <c r="O474" t="s">
        <v>33</v>
      </c>
      <c r="P474" t="s">
        <v>23</v>
      </c>
      <c r="Q474" t="s">
        <v>34</v>
      </c>
      <c r="R474" t="s">
        <v>51</v>
      </c>
      <c r="S474">
        <v>9</v>
      </c>
    </row>
    <row r="475" spans="1:19" x14ac:dyDescent="0.3">
      <c r="A475" s="1">
        <v>40804</v>
      </c>
      <c r="B475">
        <v>2011</v>
      </c>
      <c r="C475" t="s">
        <v>56</v>
      </c>
      <c r="D475" s="4">
        <v>483090</v>
      </c>
      <c r="E475" s="2">
        <v>100000</v>
      </c>
      <c r="F475" t="s">
        <v>19</v>
      </c>
      <c r="G475" t="s">
        <v>20</v>
      </c>
      <c r="H475">
        <v>3</v>
      </c>
      <c r="I475">
        <v>2</v>
      </c>
      <c r="J475">
        <v>1048</v>
      </c>
      <c r="K475" s="5">
        <v>1.025033E-2</v>
      </c>
      <c r="L475" t="s">
        <v>27</v>
      </c>
      <c r="M475" s="4">
        <v>-383090</v>
      </c>
      <c r="N475" s="3">
        <v>95.419799999999995</v>
      </c>
      <c r="O475" t="s">
        <v>33</v>
      </c>
      <c r="P475" t="s">
        <v>23</v>
      </c>
      <c r="Q475" t="s">
        <v>24</v>
      </c>
      <c r="R475" t="s">
        <v>51</v>
      </c>
      <c r="S475">
        <v>9</v>
      </c>
    </row>
    <row r="476" spans="1:19" x14ac:dyDescent="0.3">
      <c r="A476" s="1">
        <v>40807</v>
      </c>
      <c r="B476">
        <v>2011</v>
      </c>
      <c r="C476" t="s">
        <v>35</v>
      </c>
      <c r="D476" s="4">
        <v>2610720</v>
      </c>
      <c r="E476" s="2">
        <v>3137500</v>
      </c>
      <c r="F476" t="s">
        <v>19</v>
      </c>
      <c r="G476" t="s">
        <v>20</v>
      </c>
      <c r="H476">
        <v>3</v>
      </c>
      <c r="I476">
        <v>1</v>
      </c>
      <c r="J476">
        <v>1057</v>
      </c>
      <c r="K476" s="5">
        <v>1.025033E-2</v>
      </c>
      <c r="L476" t="s">
        <v>32</v>
      </c>
      <c r="M476" s="4">
        <v>526780</v>
      </c>
      <c r="N476" s="3">
        <v>2968.3065000000001</v>
      </c>
      <c r="O476" t="s">
        <v>22</v>
      </c>
      <c r="P476" t="s">
        <v>28</v>
      </c>
      <c r="Q476" t="s">
        <v>24</v>
      </c>
      <c r="R476" t="s">
        <v>51</v>
      </c>
      <c r="S476">
        <v>9</v>
      </c>
    </row>
    <row r="477" spans="1:19" x14ac:dyDescent="0.3">
      <c r="A477" s="1">
        <v>40809</v>
      </c>
      <c r="B477">
        <v>2011</v>
      </c>
      <c r="C477" t="s">
        <v>18</v>
      </c>
      <c r="D477" s="4">
        <v>114770</v>
      </c>
      <c r="E477" s="2">
        <v>147000</v>
      </c>
      <c r="F477" t="s">
        <v>30</v>
      </c>
      <c r="G477" t="s">
        <v>31</v>
      </c>
      <c r="H477">
        <v>4</v>
      </c>
      <c r="I477">
        <v>2</v>
      </c>
      <c r="J477">
        <v>1332</v>
      </c>
      <c r="K477" s="5">
        <v>1.025033E-2</v>
      </c>
      <c r="L477" t="s">
        <v>21</v>
      </c>
      <c r="M477" s="4">
        <v>32230</v>
      </c>
      <c r="N477" s="3">
        <v>110.3604</v>
      </c>
      <c r="O477" t="s">
        <v>22</v>
      </c>
      <c r="P477" t="s">
        <v>23</v>
      </c>
      <c r="Q477" t="s">
        <v>34</v>
      </c>
      <c r="R477" t="s">
        <v>51</v>
      </c>
      <c r="S477">
        <v>9</v>
      </c>
    </row>
    <row r="478" spans="1:19" x14ac:dyDescent="0.3">
      <c r="A478" s="1">
        <v>40810</v>
      </c>
      <c r="B478">
        <v>2011</v>
      </c>
      <c r="C478" t="s">
        <v>52</v>
      </c>
      <c r="D478" s="4">
        <v>126900</v>
      </c>
      <c r="E478" s="2">
        <v>186000</v>
      </c>
      <c r="F478" t="s">
        <v>19</v>
      </c>
      <c r="G478" t="s">
        <v>20</v>
      </c>
      <c r="H478">
        <v>3</v>
      </c>
      <c r="I478">
        <v>3</v>
      </c>
      <c r="J478">
        <v>1100</v>
      </c>
      <c r="K478" s="5">
        <v>1.025033E-2</v>
      </c>
      <c r="L478" t="s">
        <v>32</v>
      </c>
      <c r="M478" s="4">
        <v>59100</v>
      </c>
      <c r="N478" s="3">
        <v>169.0909</v>
      </c>
      <c r="O478" t="s">
        <v>22</v>
      </c>
      <c r="P478" t="s">
        <v>23</v>
      </c>
      <c r="Q478" t="s">
        <v>24</v>
      </c>
      <c r="R478" t="s">
        <v>51</v>
      </c>
      <c r="S478">
        <v>9</v>
      </c>
    </row>
    <row r="479" spans="1:19" x14ac:dyDescent="0.3">
      <c r="A479" s="1">
        <v>40814</v>
      </c>
      <c r="B479">
        <v>2011</v>
      </c>
      <c r="C479" t="s">
        <v>39</v>
      </c>
      <c r="D479" s="4">
        <v>389200</v>
      </c>
      <c r="E479" s="2">
        <v>646250</v>
      </c>
      <c r="F479" t="s">
        <v>19</v>
      </c>
      <c r="G479" t="s">
        <v>20</v>
      </c>
      <c r="H479">
        <v>3</v>
      </c>
      <c r="I479">
        <v>2</v>
      </c>
      <c r="J479">
        <v>1093</v>
      </c>
      <c r="K479" s="5">
        <v>1.025033E-2</v>
      </c>
      <c r="L479" t="s">
        <v>27</v>
      </c>
      <c r="M479" s="4">
        <v>257050</v>
      </c>
      <c r="N479" s="3">
        <v>591.26260000000002</v>
      </c>
      <c r="O479" t="s">
        <v>22</v>
      </c>
      <c r="P479" t="s">
        <v>28</v>
      </c>
      <c r="Q479" t="s">
        <v>24</v>
      </c>
      <c r="R479" t="s">
        <v>51</v>
      </c>
      <c r="S479">
        <v>9</v>
      </c>
    </row>
    <row r="480" spans="1:19" x14ac:dyDescent="0.3">
      <c r="A480" s="1">
        <v>40816</v>
      </c>
      <c r="B480">
        <v>2011</v>
      </c>
      <c r="C480" t="s">
        <v>40</v>
      </c>
      <c r="D480" s="4">
        <v>399280</v>
      </c>
      <c r="E480" s="2">
        <v>485000</v>
      </c>
      <c r="F480" t="s">
        <v>19</v>
      </c>
      <c r="G480" t="s">
        <v>20</v>
      </c>
      <c r="H480">
        <v>3</v>
      </c>
      <c r="I480">
        <v>1</v>
      </c>
      <c r="J480">
        <v>1068</v>
      </c>
      <c r="K480" s="5">
        <v>1.025033E-2</v>
      </c>
      <c r="L480" t="s">
        <v>27</v>
      </c>
      <c r="M480" s="4">
        <v>85720</v>
      </c>
      <c r="N480" s="3">
        <v>454.11989999999997</v>
      </c>
      <c r="O480" t="s">
        <v>22</v>
      </c>
      <c r="P480" t="s">
        <v>24</v>
      </c>
      <c r="Q480" t="s">
        <v>24</v>
      </c>
      <c r="R480" t="s">
        <v>51</v>
      </c>
      <c r="S480">
        <v>9</v>
      </c>
    </row>
    <row r="481" spans="1:19" x14ac:dyDescent="0.3">
      <c r="A481" s="1">
        <v>40817</v>
      </c>
      <c r="B481">
        <v>2011</v>
      </c>
      <c r="C481" t="s">
        <v>52</v>
      </c>
      <c r="D481" s="4">
        <v>444584.20699999999</v>
      </c>
      <c r="E481" s="2">
        <v>245000</v>
      </c>
      <c r="F481" t="s">
        <v>19</v>
      </c>
      <c r="G481" t="s">
        <v>20</v>
      </c>
      <c r="H481">
        <v>3</v>
      </c>
      <c r="I481">
        <v>3</v>
      </c>
      <c r="J481">
        <v>1111.6589814177564</v>
      </c>
      <c r="K481" s="5">
        <v>1.025033E-2</v>
      </c>
      <c r="L481" t="s">
        <v>38</v>
      </c>
      <c r="M481" s="4">
        <v>-199584.20699999999</v>
      </c>
      <c r="N481" s="3">
        <v>220.3913</v>
      </c>
      <c r="O481" t="s">
        <v>33</v>
      </c>
      <c r="P481" t="s">
        <v>24</v>
      </c>
      <c r="Q481" t="s">
        <v>24</v>
      </c>
      <c r="R481" t="s">
        <v>53</v>
      </c>
      <c r="S481">
        <v>10</v>
      </c>
    </row>
    <row r="482" spans="1:19" x14ac:dyDescent="0.3">
      <c r="A482" s="1">
        <v>40821</v>
      </c>
      <c r="B482">
        <v>2011</v>
      </c>
      <c r="C482" t="s">
        <v>29</v>
      </c>
      <c r="D482" s="4">
        <v>133910</v>
      </c>
      <c r="E482" s="2">
        <v>100000</v>
      </c>
      <c r="F482" t="s">
        <v>19</v>
      </c>
      <c r="G482" t="s">
        <v>20</v>
      </c>
      <c r="H482">
        <v>3</v>
      </c>
      <c r="I482">
        <v>3</v>
      </c>
      <c r="J482">
        <v>917</v>
      </c>
      <c r="K482" s="5">
        <v>1.025033E-2</v>
      </c>
      <c r="L482" t="s">
        <v>21</v>
      </c>
      <c r="M482" s="4">
        <v>-33910</v>
      </c>
      <c r="N482" s="3">
        <v>109.0513</v>
      </c>
      <c r="O482" t="s">
        <v>33</v>
      </c>
      <c r="P482" t="s">
        <v>23</v>
      </c>
      <c r="Q482" t="s">
        <v>24</v>
      </c>
      <c r="R482" t="s">
        <v>53</v>
      </c>
      <c r="S482">
        <v>10</v>
      </c>
    </row>
    <row r="483" spans="1:19" x14ac:dyDescent="0.3">
      <c r="A483" s="1">
        <v>40822</v>
      </c>
      <c r="B483">
        <v>2011</v>
      </c>
      <c r="C483" t="s">
        <v>56</v>
      </c>
      <c r="D483" s="4">
        <v>289570</v>
      </c>
      <c r="E483" s="2">
        <v>290000</v>
      </c>
      <c r="F483" t="s">
        <v>19</v>
      </c>
      <c r="G483" t="s">
        <v>20</v>
      </c>
      <c r="H483">
        <v>3</v>
      </c>
      <c r="I483">
        <v>3</v>
      </c>
      <c r="J483">
        <v>1024</v>
      </c>
      <c r="K483" s="5">
        <v>1.025033E-2</v>
      </c>
      <c r="L483" t="s">
        <v>32</v>
      </c>
      <c r="M483" s="4">
        <v>430</v>
      </c>
      <c r="N483" s="3">
        <v>283.20310000000001</v>
      </c>
      <c r="O483" t="s">
        <v>22</v>
      </c>
      <c r="P483" t="s">
        <v>24</v>
      </c>
      <c r="Q483" t="s">
        <v>24</v>
      </c>
      <c r="R483" t="s">
        <v>53</v>
      </c>
      <c r="S483">
        <v>10</v>
      </c>
    </row>
    <row r="484" spans="1:19" x14ac:dyDescent="0.3">
      <c r="A484" s="1">
        <v>40823</v>
      </c>
      <c r="B484">
        <v>2011</v>
      </c>
      <c r="C484" t="s">
        <v>56</v>
      </c>
      <c r="D484" s="4">
        <v>336080</v>
      </c>
      <c r="E484" s="2">
        <v>515000</v>
      </c>
      <c r="F484" t="s">
        <v>19</v>
      </c>
      <c r="G484" t="s">
        <v>20</v>
      </c>
      <c r="H484">
        <v>3</v>
      </c>
      <c r="I484">
        <v>2</v>
      </c>
      <c r="J484">
        <v>907</v>
      </c>
      <c r="K484" s="5">
        <v>1.025033E-2</v>
      </c>
      <c r="L484" t="s">
        <v>21</v>
      </c>
      <c r="M484" s="4">
        <v>178920</v>
      </c>
      <c r="N484" s="3">
        <v>567.80600000000004</v>
      </c>
      <c r="O484" t="s">
        <v>22</v>
      </c>
      <c r="P484" t="s">
        <v>24</v>
      </c>
      <c r="Q484" t="s">
        <v>24</v>
      </c>
      <c r="R484" t="s">
        <v>53</v>
      </c>
      <c r="S484">
        <v>10</v>
      </c>
    </row>
    <row r="485" spans="1:19" x14ac:dyDescent="0.3">
      <c r="A485" s="1">
        <v>40824</v>
      </c>
      <c r="B485">
        <v>2011</v>
      </c>
      <c r="C485" t="s">
        <v>40</v>
      </c>
      <c r="D485" s="4">
        <v>330820</v>
      </c>
      <c r="E485" s="2">
        <v>246000</v>
      </c>
      <c r="F485" t="s">
        <v>36</v>
      </c>
      <c r="G485" t="s">
        <v>37</v>
      </c>
      <c r="H485">
        <v>6</v>
      </c>
      <c r="I485">
        <v>5</v>
      </c>
      <c r="J485">
        <v>1809</v>
      </c>
      <c r="K485" s="5">
        <v>1.025033E-2</v>
      </c>
      <c r="L485" t="s">
        <v>21</v>
      </c>
      <c r="M485" s="4">
        <v>-84820</v>
      </c>
      <c r="N485" s="3">
        <v>135.98670000000001</v>
      </c>
      <c r="O485" t="s">
        <v>33</v>
      </c>
      <c r="P485" t="s">
        <v>24</v>
      </c>
      <c r="Q485" t="s">
        <v>34</v>
      </c>
      <c r="R485" t="s">
        <v>53</v>
      </c>
      <c r="S485">
        <v>10</v>
      </c>
    </row>
    <row r="486" spans="1:19" x14ac:dyDescent="0.3">
      <c r="A486" s="1">
        <v>40825</v>
      </c>
      <c r="B486">
        <v>2011</v>
      </c>
      <c r="C486" t="s">
        <v>40</v>
      </c>
      <c r="D486" s="4">
        <v>1142610</v>
      </c>
      <c r="E486" s="2">
        <v>1137500</v>
      </c>
      <c r="F486" t="s">
        <v>19</v>
      </c>
      <c r="G486" t="s">
        <v>20</v>
      </c>
      <c r="H486">
        <v>3</v>
      </c>
      <c r="I486">
        <v>1</v>
      </c>
      <c r="J486">
        <v>1049</v>
      </c>
      <c r="K486" s="5">
        <v>1.025033E-2</v>
      </c>
      <c r="L486" t="s">
        <v>21</v>
      </c>
      <c r="M486" s="4">
        <v>-5110</v>
      </c>
      <c r="N486" s="3">
        <v>1084.3661</v>
      </c>
      <c r="O486" t="s">
        <v>33</v>
      </c>
      <c r="P486" t="s">
        <v>28</v>
      </c>
      <c r="Q486" t="s">
        <v>24</v>
      </c>
      <c r="R486" t="s">
        <v>53</v>
      </c>
      <c r="S486">
        <v>10</v>
      </c>
    </row>
    <row r="487" spans="1:19" x14ac:dyDescent="0.3">
      <c r="A487" s="1">
        <v>40829</v>
      </c>
      <c r="B487">
        <v>2011</v>
      </c>
      <c r="C487" t="s">
        <v>35</v>
      </c>
      <c r="D487" s="4">
        <v>444584.20699999999</v>
      </c>
      <c r="E487" s="2">
        <v>775000</v>
      </c>
      <c r="F487" t="s">
        <v>19</v>
      </c>
      <c r="G487" t="s">
        <v>20</v>
      </c>
      <c r="H487">
        <v>3</v>
      </c>
      <c r="I487">
        <v>1</v>
      </c>
      <c r="J487">
        <v>1081</v>
      </c>
      <c r="K487" s="5">
        <v>1.025033E-2</v>
      </c>
      <c r="L487" t="s">
        <v>32</v>
      </c>
      <c r="M487" s="4">
        <v>330415.79300000001</v>
      </c>
      <c r="N487" s="3">
        <v>716.92880000000002</v>
      </c>
      <c r="O487" t="s">
        <v>22</v>
      </c>
      <c r="P487" t="s">
        <v>28</v>
      </c>
      <c r="Q487" t="s">
        <v>24</v>
      </c>
      <c r="R487" t="s">
        <v>53</v>
      </c>
      <c r="S487">
        <v>10</v>
      </c>
    </row>
    <row r="488" spans="1:19" x14ac:dyDescent="0.3">
      <c r="A488" s="1">
        <v>40830</v>
      </c>
      <c r="B488">
        <v>2011</v>
      </c>
      <c r="C488" t="s">
        <v>39</v>
      </c>
      <c r="D488" s="4">
        <v>839790</v>
      </c>
      <c r="E488" s="2">
        <v>640000</v>
      </c>
      <c r="F488" t="s">
        <v>19</v>
      </c>
      <c r="G488" t="s">
        <v>20</v>
      </c>
      <c r="H488">
        <v>3</v>
      </c>
      <c r="I488">
        <v>3</v>
      </c>
      <c r="J488">
        <v>1111.6589814177564</v>
      </c>
      <c r="K488" s="5">
        <v>1.025033E-2</v>
      </c>
      <c r="L488" t="s">
        <v>32</v>
      </c>
      <c r="M488" s="4">
        <v>-199790</v>
      </c>
      <c r="N488" s="3">
        <v>575.71609999999998</v>
      </c>
      <c r="O488" t="s">
        <v>33</v>
      </c>
      <c r="P488" t="s">
        <v>28</v>
      </c>
      <c r="Q488" t="s">
        <v>24</v>
      </c>
      <c r="R488" t="s">
        <v>53</v>
      </c>
      <c r="S488">
        <v>10</v>
      </c>
    </row>
    <row r="489" spans="1:19" x14ac:dyDescent="0.3">
      <c r="A489" s="1">
        <v>40831</v>
      </c>
      <c r="B489">
        <v>2011</v>
      </c>
      <c r="C489" t="s">
        <v>40</v>
      </c>
      <c r="D489" s="4">
        <v>180010</v>
      </c>
      <c r="E489" s="2">
        <v>180000</v>
      </c>
      <c r="F489" t="s">
        <v>30</v>
      </c>
      <c r="G489" t="s">
        <v>31</v>
      </c>
      <c r="H489">
        <v>4</v>
      </c>
      <c r="I489">
        <v>3</v>
      </c>
      <c r="J489">
        <v>1228</v>
      </c>
      <c r="K489" s="5">
        <v>1.025033E-2</v>
      </c>
      <c r="L489" t="s">
        <v>27</v>
      </c>
      <c r="M489" s="4">
        <v>-10</v>
      </c>
      <c r="N489" s="3">
        <v>146.57980000000001</v>
      </c>
      <c r="O489" t="s">
        <v>33</v>
      </c>
      <c r="P489" t="s">
        <v>23</v>
      </c>
      <c r="Q489" t="s">
        <v>24</v>
      </c>
      <c r="R489" t="s">
        <v>53</v>
      </c>
      <c r="S489">
        <v>10</v>
      </c>
    </row>
    <row r="490" spans="1:19" x14ac:dyDescent="0.3">
      <c r="A490" s="1">
        <v>40832</v>
      </c>
      <c r="B490">
        <v>2011</v>
      </c>
      <c r="C490" t="s">
        <v>18</v>
      </c>
      <c r="D490" s="4">
        <v>67610</v>
      </c>
      <c r="E490" s="2">
        <v>50000</v>
      </c>
      <c r="F490" t="s">
        <v>30</v>
      </c>
      <c r="G490" t="s">
        <v>31</v>
      </c>
      <c r="H490">
        <v>4</v>
      </c>
      <c r="I490">
        <v>4</v>
      </c>
      <c r="J490">
        <v>1321</v>
      </c>
      <c r="K490" s="5">
        <v>1.025033E-2</v>
      </c>
      <c r="L490" t="s">
        <v>32</v>
      </c>
      <c r="M490" s="4">
        <v>-17610</v>
      </c>
      <c r="N490" s="3">
        <v>37.850099999999998</v>
      </c>
      <c r="O490" t="s">
        <v>33</v>
      </c>
      <c r="P490" t="s">
        <v>23</v>
      </c>
      <c r="Q490" t="s">
        <v>34</v>
      </c>
      <c r="R490" t="s">
        <v>53</v>
      </c>
      <c r="S490">
        <v>10</v>
      </c>
    </row>
    <row r="491" spans="1:19" x14ac:dyDescent="0.3">
      <c r="A491" s="1">
        <v>40835</v>
      </c>
      <c r="B491">
        <v>2011</v>
      </c>
      <c r="C491" t="s">
        <v>18</v>
      </c>
      <c r="D491" s="4">
        <v>117680</v>
      </c>
      <c r="E491" s="2">
        <v>158500</v>
      </c>
      <c r="F491" t="s">
        <v>19</v>
      </c>
      <c r="G491" t="s">
        <v>20</v>
      </c>
      <c r="H491">
        <v>3</v>
      </c>
      <c r="I491">
        <v>3</v>
      </c>
      <c r="J491">
        <v>1111.6589814177564</v>
      </c>
      <c r="K491" s="5">
        <v>1.025033E-2</v>
      </c>
      <c r="L491" t="s">
        <v>32</v>
      </c>
      <c r="M491" s="4">
        <v>40820</v>
      </c>
      <c r="N491" s="3">
        <v>142.5797</v>
      </c>
      <c r="O491" t="s">
        <v>22</v>
      </c>
      <c r="P491" t="s">
        <v>23</v>
      </c>
      <c r="Q491" t="s">
        <v>24</v>
      </c>
      <c r="R491" t="s">
        <v>53</v>
      </c>
      <c r="S491">
        <v>10</v>
      </c>
    </row>
    <row r="492" spans="1:19" x14ac:dyDescent="0.3">
      <c r="A492" s="1">
        <v>40837</v>
      </c>
      <c r="B492">
        <v>2011</v>
      </c>
      <c r="C492" t="s">
        <v>40</v>
      </c>
      <c r="D492" s="4">
        <v>444584.20699999999</v>
      </c>
      <c r="E492" s="2">
        <v>37000</v>
      </c>
      <c r="F492" t="s">
        <v>36</v>
      </c>
      <c r="G492" t="s">
        <v>37</v>
      </c>
      <c r="H492">
        <v>6</v>
      </c>
      <c r="I492">
        <v>4</v>
      </c>
      <c r="J492">
        <v>1111.6589814177564</v>
      </c>
      <c r="K492" s="5">
        <v>1.025033E-2</v>
      </c>
      <c r="L492" t="s">
        <v>21</v>
      </c>
      <c r="M492" s="4">
        <v>-407584.20699999999</v>
      </c>
      <c r="N492" s="3">
        <v>33.2836</v>
      </c>
      <c r="O492" t="s">
        <v>33</v>
      </c>
      <c r="P492" t="s">
        <v>23</v>
      </c>
      <c r="Q492" t="s">
        <v>24</v>
      </c>
      <c r="R492" t="s">
        <v>53</v>
      </c>
      <c r="S492">
        <v>10</v>
      </c>
    </row>
    <row r="493" spans="1:19" x14ac:dyDescent="0.3">
      <c r="A493" s="1">
        <v>40838</v>
      </c>
      <c r="B493">
        <v>2011</v>
      </c>
      <c r="C493" t="s">
        <v>26</v>
      </c>
      <c r="D493" s="4">
        <v>933240</v>
      </c>
      <c r="E493" s="2">
        <v>1235000</v>
      </c>
      <c r="F493" t="s">
        <v>19</v>
      </c>
      <c r="G493" t="s">
        <v>20</v>
      </c>
      <c r="H493">
        <v>3</v>
      </c>
      <c r="I493">
        <v>3</v>
      </c>
      <c r="J493">
        <v>934</v>
      </c>
      <c r="K493" s="5">
        <v>1.025033E-2</v>
      </c>
      <c r="L493" t="s">
        <v>32</v>
      </c>
      <c r="M493" s="4">
        <v>301760</v>
      </c>
      <c r="N493" s="3">
        <v>1322.2698</v>
      </c>
      <c r="O493" t="s">
        <v>22</v>
      </c>
      <c r="P493" t="s">
        <v>28</v>
      </c>
      <c r="Q493" t="s">
        <v>24</v>
      </c>
      <c r="R493" t="s">
        <v>53</v>
      </c>
      <c r="S493">
        <v>10</v>
      </c>
    </row>
    <row r="494" spans="1:19" x14ac:dyDescent="0.3">
      <c r="A494" s="1">
        <v>40844</v>
      </c>
      <c r="B494">
        <v>2011</v>
      </c>
      <c r="C494" t="s">
        <v>52</v>
      </c>
      <c r="D494" s="4">
        <v>444584.20699999999</v>
      </c>
      <c r="E494" s="2">
        <v>202200</v>
      </c>
      <c r="F494" t="s">
        <v>30</v>
      </c>
      <c r="G494" t="s">
        <v>31</v>
      </c>
      <c r="H494">
        <v>4</v>
      </c>
      <c r="I494">
        <v>4</v>
      </c>
      <c r="J494">
        <v>1209</v>
      </c>
      <c r="K494" s="5">
        <v>1.025033E-2</v>
      </c>
      <c r="L494" t="s">
        <v>32</v>
      </c>
      <c r="M494" s="4">
        <v>-242384.20699999999</v>
      </c>
      <c r="N494" s="3">
        <v>167.2457</v>
      </c>
      <c r="O494" t="s">
        <v>33</v>
      </c>
      <c r="P494" t="s">
        <v>24</v>
      </c>
      <c r="Q494" t="s">
        <v>24</v>
      </c>
      <c r="R494" t="s">
        <v>53</v>
      </c>
      <c r="S494">
        <v>10</v>
      </c>
    </row>
    <row r="495" spans="1:19" x14ac:dyDescent="0.3">
      <c r="A495" s="1">
        <v>40845</v>
      </c>
      <c r="B495">
        <v>2011</v>
      </c>
      <c r="C495" t="s">
        <v>18</v>
      </c>
      <c r="D495" s="4">
        <v>68560</v>
      </c>
      <c r="E495" s="2">
        <v>17000</v>
      </c>
      <c r="F495" t="s">
        <v>19</v>
      </c>
      <c r="G495" t="s">
        <v>20</v>
      </c>
      <c r="H495">
        <v>3</v>
      </c>
      <c r="I495">
        <v>3</v>
      </c>
      <c r="J495">
        <v>929</v>
      </c>
      <c r="K495" s="5">
        <v>1.025033E-2</v>
      </c>
      <c r="L495" t="s">
        <v>38</v>
      </c>
      <c r="M495" s="4">
        <v>-51560</v>
      </c>
      <c r="N495" s="3">
        <v>18.299199999999999</v>
      </c>
      <c r="O495" t="s">
        <v>33</v>
      </c>
      <c r="P495" t="s">
        <v>23</v>
      </c>
      <c r="Q495" t="s">
        <v>24</v>
      </c>
      <c r="R495" t="s">
        <v>53</v>
      </c>
      <c r="S495">
        <v>10</v>
      </c>
    </row>
    <row r="496" spans="1:19" x14ac:dyDescent="0.3">
      <c r="A496" s="1">
        <v>40846</v>
      </c>
      <c r="B496">
        <v>2011</v>
      </c>
      <c r="C496" t="s">
        <v>26</v>
      </c>
      <c r="D496" s="4">
        <v>287280</v>
      </c>
      <c r="E496" s="2">
        <v>435000</v>
      </c>
      <c r="F496" t="s">
        <v>19</v>
      </c>
      <c r="G496" t="s">
        <v>20</v>
      </c>
      <c r="H496">
        <v>3</v>
      </c>
      <c r="I496">
        <v>2</v>
      </c>
      <c r="J496">
        <v>1011</v>
      </c>
      <c r="K496" s="5">
        <v>1.025033E-2</v>
      </c>
      <c r="L496" t="s">
        <v>21</v>
      </c>
      <c r="M496" s="4">
        <v>147720</v>
      </c>
      <c r="N496" s="3">
        <v>430.26710000000003</v>
      </c>
      <c r="O496" t="s">
        <v>22</v>
      </c>
      <c r="P496" t="s">
        <v>24</v>
      </c>
      <c r="Q496" t="s">
        <v>24</v>
      </c>
      <c r="R496" t="s">
        <v>53</v>
      </c>
      <c r="S496">
        <v>10</v>
      </c>
    </row>
    <row r="497" spans="1:19" x14ac:dyDescent="0.3">
      <c r="A497" s="1">
        <v>40849</v>
      </c>
      <c r="B497">
        <v>2011</v>
      </c>
      <c r="C497" t="s">
        <v>39</v>
      </c>
      <c r="D497" s="4">
        <v>924070</v>
      </c>
      <c r="E497" s="2">
        <v>1200000</v>
      </c>
      <c r="F497" t="s">
        <v>19</v>
      </c>
      <c r="G497" t="s">
        <v>20</v>
      </c>
      <c r="H497">
        <v>3</v>
      </c>
      <c r="I497">
        <v>1</v>
      </c>
      <c r="J497">
        <v>963</v>
      </c>
      <c r="K497" s="5">
        <v>1.025033E-2</v>
      </c>
      <c r="L497" t="s">
        <v>38</v>
      </c>
      <c r="M497" s="4">
        <v>275930</v>
      </c>
      <c r="N497" s="3">
        <v>1246.1059</v>
      </c>
      <c r="O497" t="s">
        <v>22</v>
      </c>
      <c r="P497" t="s">
        <v>28</v>
      </c>
      <c r="Q497" t="s">
        <v>24</v>
      </c>
      <c r="R497" t="s">
        <v>54</v>
      </c>
      <c r="S497">
        <v>11</v>
      </c>
    </row>
    <row r="498" spans="1:19" x14ac:dyDescent="0.3">
      <c r="A498" s="1">
        <v>40850</v>
      </c>
      <c r="B498">
        <v>2011</v>
      </c>
      <c r="C498" t="s">
        <v>52</v>
      </c>
      <c r="D498" s="4">
        <v>444584.20699999999</v>
      </c>
      <c r="E498" s="2">
        <v>650000</v>
      </c>
      <c r="F498" t="s">
        <v>19</v>
      </c>
      <c r="G498" t="s">
        <v>20</v>
      </c>
      <c r="H498">
        <v>3</v>
      </c>
      <c r="I498">
        <v>2</v>
      </c>
      <c r="J498">
        <v>966</v>
      </c>
      <c r="K498" s="5">
        <v>1.025033E-2</v>
      </c>
      <c r="L498" t="s">
        <v>21</v>
      </c>
      <c r="M498" s="4">
        <v>205415.79300000001</v>
      </c>
      <c r="N498" s="3">
        <v>672.87779999999998</v>
      </c>
      <c r="O498" t="s">
        <v>22</v>
      </c>
      <c r="P498" t="s">
        <v>28</v>
      </c>
      <c r="Q498" t="s">
        <v>24</v>
      </c>
      <c r="R498" t="s">
        <v>54</v>
      </c>
      <c r="S498">
        <v>11</v>
      </c>
    </row>
    <row r="499" spans="1:19" x14ac:dyDescent="0.3">
      <c r="A499" s="1">
        <v>40852</v>
      </c>
      <c r="B499">
        <v>2011</v>
      </c>
      <c r="C499" t="s">
        <v>29</v>
      </c>
      <c r="D499" s="4">
        <v>176200</v>
      </c>
      <c r="E499" s="2">
        <v>227500</v>
      </c>
      <c r="F499" t="s">
        <v>19</v>
      </c>
      <c r="G499" t="s">
        <v>20</v>
      </c>
      <c r="H499">
        <v>3</v>
      </c>
      <c r="I499">
        <v>1</v>
      </c>
      <c r="J499">
        <v>901</v>
      </c>
      <c r="K499" s="5">
        <v>1.025033E-2</v>
      </c>
      <c r="L499" t="s">
        <v>27</v>
      </c>
      <c r="M499" s="4">
        <v>51300</v>
      </c>
      <c r="N499" s="3">
        <v>252.49719999999999</v>
      </c>
      <c r="O499" t="s">
        <v>22</v>
      </c>
      <c r="P499" t="s">
        <v>24</v>
      </c>
      <c r="Q499" t="s">
        <v>24</v>
      </c>
      <c r="R499" t="s">
        <v>54</v>
      </c>
      <c r="S499">
        <v>11</v>
      </c>
    </row>
    <row r="500" spans="1:19" x14ac:dyDescent="0.3">
      <c r="A500" s="1">
        <v>40853</v>
      </c>
      <c r="B500">
        <v>2011</v>
      </c>
      <c r="C500" t="s">
        <v>18</v>
      </c>
      <c r="D500" s="4">
        <v>93760</v>
      </c>
      <c r="E500" s="2">
        <v>50000</v>
      </c>
      <c r="F500" t="s">
        <v>36</v>
      </c>
      <c r="G500" t="s">
        <v>37</v>
      </c>
      <c r="H500">
        <v>6</v>
      </c>
      <c r="I500">
        <v>4</v>
      </c>
      <c r="J500">
        <v>1995</v>
      </c>
      <c r="K500" s="5">
        <v>1.025033E-2</v>
      </c>
      <c r="L500" t="s">
        <v>21</v>
      </c>
      <c r="M500" s="4">
        <v>-43760</v>
      </c>
      <c r="N500" s="3">
        <v>25.0627</v>
      </c>
      <c r="O500" t="s">
        <v>33</v>
      </c>
      <c r="P500" t="s">
        <v>23</v>
      </c>
      <c r="Q500" t="s">
        <v>34</v>
      </c>
      <c r="R500" t="s">
        <v>54</v>
      </c>
      <c r="S500">
        <v>11</v>
      </c>
    </row>
    <row r="501" spans="1:19" x14ac:dyDescent="0.3">
      <c r="A501" s="1">
        <v>40856</v>
      </c>
      <c r="B501">
        <v>2011</v>
      </c>
      <c r="C501" t="s">
        <v>39</v>
      </c>
      <c r="D501" s="4">
        <v>444584.20699999999</v>
      </c>
      <c r="E501" s="2">
        <v>406875</v>
      </c>
      <c r="F501" t="s">
        <v>19</v>
      </c>
      <c r="G501" t="s">
        <v>20</v>
      </c>
      <c r="H501">
        <v>3</v>
      </c>
      <c r="I501">
        <v>3</v>
      </c>
      <c r="J501">
        <v>1111.6589814177564</v>
      </c>
      <c r="K501" s="5">
        <v>1.025033E-2</v>
      </c>
      <c r="L501" t="s">
        <v>38</v>
      </c>
      <c r="M501" s="4">
        <v>-37709.207000000002</v>
      </c>
      <c r="N501" s="3">
        <v>366.00700000000001</v>
      </c>
      <c r="O501" t="s">
        <v>33</v>
      </c>
      <c r="P501" t="s">
        <v>24</v>
      </c>
      <c r="Q501" t="s">
        <v>24</v>
      </c>
      <c r="R501" t="s">
        <v>54</v>
      </c>
      <c r="S501">
        <v>11</v>
      </c>
    </row>
    <row r="502" spans="1:19" x14ac:dyDescent="0.3">
      <c r="A502" s="1">
        <v>40857</v>
      </c>
      <c r="B502">
        <v>2011</v>
      </c>
      <c r="C502" t="s">
        <v>29</v>
      </c>
      <c r="D502" s="4">
        <v>98880</v>
      </c>
      <c r="E502" s="2">
        <v>30000</v>
      </c>
      <c r="F502" t="s">
        <v>19</v>
      </c>
      <c r="G502" t="s">
        <v>20</v>
      </c>
      <c r="H502">
        <v>3</v>
      </c>
      <c r="I502">
        <v>1</v>
      </c>
      <c r="J502">
        <v>954</v>
      </c>
      <c r="K502" s="5">
        <v>1.025033E-2</v>
      </c>
      <c r="L502" t="s">
        <v>21</v>
      </c>
      <c r="M502" s="4">
        <v>-68880</v>
      </c>
      <c r="N502" s="3">
        <v>31.4465</v>
      </c>
      <c r="O502" t="s">
        <v>33</v>
      </c>
      <c r="P502" t="s">
        <v>23</v>
      </c>
      <c r="Q502" t="s">
        <v>24</v>
      </c>
      <c r="R502" t="s">
        <v>54</v>
      </c>
      <c r="S502">
        <v>11</v>
      </c>
    </row>
    <row r="503" spans="1:19" x14ac:dyDescent="0.3">
      <c r="A503" s="1">
        <v>40859</v>
      </c>
      <c r="B503">
        <v>2011</v>
      </c>
      <c r="C503" t="s">
        <v>26</v>
      </c>
      <c r="D503" s="4">
        <v>441980</v>
      </c>
      <c r="E503" s="2">
        <v>490000</v>
      </c>
      <c r="F503" t="s">
        <v>19</v>
      </c>
      <c r="G503" t="s">
        <v>20</v>
      </c>
      <c r="H503">
        <v>3</v>
      </c>
      <c r="I503">
        <v>2</v>
      </c>
      <c r="J503">
        <v>1111.6589814177564</v>
      </c>
      <c r="K503" s="5">
        <v>1.025033E-2</v>
      </c>
      <c r="L503" t="s">
        <v>38</v>
      </c>
      <c r="M503" s="4">
        <v>48020</v>
      </c>
      <c r="N503" s="3">
        <v>440.78269999999998</v>
      </c>
      <c r="O503" t="s">
        <v>22</v>
      </c>
      <c r="P503" t="s">
        <v>24</v>
      </c>
      <c r="Q503" t="s">
        <v>24</v>
      </c>
      <c r="R503" t="s">
        <v>54</v>
      </c>
      <c r="S503">
        <v>11</v>
      </c>
    </row>
    <row r="504" spans="1:19" x14ac:dyDescent="0.3">
      <c r="A504" s="1">
        <v>40863</v>
      </c>
      <c r="B504">
        <v>2011</v>
      </c>
      <c r="C504" t="s">
        <v>52</v>
      </c>
      <c r="D504" s="4">
        <v>142800</v>
      </c>
      <c r="E504" s="2">
        <v>235000</v>
      </c>
      <c r="F504" t="s">
        <v>19</v>
      </c>
      <c r="G504" t="s">
        <v>20</v>
      </c>
      <c r="H504">
        <v>3</v>
      </c>
      <c r="I504">
        <v>3</v>
      </c>
      <c r="J504">
        <v>936</v>
      </c>
      <c r="K504" s="5">
        <v>1.025033E-2</v>
      </c>
      <c r="L504" t="s">
        <v>32</v>
      </c>
      <c r="M504" s="4">
        <v>92200</v>
      </c>
      <c r="N504" s="3">
        <v>251.0684</v>
      </c>
      <c r="O504" t="s">
        <v>22</v>
      </c>
      <c r="P504" t="s">
        <v>24</v>
      </c>
      <c r="Q504" t="s">
        <v>24</v>
      </c>
      <c r="R504" t="s">
        <v>54</v>
      </c>
      <c r="S504">
        <v>11</v>
      </c>
    </row>
    <row r="505" spans="1:19" x14ac:dyDescent="0.3">
      <c r="A505" s="1">
        <v>40864</v>
      </c>
      <c r="B505">
        <v>2011</v>
      </c>
      <c r="C505" t="s">
        <v>35</v>
      </c>
      <c r="D505" s="4">
        <v>444584.20699999999</v>
      </c>
      <c r="E505" s="2">
        <v>8700000</v>
      </c>
      <c r="F505" t="s">
        <v>19</v>
      </c>
      <c r="G505" t="s">
        <v>20</v>
      </c>
      <c r="H505">
        <v>3</v>
      </c>
      <c r="I505">
        <v>3</v>
      </c>
      <c r="J505">
        <v>935</v>
      </c>
      <c r="K505" s="5">
        <v>1.025033E-2</v>
      </c>
      <c r="L505" t="s">
        <v>21</v>
      </c>
      <c r="M505" s="4">
        <v>8255415.7929999996</v>
      </c>
      <c r="N505" s="3">
        <v>9304.8127999999997</v>
      </c>
      <c r="O505" t="s">
        <v>22</v>
      </c>
      <c r="P505" t="s">
        <v>28</v>
      </c>
      <c r="Q505" t="s">
        <v>24</v>
      </c>
      <c r="R505" t="s">
        <v>54</v>
      </c>
      <c r="S505">
        <v>11</v>
      </c>
    </row>
    <row r="506" spans="1:19" x14ac:dyDescent="0.3">
      <c r="A506" s="1">
        <v>40865</v>
      </c>
      <c r="B506">
        <v>2011</v>
      </c>
      <c r="C506" t="s">
        <v>26</v>
      </c>
      <c r="D506" s="4">
        <v>667730</v>
      </c>
      <c r="E506" s="2">
        <v>1450000</v>
      </c>
      <c r="F506" t="s">
        <v>19</v>
      </c>
      <c r="G506" t="s">
        <v>20</v>
      </c>
      <c r="H506">
        <v>3</v>
      </c>
      <c r="I506">
        <v>3</v>
      </c>
      <c r="J506">
        <v>1111.6589814177564</v>
      </c>
      <c r="K506" s="5">
        <v>1.025033E-2</v>
      </c>
      <c r="L506" t="s">
        <v>21</v>
      </c>
      <c r="M506" s="4">
        <v>782270</v>
      </c>
      <c r="N506" s="3">
        <v>1304.3568</v>
      </c>
      <c r="O506" t="s">
        <v>22</v>
      </c>
      <c r="P506" t="s">
        <v>28</v>
      </c>
      <c r="Q506" t="s">
        <v>24</v>
      </c>
      <c r="R506" t="s">
        <v>54</v>
      </c>
      <c r="S506">
        <v>11</v>
      </c>
    </row>
    <row r="507" spans="1:19" x14ac:dyDescent="0.3">
      <c r="A507" s="1">
        <v>40870</v>
      </c>
      <c r="B507">
        <v>2011</v>
      </c>
      <c r="C507" t="s">
        <v>52</v>
      </c>
      <c r="D507" s="4">
        <v>149900</v>
      </c>
      <c r="E507" s="2">
        <v>217000</v>
      </c>
      <c r="F507" t="s">
        <v>19</v>
      </c>
      <c r="G507" t="s">
        <v>20</v>
      </c>
      <c r="H507">
        <v>3</v>
      </c>
      <c r="I507">
        <v>2</v>
      </c>
      <c r="J507">
        <v>1026</v>
      </c>
      <c r="K507" s="5">
        <v>1.025033E-2</v>
      </c>
      <c r="L507" t="s">
        <v>38</v>
      </c>
      <c r="M507" s="4">
        <v>67100</v>
      </c>
      <c r="N507" s="3">
        <v>211.501</v>
      </c>
      <c r="O507" t="s">
        <v>22</v>
      </c>
      <c r="P507" t="s">
        <v>24</v>
      </c>
      <c r="Q507" t="s">
        <v>24</v>
      </c>
      <c r="R507" t="s">
        <v>54</v>
      </c>
      <c r="S507">
        <v>11</v>
      </c>
    </row>
    <row r="508" spans="1:19" x14ac:dyDescent="0.3">
      <c r="A508" s="1">
        <v>40871</v>
      </c>
      <c r="B508">
        <v>2011</v>
      </c>
      <c r="C508" t="s">
        <v>29</v>
      </c>
      <c r="D508" s="4">
        <v>444584.20699999999</v>
      </c>
      <c r="E508" s="2">
        <v>113000</v>
      </c>
      <c r="F508" t="s">
        <v>30</v>
      </c>
      <c r="G508" t="s">
        <v>31</v>
      </c>
      <c r="H508">
        <v>4</v>
      </c>
      <c r="I508">
        <v>4</v>
      </c>
      <c r="J508">
        <v>1367</v>
      </c>
      <c r="K508" s="5">
        <v>1.025033E-2</v>
      </c>
      <c r="L508" t="s">
        <v>38</v>
      </c>
      <c r="M508" s="4">
        <v>-331584.20699999999</v>
      </c>
      <c r="N508" s="3">
        <v>82.662800000000004</v>
      </c>
      <c r="O508" t="s">
        <v>33</v>
      </c>
      <c r="P508" t="s">
        <v>23</v>
      </c>
      <c r="Q508" t="s">
        <v>34</v>
      </c>
      <c r="R508" t="s">
        <v>54</v>
      </c>
      <c r="S508">
        <v>11</v>
      </c>
    </row>
    <row r="509" spans="1:19" x14ac:dyDescent="0.3">
      <c r="A509" s="1">
        <v>40872</v>
      </c>
      <c r="B509">
        <v>2011</v>
      </c>
      <c r="C509" t="s">
        <v>52</v>
      </c>
      <c r="D509" s="4">
        <v>210800</v>
      </c>
      <c r="E509" s="2">
        <v>295000</v>
      </c>
      <c r="F509" t="s">
        <v>19</v>
      </c>
      <c r="G509" t="s">
        <v>20</v>
      </c>
      <c r="H509">
        <v>3</v>
      </c>
      <c r="I509">
        <v>1</v>
      </c>
      <c r="J509">
        <v>991</v>
      </c>
      <c r="K509" s="5">
        <v>1.025033E-2</v>
      </c>
      <c r="L509" t="s">
        <v>27</v>
      </c>
      <c r="M509" s="4">
        <v>84200</v>
      </c>
      <c r="N509" s="3">
        <v>297.67910000000001</v>
      </c>
      <c r="O509" t="s">
        <v>22</v>
      </c>
      <c r="P509" t="s">
        <v>24</v>
      </c>
      <c r="Q509" t="s">
        <v>24</v>
      </c>
      <c r="R509" t="s">
        <v>54</v>
      </c>
      <c r="S509">
        <v>11</v>
      </c>
    </row>
    <row r="510" spans="1:19" x14ac:dyDescent="0.3">
      <c r="A510" s="1">
        <v>40877</v>
      </c>
      <c r="B510">
        <v>2011</v>
      </c>
      <c r="C510" t="s">
        <v>52</v>
      </c>
      <c r="D510" s="4">
        <v>237100</v>
      </c>
      <c r="E510" s="2">
        <v>190000</v>
      </c>
      <c r="F510" t="s">
        <v>19</v>
      </c>
      <c r="G510" t="s">
        <v>20</v>
      </c>
      <c r="H510">
        <v>3</v>
      </c>
      <c r="I510">
        <v>1</v>
      </c>
      <c r="J510">
        <v>966</v>
      </c>
      <c r="K510" s="5">
        <v>1.025033E-2</v>
      </c>
      <c r="L510" t="s">
        <v>27</v>
      </c>
      <c r="M510" s="4">
        <v>-47100</v>
      </c>
      <c r="N510" s="3">
        <v>196.6874</v>
      </c>
      <c r="O510" t="s">
        <v>33</v>
      </c>
      <c r="P510" t="s">
        <v>23</v>
      </c>
      <c r="Q510" t="s">
        <v>24</v>
      </c>
      <c r="R510" t="s">
        <v>54</v>
      </c>
      <c r="S510">
        <v>11</v>
      </c>
    </row>
    <row r="511" spans="1:19" x14ac:dyDescent="0.3">
      <c r="A511" s="1">
        <v>40878</v>
      </c>
      <c r="B511">
        <v>2011</v>
      </c>
      <c r="C511" t="s">
        <v>39</v>
      </c>
      <c r="D511" s="4">
        <v>312130</v>
      </c>
      <c r="E511" s="2">
        <v>310000</v>
      </c>
      <c r="F511" t="s">
        <v>19</v>
      </c>
      <c r="G511" t="s">
        <v>20</v>
      </c>
      <c r="H511">
        <v>3</v>
      </c>
      <c r="I511">
        <v>1</v>
      </c>
      <c r="J511">
        <v>994</v>
      </c>
      <c r="K511" s="5">
        <v>1.025033E-2</v>
      </c>
      <c r="L511" t="s">
        <v>32</v>
      </c>
      <c r="M511" s="4">
        <v>-2130</v>
      </c>
      <c r="N511" s="3">
        <v>311.87119999999999</v>
      </c>
      <c r="O511" t="s">
        <v>33</v>
      </c>
      <c r="P511" t="s">
        <v>24</v>
      </c>
      <c r="Q511" t="s">
        <v>24</v>
      </c>
      <c r="R511" t="s">
        <v>55</v>
      </c>
      <c r="S511">
        <v>12</v>
      </c>
    </row>
    <row r="512" spans="1:19" x14ac:dyDescent="0.3">
      <c r="A512" s="1">
        <v>40879</v>
      </c>
      <c r="B512">
        <v>2011</v>
      </c>
      <c r="C512" t="s">
        <v>29</v>
      </c>
      <c r="D512" s="4">
        <v>444584.20699999999</v>
      </c>
      <c r="E512" s="2">
        <v>150000</v>
      </c>
      <c r="F512" t="s">
        <v>42</v>
      </c>
      <c r="G512" t="s">
        <v>43</v>
      </c>
      <c r="H512">
        <v>8</v>
      </c>
      <c r="I512">
        <v>7</v>
      </c>
      <c r="J512">
        <v>2781</v>
      </c>
      <c r="K512" s="5">
        <v>1.025033E-2</v>
      </c>
      <c r="L512" t="s">
        <v>32</v>
      </c>
      <c r="M512" s="4">
        <v>-294584.20699999999</v>
      </c>
      <c r="N512" s="3">
        <v>53.937399999999997</v>
      </c>
      <c r="O512" t="s">
        <v>33</v>
      </c>
      <c r="P512" t="s">
        <v>23</v>
      </c>
      <c r="Q512" t="s">
        <v>34</v>
      </c>
      <c r="R512" t="s">
        <v>55</v>
      </c>
      <c r="S512">
        <v>12</v>
      </c>
    </row>
    <row r="513" spans="1:19" x14ac:dyDescent="0.3">
      <c r="A513" s="1">
        <v>40881</v>
      </c>
      <c r="B513">
        <v>2011</v>
      </c>
      <c r="C513" t="s">
        <v>26</v>
      </c>
      <c r="D513" s="4">
        <v>623630</v>
      </c>
      <c r="E513" s="2">
        <v>820000</v>
      </c>
      <c r="F513" t="s">
        <v>19</v>
      </c>
      <c r="G513" t="s">
        <v>20</v>
      </c>
      <c r="H513">
        <v>3</v>
      </c>
      <c r="I513">
        <v>3</v>
      </c>
      <c r="J513">
        <v>1078</v>
      </c>
      <c r="K513" s="5">
        <v>1.025033E-2</v>
      </c>
      <c r="L513" t="s">
        <v>21</v>
      </c>
      <c r="M513" s="4">
        <v>196370</v>
      </c>
      <c r="N513" s="3">
        <v>760.66790000000003</v>
      </c>
      <c r="O513" t="s">
        <v>22</v>
      </c>
      <c r="P513" t="s">
        <v>28</v>
      </c>
      <c r="Q513" t="s">
        <v>24</v>
      </c>
      <c r="R513" t="s">
        <v>55</v>
      </c>
      <c r="S513">
        <v>12</v>
      </c>
    </row>
    <row r="514" spans="1:19" x14ac:dyDescent="0.3">
      <c r="A514" s="1">
        <v>40884</v>
      </c>
      <c r="B514">
        <v>2011</v>
      </c>
      <c r="C514" t="s">
        <v>29</v>
      </c>
      <c r="D514" s="4">
        <v>176900</v>
      </c>
      <c r="E514" s="2">
        <v>185000</v>
      </c>
      <c r="F514" t="s">
        <v>42</v>
      </c>
      <c r="G514" t="s">
        <v>43</v>
      </c>
      <c r="H514">
        <v>8</v>
      </c>
      <c r="I514">
        <v>6</v>
      </c>
      <c r="J514">
        <v>2627</v>
      </c>
      <c r="K514" s="5">
        <v>1.025033E-2</v>
      </c>
      <c r="L514" t="s">
        <v>38</v>
      </c>
      <c r="M514" s="4">
        <v>8100</v>
      </c>
      <c r="N514" s="3">
        <v>70.422499999999999</v>
      </c>
      <c r="O514" t="s">
        <v>22</v>
      </c>
      <c r="P514" t="s">
        <v>23</v>
      </c>
      <c r="Q514" t="s">
        <v>34</v>
      </c>
      <c r="R514" t="s">
        <v>55</v>
      </c>
      <c r="S514">
        <v>12</v>
      </c>
    </row>
    <row r="515" spans="1:19" x14ac:dyDescent="0.3">
      <c r="A515" s="1">
        <v>40885</v>
      </c>
      <c r="B515">
        <v>2011</v>
      </c>
      <c r="C515" t="s">
        <v>29</v>
      </c>
      <c r="D515" s="4">
        <v>135570</v>
      </c>
      <c r="E515" s="2">
        <v>136500</v>
      </c>
      <c r="F515" t="s">
        <v>19</v>
      </c>
      <c r="G515" t="s">
        <v>20</v>
      </c>
      <c r="H515">
        <v>3</v>
      </c>
      <c r="I515">
        <v>1</v>
      </c>
      <c r="J515">
        <v>1092</v>
      </c>
      <c r="K515" s="5">
        <v>1.025033E-2</v>
      </c>
      <c r="L515" t="s">
        <v>21</v>
      </c>
      <c r="M515" s="4">
        <v>930</v>
      </c>
      <c r="N515" s="3">
        <v>125</v>
      </c>
      <c r="O515" t="s">
        <v>22</v>
      </c>
      <c r="P515" t="s">
        <v>23</v>
      </c>
      <c r="Q515" t="s">
        <v>24</v>
      </c>
      <c r="R515" t="s">
        <v>55</v>
      </c>
      <c r="S515">
        <v>12</v>
      </c>
    </row>
    <row r="516" spans="1:19" x14ac:dyDescent="0.3">
      <c r="A516" s="1">
        <v>40887</v>
      </c>
      <c r="B516">
        <v>2011</v>
      </c>
      <c r="C516" t="s">
        <v>29</v>
      </c>
      <c r="D516" s="4">
        <v>444584.20699999999</v>
      </c>
      <c r="E516" s="2">
        <v>200000</v>
      </c>
      <c r="F516" t="s">
        <v>36</v>
      </c>
      <c r="G516" t="s">
        <v>37</v>
      </c>
      <c r="H516">
        <v>6</v>
      </c>
      <c r="I516">
        <v>4</v>
      </c>
      <c r="J516">
        <v>2122</v>
      </c>
      <c r="K516" s="5">
        <v>1.025033E-2</v>
      </c>
      <c r="L516" t="s">
        <v>38</v>
      </c>
      <c r="M516" s="4">
        <v>-244584.20699999999</v>
      </c>
      <c r="N516" s="3">
        <v>94.250699999999995</v>
      </c>
      <c r="O516" t="s">
        <v>33</v>
      </c>
      <c r="P516" t="s">
        <v>24</v>
      </c>
      <c r="Q516" t="s">
        <v>34</v>
      </c>
      <c r="R516" t="s">
        <v>55</v>
      </c>
      <c r="S516">
        <v>12</v>
      </c>
    </row>
    <row r="517" spans="1:19" x14ac:dyDescent="0.3">
      <c r="A517" s="1">
        <v>40891</v>
      </c>
      <c r="B517">
        <v>2011</v>
      </c>
      <c r="C517" t="s">
        <v>52</v>
      </c>
      <c r="D517" s="4">
        <v>455200</v>
      </c>
      <c r="E517" s="2">
        <v>228750</v>
      </c>
      <c r="F517" t="s">
        <v>19</v>
      </c>
      <c r="G517" t="s">
        <v>20</v>
      </c>
      <c r="H517">
        <v>3</v>
      </c>
      <c r="I517">
        <v>3</v>
      </c>
      <c r="J517">
        <v>928</v>
      </c>
      <c r="K517" s="5">
        <v>1.025033E-2</v>
      </c>
      <c r="L517" t="s">
        <v>21</v>
      </c>
      <c r="M517" s="4">
        <v>-226450</v>
      </c>
      <c r="N517" s="3">
        <v>246.49780000000001</v>
      </c>
      <c r="O517" t="s">
        <v>33</v>
      </c>
      <c r="P517" t="s">
        <v>24</v>
      </c>
      <c r="Q517" t="s">
        <v>24</v>
      </c>
      <c r="R517" t="s">
        <v>55</v>
      </c>
      <c r="S517">
        <v>12</v>
      </c>
    </row>
    <row r="518" spans="1:19" x14ac:dyDescent="0.3">
      <c r="A518" s="1">
        <v>40892</v>
      </c>
      <c r="B518">
        <v>2011</v>
      </c>
      <c r="C518" t="s">
        <v>35</v>
      </c>
      <c r="D518" s="4">
        <v>4756780</v>
      </c>
      <c r="E518" s="2">
        <v>5800000</v>
      </c>
      <c r="F518" t="s">
        <v>19</v>
      </c>
      <c r="G518" t="s">
        <v>20</v>
      </c>
      <c r="H518">
        <v>3</v>
      </c>
      <c r="I518">
        <v>1</v>
      </c>
      <c r="J518">
        <v>1100</v>
      </c>
      <c r="K518" s="5">
        <v>1.025033E-2</v>
      </c>
      <c r="L518" t="s">
        <v>32</v>
      </c>
      <c r="M518" s="4">
        <v>1043220</v>
      </c>
      <c r="N518" s="3">
        <v>5272.7272999999996</v>
      </c>
      <c r="O518" t="s">
        <v>22</v>
      </c>
      <c r="P518" t="s">
        <v>28</v>
      </c>
      <c r="Q518" t="s">
        <v>24</v>
      </c>
      <c r="R518" t="s">
        <v>55</v>
      </c>
      <c r="S518">
        <v>12</v>
      </c>
    </row>
    <row r="519" spans="1:19" x14ac:dyDescent="0.3">
      <c r="A519" s="1">
        <v>40893</v>
      </c>
      <c r="B519">
        <v>2011</v>
      </c>
      <c r="C519" t="s">
        <v>18</v>
      </c>
      <c r="D519" s="4">
        <v>444584.20699999999</v>
      </c>
      <c r="E519" s="2">
        <v>104000</v>
      </c>
      <c r="F519" t="s">
        <v>19</v>
      </c>
      <c r="G519" t="s">
        <v>20</v>
      </c>
      <c r="H519">
        <v>3</v>
      </c>
      <c r="I519">
        <v>3</v>
      </c>
      <c r="J519">
        <v>988</v>
      </c>
      <c r="K519" s="5">
        <v>1.025033E-2</v>
      </c>
      <c r="L519" t="s">
        <v>32</v>
      </c>
      <c r="M519" s="4">
        <v>-340584.20699999999</v>
      </c>
      <c r="N519" s="3">
        <v>105.2632</v>
      </c>
      <c r="O519" t="s">
        <v>33</v>
      </c>
      <c r="P519" t="s">
        <v>23</v>
      </c>
      <c r="Q519" t="s">
        <v>24</v>
      </c>
      <c r="R519" t="s">
        <v>55</v>
      </c>
      <c r="S519">
        <v>12</v>
      </c>
    </row>
    <row r="520" spans="1:19" x14ac:dyDescent="0.3">
      <c r="A520" s="1">
        <v>40895</v>
      </c>
      <c r="B520">
        <v>2011</v>
      </c>
      <c r="C520" t="s">
        <v>39</v>
      </c>
      <c r="D520" s="4">
        <v>679000</v>
      </c>
      <c r="E520" s="2">
        <v>377500</v>
      </c>
      <c r="F520" t="s">
        <v>19</v>
      </c>
      <c r="G520" t="s">
        <v>20</v>
      </c>
      <c r="H520">
        <v>3</v>
      </c>
      <c r="I520">
        <v>3</v>
      </c>
      <c r="J520">
        <v>1111.6589814177564</v>
      </c>
      <c r="K520" s="5">
        <v>1.025033E-2</v>
      </c>
      <c r="L520" t="s">
        <v>32</v>
      </c>
      <c r="M520" s="4">
        <v>-301500</v>
      </c>
      <c r="N520" s="3">
        <v>339.58260000000001</v>
      </c>
      <c r="O520" t="s">
        <v>33</v>
      </c>
      <c r="P520" t="s">
        <v>24</v>
      </c>
      <c r="Q520" t="s">
        <v>24</v>
      </c>
      <c r="R520" t="s">
        <v>55</v>
      </c>
      <c r="S520">
        <v>12</v>
      </c>
    </row>
    <row r="521" spans="1:19" x14ac:dyDescent="0.3">
      <c r="A521" s="1">
        <v>40898</v>
      </c>
      <c r="B521">
        <v>2011</v>
      </c>
      <c r="C521" t="s">
        <v>39</v>
      </c>
      <c r="D521" s="4">
        <v>341250</v>
      </c>
      <c r="E521" s="2">
        <v>320000</v>
      </c>
      <c r="F521" t="s">
        <v>30</v>
      </c>
      <c r="G521" t="s">
        <v>31</v>
      </c>
      <c r="H521">
        <v>4</v>
      </c>
      <c r="I521">
        <v>3</v>
      </c>
      <c r="J521">
        <v>1362</v>
      </c>
      <c r="K521" s="5">
        <v>1.025033E-2</v>
      </c>
      <c r="L521" t="s">
        <v>38</v>
      </c>
      <c r="M521" s="4">
        <v>-21250</v>
      </c>
      <c r="N521" s="3">
        <v>234.9486</v>
      </c>
      <c r="O521" t="s">
        <v>33</v>
      </c>
      <c r="P521" t="s">
        <v>24</v>
      </c>
      <c r="Q521" t="s">
        <v>34</v>
      </c>
      <c r="R521" t="s">
        <v>55</v>
      </c>
      <c r="S521">
        <v>12</v>
      </c>
    </row>
    <row r="522" spans="1:19" x14ac:dyDescent="0.3">
      <c r="A522" s="1">
        <v>40900</v>
      </c>
      <c r="B522">
        <v>2011</v>
      </c>
      <c r="C522" t="s">
        <v>35</v>
      </c>
      <c r="D522" s="4">
        <v>464380</v>
      </c>
      <c r="E522" s="2">
        <v>425000</v>
      </c>
      <c r="F522" t="s">
        <v>19</v>
      </c>
      <c r="G522" t="s">
        <v>20</v>
      </c>
      <c r="H522">
        <v>3</v>
      </c>
      <c r="I522">
        <v>3</v>
      </c>
      <c r="J522">
        <v>905</v>
      </c>
      <c r="K522" s="5">
        <v>1.025033E-2</v>
      </c>
      <c r="L522" t="s">
        <v>32</v>
      </c>
      <c r="M522" s="4">
        <v>-39380</v>
      </c>
      <c r="N522" s="3">
        <v>469.61329999999998</v>
      </c>
      <c r="O522" t="s">
        <v>33</v>
      </c>
      <c r="P522" t="s">
        <v>24</v>
      </c>
      <c r="Q522" t="s">
        <v>24</v>
      </c>
      <c r="R522" t="s">
        <v>55</v>
      </c>
      <c r="S522">
        <v>12</v>
      </c>
    </row>
    <row r="523" spans="1:19" x14ac:dyDescent="0.3">
      <c r="A523" s="1">
        <v>40901</v>
      </c>
      <c r="B523">
        <v>2011</v>
      </c>
      <c r="C523" t="s">
        <v>39</v>
      </c>
      <c r="D523" s="4">
        <v>1054550</v>
      </c>
      <c r="E523" s="2">
        <v>1262000</v>
      </c>
      <c r="F523" t="s">
        <v>19</v>
      </c>
      <c r="G523" t="s">
        <v>20</v>
      </c>
      <c r="H523">
        <v>3</v>
      </c>
      <c r="I523">
        <v>3</v>
      </c>
      <c r="J523">
        <v>921</v>
      </c>
      <c r="K523" s="5">
        <v>1.025033E-2</v>
      </c>
      <c r="L523" t="s">
        <v>38</v>
      </c>
      <c r="M523" s="4">
        <v>207450</v>
      </c>
      <c r="N523" s="3">
        <v>1370.2497000000001</v>
      </c>
      <c r="O523" t="s">
        <v>22</v>
      </c>
      <c r="P523" t="s">
        <v>28</v>
      </c>
      <c r="Q523" t="s">
        <v>24</v>
      </c>
      <c r="R523" t="s">
        <v>55</v>
      </c>
      <c r="S523">
        <v>12</v>
      </c>
    </row>
    <row r="524" spans="1:19" x14ac:dyDescent="0.3">
      <c r="A524" s="1">
        <v>40905</v>
      </c>
      <c r="B524">
        <v>2011</v>
      </c>
      <c r="C524" t="s">
        <v>29</v>
      </c>
      <c r="D524" s="4">
        <v>169450</v>
      </c>
      <c r="E524" s="2">
        <v>45731</v>
      </c>
      <c r="F524" t="s">
        <v>30</v>
      </c>
      <c r="G524" t="s">
        <v>31</v>
      </c>
      <c r="H524">
        <v>4</v>
      </c>
      <c r="I524">
        <v>3</v>
      </c>
      <c r="J524">
        <v>1472</v>
      </c>
      <c r="K524" s="5">
        <v>1.025033E-2</v>
      </c>
      <c r="L524" t="s">
        <v>21</v>
      </c>
      <c r="M524" s="4">
        <v>-123719</v>
      </c>
      <c r="N524" s="3">
        <v>31.067299999999999</v>
      </c>
      <c r="O524" t="s">
        <v>33</v>
      </c>
      <c r="P524" t="s">
        <v>23</v>
      </c>
      <c r="Q524" t="s">
        <v>34</v>
      </c>
      <c r="R524" t="s">
        <v>55</v>
      </c>
      <c r="S524">
        <v>12</v>
      </c>
    </row>
    <row r="525" spans="1:19" x14ac:dyDescent="0.3">
      <c r="A525" s="1">
        <v>40906</v>
      </c>
      <c r="B525">
        <v>2011</v>
      </c>
      <c r="C525" t="s">
        <v>18</v>
      </c>
      <c r="D525" s="4">
        <v>126990</v>
      </c>
      <c r="E525" s="2">
        <v>69000</v>
      </c>
      <c r="F525" t="s">
        <v>36</v>
      </c>
      <c r="G525" t="s">
        <v>37</v>
      </c>
      <c r="H525">
        <v>6</v>
      </c>
      <c r="I525">
        <v>5</v>
      </c>
      <c r="J525">
        <v>2113</v>
      </c>
      <c r="K525" s="5">
        <v>1.025033E-2</v>
      </c>
      <c r="L525" t="s">
        <v>27</v>
      </c>
      <c r="M525" s="4">
        <v>-57990</v>
      </c>
      <c r="N525" s="3">
        <v>32.655000000000001</v>
      </c>
      <c r="O525" t="s">
        <v>33</v>
      </c>
      <c r="P525" t="s">
        <v>23</v>
      </c>
      <c r="Q525" t="s">
        <v>34</v>
      </c>
      <c r="R525" t="s">
        <v>55</v>
      </c>
      <c r="S525">
        <v>12</v>
      </c>
    </row>
    <row r="526" spans="1:19" x14ac:dyDescent="0.3">
      <c r="A526" s="1">
        <v>40907</v>
      </c>
      <c r="B526">
        <v>2011</v>
      </c>
      <c r="C526" t="s">
        <v>18</v>
      </c>
      <c r="D526" s="4">
        <v>444584.20699999999</v>
      </c>
      <c r="E526" s="2">
        <v>20500</v>
      </c>
      <c r="F526" t="s">
        <v>36</v>
      </c>
      <c r="G526" t="s">
        <v>37</v>
      </c>
      <c r="H526">
        <v>6</v>
      </c>
      <c r="I526">
        <v>4</v>
      </c>
      <c r="J526">
        <v>1900</v>
      </c>
      <c r="K526" s="5">
        <v>1.025033E-2</v>
      </c>
      <c r="L526" t="s">
        <v>27</v>
      </c>
      <c r="M526" s="4">
        <v>-424084.20699999999</v>
      </c>
      <c r="N526" s="3">
        <v>10.7895</v>
      </c>
      <c r="O526" t="s">
        <v>33</v>
      </c>
      <c r="P526" t="s">
        <v>23</v>
      </c>
      <c r="Q526" t="s">
        <v>34</v>
      </c>
      <c r="R526" t="s">
        <v>55</v>
      </c>
      <c r="S526">
        <v>12</v>
      </c>
    </row>
    <row r="527" spans="1:19" x14ac:dyDescent="0.3">
      <c r="A527" s="1">
        <v>40912</v>
      </c>
      <c r="B527">
        <v>2012</v>
      </c>
      <c r="C527" t="s">
        <v>56</v>
      </c>
      <c r="D527" s="4">
        <v>362420</v>
      </c>
      <c r="E527" s="2">
        <v>410000</v>
      </c>
      <c r="F527" t="s">
        <v>19</v>
      </c>
      <c r="G527" t="s">
        <v>20</v>
      </c>
      <c r="H527">
        <v>3</v>
      </c>
      <c r="I527">
        <v>1</v>
      </c>
      <c r="J527">
        <v>1063</v>
      </c>
      <c r="K527" s="5">
        <v>1.0219580000000001E-2</v>
      </c>
      <c r="L527" t="s">
        <v>27</v>
      </c>
      <c r="M527" s="4">
        <v>47580</v>
      </c>
      <c r="N527" s="3">
        <v>385.70080000000002</v>
      </c>
      <c r="O527" t="s">
        <v>22</v>
      </c>
      <c r="P527" t="s">
        <v>24</v>
      </c>
      <c r="Q527" t="s">
        <v>24</v>
      </c>
      <c r="R527" t="s">
        <v>25</v>
      </c>
      <c r="S527">
        <v>1</v>
      </c>
    </row>
    <row r="528" spans="1:19" x14ac:dyDescent="0.3">
      <c r="A528" s="1">
        <v>40913</v>
      </c>
      <c r="B528">
        <v>2012</v>
      </c>
      <c r="C528" t="s">
        <v>18</v>
      </c>
      <c r="D528" s="4">
        <v>139780</v>
      </c>
      <c r="E528" s="2">
        <v>20000</v>
      </c>
      <c r="F528" t="s">
        <v>36</v>
      </c>
      <c r="G528" t="s">
        <v>37</v>
      </c>
      <c r="H528">
        <v>6</v>
      </c>
      <c r="I528">
        <v>6</v>
      </c>
      <c r="J528">
        <v>1111.6589814177564</v>
      </c>
      <c r="K528" s="5">
        <v>1.0219580000000001E-2</v>
      </c>
      <c r="L528" t="s">
        <v>21</v>
      </c>
      <c r="M528" s="4">
        <v>-119780</v>
      </c>
      <c r="N528" s="3">
        <v>17.991099999999999</v>
      </c>
      <c r="O528" t="s">
        <v>33</v>
      </c>
      <c r="P528" t="s">
        <v>23</v>
      </c>
      <c r="Q528" t="s">
        <v>24</v>
      </c>
      <c r="R528" t="s">
        <v>25</v>
      </c>
      <c r="S528">
        <v>1</v>
      </c>
    </row>
    <row r="529" spans="1:19" x14ac:dyDescent="0.3">
      <c r="A529" s="1">
        <v>40915</v>
      </c>
      <c r="B529">
        <v>2012</v>
      </c>
      <c r="C529" t="s">
        <v>52</v>
      </c>
      <c r="D529" s="4">
        <v>171600</v>
      </c>
      <c r="E529" s="2">
        <v>212998</v>
      </c>
      <c r="F529" t="s">
        <v>19</v>
      </c>
      <c r="G529" t="s">
        <v>20</v>
      </c>
      <c r="H529">
        <v>3</v>
      </c>
      <c r="I529">
        <v>3</v>
      </c>
      <c r="J529">
        <v>1111.6589814177564</v>
      </c>
      <c r="K529" s="5">
        <v>1.0219580000000001E-2</v>
      </c>
      <c r="L529" t="s">
        <v>38</v>
      </c>
      <c r="M529" s="4">
        <v>41398</v>
      </c>
      <c r="N529" s="3">
        <v>191.6037</v>
      </c>
      <c r="O529" t="s">
        <v>22</v>
      </c>
      <c r="P529" t="s">
        <v>24</v>
      </c>
      <c r="Q529" t="s">
        <v>24</v>
      </c>
      <c r="R529" t="s">
        <v>25</v>
      </c>
      <c r="S529">
        <v>1</v>
      </c>
    </row>
    <row r="530" spans="1:19" x14ac:dyDescent="0.3">
      <c r="A530" s="1">
        <v>40918</v>
      </c>
      <c r="B530">
        <v>2012</v>
      </c>
      <c r="C530" t="s">
        <v>26</v>
      </c>
      <c r="D530" s="4">
        <v>299880</v>
      </c>
      <c r="E530" s="2">
        <v>215000</v>
      </c>
      <c r="F530" t="s">
        <v>19</v>
      </c>
      <c r="G530" t="s">
        <v>20</v>
      </c>
      <c r="H530">
        <v>3</v>
      </c>
      <c r="I530">
        <v>3</v>
      </c>
      <c r="J530">
        <v>942</v>
      </c>
      <c r="K530" s="5">
        <v>1.0219580000000001E-2</v>
      </c>
      <c r="L530" t="s">
        <v>21</v>
      </c>
      <c r="M530" s="4">
        <v>-84880</v>
      </c>
      <c r="N530" s="3">
        <v>228.23779999999999</v>
      </c>
      <c r="O530" t="s">
        <v>33</v>
      </c>
      <c r="P530" t="s">
        <v>24</v>
      </c>
      <c r="Q530" t="s">
        <v>24</v>
      </c>
      <c r="R530" t="s">
        <v>25</v>
      </c>
      <c r="S530">
        <v>1</v>
      </c>
    </row>
    <row r="531" spans="1:19" x14ac:dyDescent="0.3">
      <c r="A531" s="1">
        <v>40919</v>
      </c>
      <c r="B531">
        <v>2012</v>
      </c>
      <c r="C531" t="s">
        <v>40</v>
      </c>
      <c r="D531" s="4">
        <v>158280</v>
      </c>
      <c r="E531" s="2">
        <v>110000</v>
      </c>
      <c r="F531" t="s">
        <v>36</v>
      </c>
      <c r="G531" t="s">
        <v>37</v>
      </c>
      <c r="H531">
        <v>6</v>
      </c>
      <c r="I531">
        <v>5</v>
      </c>
      <c r="J531">
        <v>1840</v>
      </c>
      <c r="K531" s="5">
        <v>1.0219580000000001E-2</v>
      </c>
      <c r="L531" t="s">
        <v>27</v>
      </c>
      <c r="M531" s="4">
        <v>-48280</v>
      </c>
      <c r="N531" s="3">
        <v>59.782600000000002</v>
      </c>
      <c r="O531" t="s">
        <v>33</v>
      </c>
      <c r="P531" t="s">
        <v>23</v>
      </c>
      <c r="Q531" t="s">
        <v>34</v>
      </c>
      <c r="R531" t="s">
        <v>25</v>
      </c>
      <c r="S531">
        <v>1</v>
      </c>
    </row>
    <row r="532" spans="1:19" x14ac:dyDescent="0.3">
      <c r="A532" s="1">
        <v>40920</v>
      </c>
      <c r="B532">
        <v>2012</v>
      </c>
      <c r="C532" t="s">
        <v>52</v>
      </c>
      <c r="D532" s="4">
        <v>221800</v>
      </c>
      <c r="E532" s="2">
        <v>325500</v>
      </c>
      <c r="F532" t="s">
        <v>19</v>
      </c>
      <c r="G532" t="s">
        <v>20</v>
      </c>
      <c r="H532">
        <v>3</v>
      </c>
      <c r="I532">
        <v>1</v>
      </c>
      <c r="J532">
        <v>1033</v>
      </c>
      <c r="K532" s="5">
        <v>1.0219580000000001E-2</v>
      </c>
      <c r="L532" t="s">
        <v>27</v>
      </c>
      <c r="M532" s="4">
        <v>103700</v>
      </c>
      <c r="N532" s="3">
        <v>315.10160000000002</v>
      </c>
      <c r="O532" t="s">
        <v>22</v>
      </c>
      <c r="P532" t="s">
        <v>24</v>
      </c>
      <c r="Q532" t="s">
        <v>24</v>
      </c>
      <c r="R532" t="s">
        <v>25</v>
      </c>
      <c r="S532">
        <v>1</v>
      </c>
    </row>
    <row r="533" spans="1:19" x14ac:dyDescent="0.3">
      <c r="A533" s="1">
        <v>40922</v>
      </c>
      <c r="B533">
        <v>2012</v>
      </c>
      <c r="C533" t="s">
        <v>18</v>
      </c>
      <c r="D533" s="4">
        <v>142990</v>
      </c>
      <c r="E533" s="2">
        <v>99900</v>
      </c>
      <c r="F533" t="s">
        <v>19</v>
      </c>
      <c r="G533" t="s">
        <v>20</v>
      </c>
      <c r="H533">
        <v>3</v>
      </c>
      <c r="I533">
        <v>1</v>
      </c>
      <c r="J533">
        <v>1111.6589814177564</v>
      </c>
      <c r="K533" s="5">
        <v>1.0219580000000001E-2</v>
      </c>
      <c r="L533" t="s">
        <v>32</v>
      </c>
      <c r="M533" s="4">
        <v>-43090</v>
      </c>
      <c r="N533" s="3">
        <v>89.865700000000004</v>
      </c>
      <c r="O533" t="s">
        <v>33</v>
      </c>
      <c r="P533" t="s">
        <v>23</v>
      </c>
      <c r="Q533" t="s">
        <v>24</v>
      </c>
      <c r="R533" t="s">
        <v>25</v>
      </c>
      <c r="S533">
        <v>1</v>
      </c>
    </row>
    <row r="534" spans="1:19" x14ac:dyDescent="0.3">
      <c r="A534" s="1">
        <v>40923</v>
      </c>
      <c r="B534">
        <v>2012</v>
      </c>
      <c r="C534" t="s">
        <v>35</v>
      </c>
      <c r="D534" s="4">
        <v>819560</v>
      </c>
      <c r="E534" s="2">
        <v>760000</v>
      </c>
      <c r="F534" t="s">
        <v>19</v>
      </c>
      <c r="G534" t="s">
        <v>20</v>
      </c>
      <c r="H534">
        <v>3</v>
      </c>
      <c r="I534">
        <v>3</v>
      </c>
      <c r="J534">
        <v>1038</v>
      </c>
      <c r="K534" s="5">
        <v>1.0219580000000001E-2</v>
      </c>
      <c r="L534" t="s">
        <v>21</v>
      </c>
      <c r="M534" s="4">
        <v>-59560</v>
      </c>
      <c r="N534" s="3">
        <v>732.17729999999995</v>
      </c>
      <c r="O534" t="s">
        <v>33</v>
      </c>
      <c r="P534" t="s">
        <v>28</v>
      </c>
      <c r="Q534" t="s">
        <v>24</v>
      </c>
      <c r="R534" t="s">
        <v>25</v>
      </c>
      <c r="S534">
        <v>1</v>
      </c>
    </row>
    <row r="535" spans="1:19" x14ac:dyDescent="0.3">
      <c r="A535" s="1">
        <v>40927</v>
      </c>
      <c r="B535">
        <v>2012</v>
      </c>
      <c r="C535" t="s">
        <v>35</v>
      </c>
      <c r="D535" s="4">
        <v>908320</v>
      </c>
      <c r="E535" s="2">
        <v>1350000</v>
      </c>
      <c r="F535" t="s">
        <v>19</v>
      </c>
      <c r="G535" t="s">
        <v>20</v>
      </c>
      <c r="H535">
        <v>3</v>
      </c>
      <c r="I535">
        <v>2</v>
      </c>
      <c r="J535">
        <v>1042</v>
      </c>
      <c r="K535" s="5">
        <v>1.0219580000000001E-2</v>
      </c>
      <c r="L535" t="s">
        <v>32</v>
      </c>
      <c r="M535" s="4">
        <v>441680</v>
      </c>
      <c r="N535" s="3">
        <v>1295.5853999999999</v>
      </c>
      <c r="O535" t="s">
        <v>22</v>
      </c>
      <c r="P535" t="s">
        <v>28</v>
      </c>
      <c r="Q535" t="s">
        <v>24</v>
      </c>
      <c r="R535" t="s">
        <v>25</v>
      </c>
      <c r="S535">
        <v>1</v>
      </c>
    </row>
    <row r="536" spans="1:19" x14ac:dyDescent="0.3">
      <c r="A536" s="1">
        <v>40928</v>
      </c>
      <c r="B536">
        <v>2012</v>
      </c>
      <c r="C536" t="s">
        <v>29</v>
      </c>
      <c r="D536" s="4">
        <v>138120</v>
      </c>
      <c r="E536" s="2">
        <v>145000</v>
      </c>
      <c r="F536" t="s">
        <v>19</v>
      </c>
      <c r="G536" t="s">
        <v>20</v>
      </c>
      <c r="H536">
        <v>3</v>
      </c>
      <c r="I536">
        <v>3</v>
      </c>
      <c r="J536">
        <v>1111.6589814177564</v>
      </c>
      <c r="K536" s="5">
        <v>1.0219580000000001E-2</v>
      </c>
      <c r="L536" t="s">
        <v>32</v>
      </c>
      <c r="M536" s="4">
        <v>6880</v>
      </c>
      <c r="N536" s="3">
        <v>130.4357</v>
      </c>
      <c r="O536" t="s">
        <v>22</v>
      </c>
      <c r="P536" t="s">
        <v>23</v>
      </c>
      <c r="Q536" t="s">
        <v>24</v>
      </c>
      <c r="R536" t="s">
        <v>25</v>
      </c>
      <c r="S536">
        <v>1</v>
      </c>
    </row>
    <row r="537" spans="1:19" x14ac:dyDescent="0.3">
      <c r="A537" s="1">
        <v>40929</v>
      </c>
      <c r="B537">
        <v>2012</v>
      </c>
      <c r="C537" t="s">
        <v>40</v>
      </c>
      <c r="D537" s="4">
        <v>144050</v>
      </c>
      <c r="E537" s="2">
        <v>220000</v>
      </c>
      <c r="F537" t="s">
        <v>19</v>
      </c>
      <c r="G537" t="s">
        <v>20</v>
      </c>
      <c r="H537">
        <v>3</v>
      </c>
      <c r="I537">
        <v>3</v>
      </c>
      <c r="J537">
        <v>1042</v>
      </c>
      <c r="K537" s="5">
        <v>1.0219580000000001E-2</v>
      </c>
      <c r="L537" t="s">
        <v>27</v>
      </c>
      <c r="M537" s="4">
        <v>75950</v>
      </c>
      <c r="N537" s="3">
        <v>211.13239999999999</v>
      </c>
      <c r="O537" t="s">
        <v>22</v>
      </c>
      <c r="P537" t="s">
        <v>24</v>
      </c>
      <c r="Q537" t="s">
        <v>24</v>
      </c>
      <c r="R537" t="s">
        <v>25</v>
      </c>
      <c r="S537">
        <v>1</v>
      </c>
    </row>
    <row r="538" spans="1:19" x14ac:dyDescent="0.3">
      <c r="A538" s="1">
        <v>40930</v>
      </c>
      <c r="B538">
        <v>2012</v>
      </c>
      <c r="C538" t="s">
        <v>18</v>
      </c>
      <c r="D538" s="4">
        <v>104210</v>
      </c>
      <c r="E538" s="2">
        <v>17500</v>
      </c>
      <c r="F538" t="s">
        <v>19</v>
      </c>
      <c r="G538" t="s">
        <v>20</v>
      </c>
      <c r="H538">
        <v>3</v>
      </c>
      <c r="I538">
        <v>3</v>
      </c>
      <c r="J538">
        <v>939</v>
      </c>
      <c r="K538" s="5">
        <v>1.0219580000000001E-2</v>
      </c>
      <c r="L538" t="s">
        <v>38</v>
      </c>
      <c r="M538" s="4">
        <v>-86710</v>
      </c>
      <c r="N538" s="3">
        <v>18.636800000000001</v>
      </c>
      <c r="O538" t="s">
        <v>33</v>
      </c>
      <c r="P538" t="s">
        <v>23</v>
      </c>
      <c r="Q538" t="s">
        <v>24</v>
      </c>
      <c r="R538" t="s">
        <v>25</v>
      </c>
      <c r="S538">
        <v>1</v>
      </c>
    </row>
    <row r="539" spans="1:19" x14ac:dyDescent="0.3">
      <c r="A539" s="1">
        <v>40933</v>
      </c>
      <c r="B539">
        <v>2012</v>
      </c>
      <c r="C539" t="s">
        <v>29</v>
      </c>
      <c r="D539" s="4">
        <v>444584.20699999999</v>
      </c>
      <c r="E539" s="2">
        <v>155000</v>
      </c>
      <c r="F539" t="s">
        <v>19</v>
      </c>
      <c r="G539" t="s">
        <v>20</v>
      </c>
      <c r="H539">
        <v>3</v>
      </c>
      <c r="I539">
        <v>2</v>
      </c>
      <c r="J539">
        <v>1085</v>
      </c>
      <c r="K539" s="5">
        <v>1.0219580000000001E-2</v>
      </c>
      <c r="L539" t="s">
        <v>32</v>
      </c>
      <c r="M539" s="4">
        <v>-289584.20699999999</v>
      </c>
      <c r="N539" s="3">
        <v>142.8571</v>
      </c>
      <c r="O539" t="s">
        <v>33</v>
      </c>
      <c r="P539" t="s">
        <v>23</v>
      </c>
      <c r="Q539" t="s">
        <v>24</v>
      </c>
      <c r="R539" t="s">
        <v>25</v>
      </c>
      <c r="S539">
        <v>1</v>
      </c>
    </row>
    <row r="540" spans="1:19" x14ac:dyDescent="0.3">
      <c r="A540" s="1">
        <v>40937</v>
      </c>
      <c r="B540">
        <v>2012</v>
      </c>
      <c r="C540" t="s">
        <v>56</v>
      </c>
      <c r="D540" s="4">
        <v>333450</v>
      </c>
      <c r="E540" s="2">
        <v>300000</v>
      </c>
      <c r="F540" t="s">
        <v>19</v>
      </c>
      <c r="G540" t="s">
        <v>20</v>
      </c>
      <c r="H540">
        <v>3</v>
      </c>
      <c r="I540">
        <v>3</v>
      </c>
      <c r="J540">
        <v>1014</v>
      </c>
      <c r="K540" s="5">
        <v>1.0219580000000001E-2</v>
      </c>
      <c r="L540" t="s">
        <v>21</v>
      </c>
      <c r="M540" s="4">
        <v>-33450</v>
      </c>
      <c r="N540" s="3">
        <v>295.858</v>
      </c>
      <c r="O540" t="s">
        <v>33</v>
      </c>
      <c r="P540" t="s">
        <v>24</v>
      </c>
      <c r="Q540" t="s">
        <v>24</v>
      </c>
      <c r="R540" t="s">
        <v>25</v>
      </c>
      <c r="S540">
        <v>1</v>
      </c>
    </row>
    <row r="541" spans="1:19" x14ac:dyDescent="0.3">
      <c r="A541" s="1">
        <v>40940</v>
      </c>
      <c r="B541">
        <v>2012</v>
      </c>
      <c r="C541" t="s">
        <v>52</v>
      </c>
      <c r="D541" s="4">
        <v>264900</v>
      </c>
      <c r="E541" s="2">
        <v>270000</v>
      </c>
      <c r="F541" t="s">
        <v>19</v>
      </c>
      <c r="G541" t="s">
        <v>20</v>
      </c>
      <c r="H541">
        <v>3</v>
      </c>
      <c r="I541">
        <v>2</v>
      </c>
      <c r="J541">
        <v>1043</v>
      </c>
      <c r="K541" s="5">
        <v>1.0219580000000001E-2</v>
      </c>
      <c r="L541" t="s">
        <v>27</v>
      </c>
      <c r="M541" s="4">
        <v>5100</v>
      </c>
      <c r="N541" s="3">
        <v>258.86860000000001</v>
      </c>
      <c r="O541" t="s">
        <v>22</v>
      </c>
      <c r="P541" t="s">
        <v>24</v>
      </c>
      <c r="Q541" t="s">
        <v>24</v>
      </c>
      <c r="R541" t="s">
        <v>41</v>
      </c>
      <c r="S541">
        <v>2</v>
      </c>
    </row>
    <row r="542" spans="1:19" x14ac:dyDescent="0.3">
      <c r="A542" s="1">
        <v>40941</v>
      </c>
      <c r="B542">
        <v>2012</v>
      </c>
      <c r="C542" t="s">
        <v>26</v>
      </c>
      <c r="D542" s="4">
        <v>494690</v>
      </c>
      <c r="E542" s="2">
        <v>385000</v>
      </c>
      <c r="F542" t="s">
        <v>30</v>
      </c>
      <c r="G542" t="s">
        <v>31</v>
      </c>
      <c r="H542">
        <v>4</v>
      </c>
      <c r="I542">
        <v>2</v>
      </c>
      <c r="J542">
        <v>1350</v>
      </c>
      <c r="K542" s="5">
        <v>1.0219580000000001E-2</v>
      </c>
      <c r="L542" t="s">
        <v>21</v>
      </c>
      <c r="M542" s="4">
        <v>-109690</v>
      </c>
      <c r="N542" s="3">
        <v>285.18520000000001</v>
      </c>
      <c r="O542" t="s">
        <v>33</v>
      </c>
      <c r="P542" t="s">
        <v>24</v>
      </c>
      <c r="Q542" t="s">
        <v>34</v>
      </c>
      <c r="R542" t="s">
        <v>41</v>
      </c>
      <c r="S542">
        <v>2</v>
      </c>
    </row>
    <row r="543" spans="1:19" x14ac:dyDescent="0.3">
      <c r="A543" s="1">
        <v>40942</v>
      </c>
      <c r="B543">
        <v>2012</v>
      </c>
      <c r="C543" t="s">
        <v>40</v>
      </c>
      <c r="D543" s="4">
        <v>337190</v>
      </c>
      <c r="E543" s="2">
        <v>465000</v>
      </c>
      <c r="F543" t="s">
        <v>19</v>
      </c>
      <c r="G543" t="s">
        <v>20</v>
      </c>
      <c r="H543">
        <v>3</v>
      </c>
      <c r="I543">
        <v>2</v>
      </c>
      <c r="J543">
        <v>973</v>
      </c>
      <c r="K543" s="5">
        <v>1.0219580000000001E-2</v>
      </c>
      <c r="L543" t="s">
        <v>38</v>
      </c>
      <c r="M543" s="4">
        <v>127810</v>
      </c>
      <c r="N543" s="3">
        <v>477.90339999999998</v>
      </c>
      <c r="O543" t="s">
        <v>22</v>
      </c>
      <c r="P543" t="s">
        <v>24</v>
      </c>
      <c r="Q543" t="s">
        <v>24</v>
      </c>
      <c r="R543" t="s">
        <v>41</v>
      </c>
      <c r="S543">
        <v>2</v>
      </c>
    </row>
    <row r="544" spans="1:19" x14ac:dyDescent="0.3">
      <c r="A544" s="1">
        <v>40947</v>
      </c>
      <c r="B544">
        <v>2012</v>
      </c>
      <c r="C544" t="s">
        <v>52</v>
      </c>
      <c r="D544" s="4">
        <v>444584.20699999999</v>
      </c>
      <c r="E544" s="2">
        <v>715000</v>
      </c>
      <c r="F544" t="s">
        <v>19</v>
      </c>
      <c r="G544" t="s">
        <v>20</v>
      </c>
      <c r="H544">
        <v>3</v>
      </c>
      <c r="I544">
        <v>2</v>
      </c>
      <c r="J544">
        <v>1020</v>
      </c>
      <c r="K544" s="5">
        <v>1.0219580000000001E-2</v>
      </c>
      <c r="L544" t="s">
        <v>38</v>
      </c>
      <c r="M544" s="4">
        <v>270415.79300000001</v>
      </c>
      <c r="N544" s="3">
        <v>700.98040000000003</v>
      </c>
      <c r="O544" t="s">
        <v>22</v>
      </c>
      <c r="P544" t="s">
        <v>28</v>
      </c>
      <c r="Q544" t="s">
        <v>24</v>
      </c>
      <c r="R544" t="s">
        <v>41</v>
      </c>
      <c r="S544">
        <v>2</v>
      </c>
    </row>
    <row r="545" spans="1:19" x14ac:dyDescent="0.3">
      <c r="A545" s="1">
        <v>40948</v>
      </c>
      <c r="B545">
        <v>2012</v>
      </c>
      <c r="C545" t="s">
        <v>29</v>
      </c>
      <c r="D545" s="4">
        <v>140370</v>
      </c>
      <c r="E545" s="2">
        <v>160000</v>
      </c>
      <c r="F545" t="s">
        <v>36</v>
      </c>
      <c r="G545" t="s">
        <v>37</v>
      </c>
      <c r="H545">
        <v>6</v>
      </c>
      <c r="I545">
        <v>6</v>
      </c>
      <c r="J545">
        <v>1111.6589814177564</v>
      </c>
      <c r="K545" s="5">
        <v>1.0219580000000001E-2</v>
      </c>
      <c r="L545" t="s">
        <v>21</v>
      </c>
      <c r="M545" s="4">
        <v>19630</v>
      </c>
      <c r="N545" s="3">
        <v>143.929</v>
      </c>
      <c r="O545" t="s">
        <v>22</v>
      </c>
      <c r="P545" t="s">
        <v>23</v>
      </c>
      <c r="Q545" t="s">
        <v>24</v>
      </c>
      <c r="R545" t="s">
        <v>41</v>
      </c>
      <c r="S545">
        <v>2</v>
      </c>
    </row>
    <row r="546" spans="1:19" x14ac:dyDescent="0.3">
      <c r="A546" s="1">
        <v>40949</v>
      </c>
      <c r="B546">
        <v>2012</v>
      </c>
      <c r="C546" t="s">
        <v>18</v>
      </c>
      <c r="D546" s="4">
        <v>88530</v>
      </c>
      <c r="E546" s="2">
        <v>50000</v>
      </c>
      <c r="F546" t="s">
        <v>19</v>
      </c>
      <c r="G546" t="s">
        <v>20</v>
      </c>
      <c r="H546">
        <v>3</v>
      </c>
      <c r="I546">
        <v>2</v>
      </c>
      <c r="J546">
        <v>1022</v>
      </c>
      <c r="K546" s="5">
        <v>1.0219580000000001E-2</v>
      </c>
      <c r="L546" t="s">
        <v>32</v>
      </c>
      <c r="M546" s="4">
        <v>-38530</v>
      </c>
      <c r="N546" s="3">
        <v>48.923699999999997</v>
      </c>
      <c r="O546" t="s">
        <v>33</v>
      </c>
      <c r="P546" t="s">
        <v>23</v>
      </c>
      <c r="Q546" t="s">
        <v>24</v>
      </c>
      <c r="R546" t="s">
        <v>41</v>
      </c>
      <c r="S546">
        <v>2</v>
      </c>
    </row>
    <row r="547" spans="1:19" x14ac:dyDescent="0.3">
      <c r="A547" s="1">
        <v>40950</v>
      </c>
      <c r="B547">
        <v>2012</v>
      </c>
      <c r="C547" t="s">
        <v>29</v>
      </c>
      <c r="D547" s="4">
        <v>217880</v>
      </c>
      <c r="E547" s="2">
        <v>114741</v>
      </c>
      <c r="F547" t="s">
        <v>30</v>
      </c>
      <c r="G547" t="s">
        <v>31</v>
      </c>
      <c r="H547">
        <v>4</v>
      </c>
      <c r="I547">
        <v>3</v>
      </c>
      <c r="J547">
        <v>1461</v>
      </c>
      <c r="K547" s="5">
        <v>1.0219580000000001E-2</v>
      </c>
      <c r="L547" t="s">
        <v>21</v>
      </c>
      <c r="M547" s="4">
        <v>-103139</v>
      </c>
      <c r="N547" s="3">
        <v>78.535899999999998</v>
      </c>
      <c r="O547" t="s">
        <v>33</v>
      </c>
      <c r="P547" t="s">
        <v>23</v>
      </c>
      <c r="Q547" t="s">
        <v>34</v>
      </c>
      <c r="R547" t="s">
        <v>41</v>
      </c>
      <c r="S547">
        <v>2</v>
      </c>
    </row>
    <row r="548" spans="1:19" x14ac:dyDescent="0.3">
      <c r="A548" s="1">
        <v>40951</v>
      </c>
      <c r="B548">
        <v>2012</v>
      </c>
      <c r="C548" t="s">
        <v>26</v>
      </c>
      <c r="D548" s="4">
        <v>283990</v>
      </c>
      <c r="E548" s="2">
        <v>365000</v>
      </c>
      <c r="F548" t="s">
        <v>19</v>
      </c>
      <c r="G548" t="s">
        <v>20</v>
      </c>
      <c r="H548">
        <v>3</v>
      </c>
      <c r="I548">
        <v>1</v>
      </c>
      <c r="J548">
        <v>951</v>
      </c>
      <c r="K548" s="5">
        <v>1.0219580000000001E-2</v>
      </c>
      <c r="L548" t="s">
        <v>32</v>
      </c>
      <c r="M548" s="4">
        <v>81010</v>
      </c>
      <c r="N548" s="3">
        <v>383.80650000000003</v>
      </c>
      <c r="O548" t="s">
        <v>22</v>
      </c>
      <c r="P548" t="s">
        <v>24</v>
      </c>
      <c r="Q548" t="s">
        <v>24</v>
      </c>
      <c r="R548" t="s">
        <v>41</v>
      </c>
      <c r="S548">
        <v>2</v>
      </c>
    </row>
    <row r="549" spans="1:19" x14ac:dyDescent="0.3">
      <c r="A549" s="1">
        <v>40955</v>
      </c>
      <c r="B549">
        <v>2012</v>
      </c>
      <c r="C549" t="s">
        <v>56</v>
      </c>
      <c r="D549" s="4">
        <v>410650</v>
      </c>
      <c r="E549" s="2">
        <v>436000</v>
      </c>
      <c r="F549" t="s">
        <v>19</v>
      </c>
      <c r="G549" t="s">
        <v>20</v>
      </c>
      <c r="H549">
        <v>3</v>
      </c>
      <c r="I549">
        <v>2</v>
      </c>
      <c r="J549">
        <v>959</v>
      </c>
      <c r="K549" s="5">
        <v>1.0219580000000001E-2</v>
      </c>
      <c r="L549" t="s">
        <v>32</v>
      </c>
      <c r="M549" s="4">
        <v>25350</v>
      </c>
      <c r="N549" s="3">
        <v>454.64030000000002</v>
      </c>
      <c r="O549" t="s">
        <v>22</v>
      </c>
      <c r="P549" t="s">
        <v>24</v>
      </c>
      <c r="Q549" t="s">
        <v>24</v>
      </c>
      <c r="R549" t="s">
        <v>41</v>
      </c>
      <c r="S549">
        <v>2</v>
      </c>
    </row>
    <row r="550" spans="1:19" x14ac:dyDescent="0.3">
      <c r="A550" s="1">
        <v>40956</v>
      </c>
      <c r="B550">
        <v>2012</v>
      </c>
      <c r="C550" t="s">
        <v>56</v>
      </c>
      <c r="D550" s="4">
        <v>584260</v>
      </c>
      <c r="E550" s="2">
        <v>675000</v>
      </c>
      <c r="F550" t="s">
        <v>19</v>
      </c>
      <c r="G550" t="s">
        <v>20</v>
      </c>
      <c r="H550">
        <v>3</v>
      </c>
      <c r="I550">
        <v>3</v>
      </c>
      <c r="J550">
        <v>1111.6589814177564</v>
      </c>
      <c r="K550" s="5">
        <v>1.0219580000000001E-2</v>
      </c>
      <c r="L550" t="s">
        <v>21</v>
      </c>
      <c r="M550" s="4">
        <v>90740</v>
      </c>
      <c r="N550" s="3">
        <v>607.20060000000001</v>
      </c>
      <c r="O550" t="s">
        <v>22</v>
      </c>
      <c r="P550" t="s">
        <v>28</v>
      </c>
      <c r="Q550" t="s">
        <v>24</v>
      </c>
      <c r="R550" t="s">
        <v>41</v>
      </c>
      <c r="S550">
        <v>2</v>
      </c>
    </row>
    <row r="551" spans="1:19" x14ac:dyDescent="0.3">
      <c r="A551" s="1">
        <v>40957</v>
      </c>
      <c r="B551">
        <v>2012</v>
      </c>
      <c r="C551" t="s">
        <v>29</v>
      </c>
      <c r="D551" s="4">
        <v>117330</v>
      </c>
      <c r="E551" s="2">
        <v>35000</v>
      </c>
      <c r="F551" t="s">
        <v>19</v>
      </c>
      <c r="G551" t="s">
        <v>20</v>
      </c>
      <c r="H551">
        <v>3</v>
      </c>
      <c r="I551">
        <v>1</v>
      </c>
      <c r="J551">
        <v>957</v>
      </c>
      <c r="K551" s="5">
        <v>1.0219580000000001E-2</v>
      </c>
      <c r="L551" t="s">
        <v>21</v>
      </c>
      <c r="M551" s="4">
        <v>-82330</v>
      </c>
      <c r="N551" s="3">
        <v>36.572600000000001</v>
      </c>
      <c r="O551" t="s">
        <v>33</v>
      </c>
      <c r="P551" t="s">
        <v>23</v>
      </c>
      <c r="Q551" t="s">
        <v>24</v>
      </c>
      <c r="R551" t="s">
        <v>41</v>
      </c>
      <c r="S551">
        <v>2</v>
      </c>
    </row>
    <row r="552" spans="1:19" x14ac:dyDescent="0.3">
      <c r="A552" s="1">
        <v>40958</v>
      </c>
      <c r="B552">
        <v>2012</v>
      </c>
      <c r="C552" t="s">
        <v>39</v>
      </c>
      <c r="D552" s="4">
        <v>306950</v>
      </c>
      <c r="E552" s="2">
        <v>299000</v>
      </c>
      <c r="F552" t="s">
        <v>19</v>
      </c>
      <c r="G552" t="s">
        <v>20</v>
      </c>
      <c r="H552">
        <v>3</v>
      </c>
      <c r="I552">
        <v>2</v>
      </c>
      <c r="J552">
        <v>918</v>
      </c>
      <c r="K552" s="5">
        <v>1.0219580000000001E-2</v>
      </c>
      <c r="L552" t="s">
        <v>27</v>
      </c>
      <c r="M552" s="4">
        <v>-7950</v>
      </c>
      <c r="N552" s="3">
        <v>325.7081</v>
      </c>
      <c r="O552" t="s">
        <v>33</v>
      </c>
      <c r="P552" t="s">
        <v>24</v>
      </c>
      <c r="Q552" t="s">
        <v>24</v>
      </c>
      <c r="R552" t="s">
        <v>41</v>
      </c>
      <c r="S552">
        <v>2</v>
      </c>
    </row>
    <row r="553" spans="1:19" x14ac:dyDescent="0.3">
      <c r="A553" s="1">
        <v>40961</v>
      </c>
      <c r="B553">
        <v>2012</v>
      </c>
      <c r="C553" t="s">
        <v>26</v>
      </c>
      <c r="D553" s="4">
        <v>290220</v>
      </c>
      <c r="E553" s="2">
        <v>180000</v>
      </c>
      <c r="F553" t="s">
        <v>19</v>
      </c>
      <c r="G553" t="s">
        <v>20</v>
      </c>
      <c r="H553">
        <v>3</v>
      </c>
      <c r="I553">
        <v>2</v>
      </c>
      <c r="J553">
        <v>976</v>
      </c>
      <c r="K553" s="5">
        <v>1.0219580000000001E-2</v>
      </c>
      <c r="L553" t="s">
        <v>27</v>
      </c>
      <c r="M553" s="4">
        <v>-110220</v>
      </c>
      <c r="N553" s="3">
        <v>184.42619999999999</v>
      </c>
      <c r="O553" t="s">
        <v>33</v>
      </c>
      <c r="P553" t="s">
        <v>23</v>
      </c>
      <c r="Q553" t="s">
        <v>24</v>
      </c>
      <c r="R553" t="s">
        <v>41</v>
      </c>
      <c r="S553">
        <v>2</v>
      </c>
    </row>
    <row r="554" spans="1:19" x14ac:dyDescent="0.3">
      <c r="A554" s="1">
        <v>40962</v>
      </c>
      <c r="B554">
        <v>2012</v>
      </c>
      <c r="C554" t="s">
        <v>40</v>
      </c>
      <c r="D554" s="4">
        <v>146650</v>
      </c>
      <c r="E554" s="2">
        <v>185400</v>
      </c>
      <c r="F554" t="s">
        <v>19</v>
      </c>
      <c r="G554" t="s">
        <v>20</v>
      </c>
      <c r="H554">
        <v>3</v>
      </c>
      <c r="I554">
        <v>3</v>
      </c>
      <c r="J554">
        <v>1073</v>
      </c>
      <c r="K554" s="5">
        <v>1.0219580000000001E-2</v>
      </c>
      <c r="L554" t="s">
        <v>21</v>
      </c>
      <c r="M554" s="4">
        <v>38750</v>
      </c>
      <c r="N554" s="3">
        <v>172.78659999999999</v>
      </c>
      <c r="O554" t="s">
        <v>22</v>
      </c>
      <c r="P554" t="s">
        <v>23</v>
      </c>
      <c r="Q554" t="s">
        <v>24</v>
      </c>
      <c r="R554" t="s">
        <v>41</v>
      </c>
      <c r="S554">
        <v>2</v>
      </c>
    </row>
    <row r="555" spans="1:19" x14ac:dyDescent="0.3">
      <c r="A555" s="1">
        <v>40969</v>
      </c>
      <c r="B555">
        <v>2012</v>
      </c>
      <c r="C555" t="s">
        <v>52</v>
      </c>
      <c r="D555" s="4">
        <v>207800</v>
      </c>
      <c r="E555" s="2">
        <v>292500</v>
      </c>
      <c r="F555" t="s">
        <v>19</v>
      </c>
      <c r="G555" t="s">
        <v>20</v>
      </c>
      <c r="H555">
        <v>3</v>
      </c>
      <c r="I555">
        <v>1</v>
      </c>
      <c r="J555">
        <v>1029</v>
      </c>
      <c r="K555" s="5">
        <v>1.0219580000000001E-2</v>
      </c>
      <c r="L555" t="s">
        <v>38</v>
      </c>
      <c r="M555" s="4">
        <v>84700</v>
      </c>
      <c r="N555" s="3">
        <v>284.25659999999999</v>
      </c>
      <c r="O555" t="s">
        <v>22</v>
      </c>
      <c r="P555" t="s">
        <v>24</v>
      </c>
      <c r="Q555" t="s">
        <v>24</v>
      </c>
      <c r="R555" t="s">
        <v>44</v>
      </c>
      <c r="S555">
        <v>3</v>
      </c>
    </row>
    <row r="556" spans="1:19" x14ac:dyDescent="0.3">
      <c r="A556" s="1">
        <v>40971</v>
      </c>
      <c r="B556">
        <v>2012</v>
      </c>
      <c r="C556" t="s">
        <v>29</v>
      </c>
      <c r="D556" s="4">
        <v>121780</v>
      </c>
      <c r="E556" s="2">
        <v>165000</v>
      </c>
      <c r="F556" t="s">
        <v>19</v>
      </c>
      <c r="G556" t="s">
        <v>20</v>
      </c>
      <c r="H556">
        <v>3</v>
      </c>
      <c r="I556">
        <v>3</v>
      </c>
      <c r="J556">
        <v>1111.6589814177564</v>
      </c>
      <c r="K556" s="5">
        <v>1.0219580000000001E-2</v>
      </c>
      <c r="L556" t="s">
        <v>38</v>
      </c>
      <c r="M556" s="4">
        <v>43220</v>
      </c>
      <c r="N556" s="3">
        <v>148.42679999999999</v>
      </c>
      <c r="O556" t="s">
        <v>22</v>
      </c>
      <c r="P556" t="s">
        <v>23</v>
      </c>
      <c r="Q556" t="s">
        <v>24</v>
      </c>
      <c r="R556" t="s">
        <v>44</v>
      </c>
      <c r="S556">
        <v>3</v>
      </c>
    </row>
    <row r="557" spans="1:19" x14ac:dyDescent="0.3">
      <c r="A557" s="1">
        <v>40972</v>
      </c>
      <c r="B557">
        <v>2012</v>
      </c>
      <c r="C557" t="s">
        <v>29</v>
      </c>
      <c r="D557" s="4">
        <v>145900</v>
      </c>
      <c r="E557" s="2">
        <v>187000</v>
      </c>
      <c r="F557" t="s">
        <v>19</v>
      </c>
      <c r="G557" t="s">
        <v>20</v>
      </c>
      <c r="H557">
        <v>3</v>
      </c>
      <c r="I557">
        <v>3</v>
      </c>
      <c r="J557">
        <v>923</v>
      </c>
      <c r="K557" s="5">
        <v>1.0219580000000001E-2</v>
      </c>
      <c r="L557" t="s">
        <v>32</v>
      </c>
      <c r="M557" s="4">
        <v>41100</v>
      </c>
      <c r="N557" s="3">
        <v>202.6002</v>
      </c>
      <c r="O557" t="s">
        <v>22</v>
      </c>
      <c r="P557" t="s">
        <v>23</v>
      </c>
      <c r="Q557" t="s">
        <v>24</v>
      </c>
      <c r="R557" t="s">
        <v>44</v>
      </c>
      <c r="S557">
        <v>3</v>
      </c>
    </row>
    <row r="558" spans="1:19" x14ac:dyDescent="0.3">
      <c r="A558" s="1">
        <v>40973</v>
      </c>
      <c r="B558">
        <v>2012</v>
      </c>
      <c r="C558" t="s">
        <v>35</v>
      </c>
      <c r="D558" s="4">
        <v>444584.20699999999</v>
      </c>
      <c r="E558" s="2">
        <v>4344000</v>
      </c>
      <c r="F558" t="s">
        <v>19</v>
      </c>
      <c r="G558" t="s">
        <v>20</v>
      </c>
      <c r="H558">
        <v>3</v>
      </c>
      <c r="I558">
        <v>1</v>
      </c>
      <c r="J558">
        <v>1051</v>
      </c>
      <c r="K558" s="5">
        <v>1.0219580000000001E-2</v>
      </c>
      <c r="L558" t="s">
        <v>32</v>
      </c>
      <c r="M558" s="4">
        <v>3899415.7930000001</v>
      </c>
      <c r="N558" s="3">
        <v>4133.2065000000002</v>
      </c>
      <c r="O558" t="s">
        <v>22</v>
      </c>
      <c r="P558" t="s">
        <v>28</v>
      </c>
      <c r="Q558" t="s">
        <v>24</v>
      </c>
      <c r="R558" t="s">
        <v>44</v>
      </c>
      <c r="S558">
        <v>3</v>
      </c>
    </row>
    <row r="559" spans="1:19" x14ac:dyDescent="0.3">
      <c r="A559" s="1">
        <v>40976</v>
      </c>
      <c r="B559">
        <v>2012</v>
      </c>
      <c r="C559" t="s">
        <v>29</v>
      </c>
      <c r="D559" s="4">
        <v>90671</v>
      </c>
      <c r="E559" s="2">
        <v>128961</v>
      </c>
      <c r="F559" t="s">
        <v>42</v>
      </c>
      <c r="G559" t="s">
        <v>43</v>
      </c>
      <c r="H559">
        <v>8</v>
      </c>
      <c r="I559">
        <v>6</v>
      </c>
      <c r="J559">
        <v>2733</v>
      </c>
      <c r="K559" s="5">
        <v>1.0219580000000001E-2</v>
      </c>
      <c r="L559" t="s">
        <v>21</v>
      </c>
      <c r="M559" s="4">
        <v>38290</v>
      </c>
      <c r="N559" s="3">
        <v>47.186599999999999</v>
      </c>
      <c r="O559" t="s">
        <v>22</v>
      </c>
      <c r="P559" t="s">
        <v>23</v>
      </c>
      <c r="Q559" t="s">
        <v>34</v>
      </c>
      <c r="R559" t="s">
        <v>44</v>
      </c>
      <c r="S559">
        <v>3</v>
      </c>
    </row>
    <row r="560" spans="1:19" x14ac:dyDescent="0.3">
      <c r="A560" s="1">
        <v>40977</v>
      </c>
      <c r="B560">
        <v>2012</v>
      </c>
      <c r="C560" t="s">
        <v>29</v>
      </c>
      <c r="D560" s="4">
        <v>135850</v>
      </c>
      <c r="E560" s="2">
        <v>125000</v>
      </c>
      <c r="F560" t="s">
        <v>19</v>
      </c>
      <c r="G560" t="s">
        <v>20</v>
      </c>
      <c r="H560">
        <v>3</v>
      </c>
      <c r="I560">
        <v>2</v>
      </c>
      <c r="J560">
        <v>902</v>
      </c>
      <c r="K560" s="5">
        <v>1.0219580000000001E-2</v>
      </c>
      <c r="L560" t="s">
        <v>32</v>
      </c>
      <c r="M560" s="4">
        <v>-10850</v>
      </c>
      <c r="N560" s="3">
        <v>138.58090000000001</v>
      </c>
      <c r="O560" t="s">
        <v>33</v>
      </c>
      <c r="P560" t="s">
        <v>23</v>
      </c>
      <c r="Q560" t="s">
        <v>24</v>
      </c>
      <c r="R560" t="s">
        <v>44</v>
      </c>
      <c r="S560">
        <v>3</v>
      </c>
    </row>
    <row r="561" spans="1:19" x14ac:dyDescent="0.3">
      <c r="A561" s="1">
        <v>40978</v>
      </c>
      <c r="B561">
        <v>2012</v>
      </c>
      <c r="C561" t="s">
        <v>18</v>
      </c>
      <c r="D561" s="4">
        <v>159980</v>
      </c>
      <c r="E561" s="2">
        <v>109500</v>
      </c>
      <c r="F561" t="s">
        <v>36</v>
      </c>
      <c r="G561" t="s">
        <v>37</v>
      </c>
      <c r="H561">
        <v>6</v>
      </c>
      <c r="I561">
        <v>4</v>
      </c>
      <c r="J561">
        <v>2124</v>
      </c>
      <c r="K561" s="5">
        <v>1.0219580000000001E-2</v>
      </c>
      <c r="L561" t="s">
        <v>32</v>
      </c>
      <c r="M561" s="4">
        <v>-50480</v>
      </c>
      <c r="N561" s="3">
        <v>51.553699999999999</v>
      </c>
      <c r="O561" t="s">
        <v>33</v>
      </c>
      <c r="P561" t="s">
        <v>23</v>
      </c>
      <c r="Q561" t="s">
        <v>34</v>
      </c>
      <c r="R561" t="s">
        <v>44</v>
      </c>
      <c r="S561">
        <v>3</v>
      </c>
    </row>
    <row r="562" spans="1:19" x14ac:dyDescent="0.3">
      <c r="A562" s="1">
        <v>40979</v>
      </c>
      <c r="B562">
        <v>2012</v>
      </c>
      <c r="C562" t="s">
        <v>18</v>
      </c>
      <c r="D562" s="4">
        <v>107580</v>
      </c>
      <c r="E562" s="2">
        <v>136000</v>
      </c>
      <c r="F562" t="s">
        <v>19</v>
      </c>
      <c r="G562" t="s">
        <v>20</v>
      </c>
      <c r="H562">
        <v>3</v>
      </c>
      <c r="I562">
        <v>2</v>
      </c>
      <c r="J562">
        <v>923</v>
      </c>
      <c r="K562" s="5">
        <v>1.0219580000000001E-2</v>
      </c>
      <c r="L562" t="s">
        <v>32</v>
      </c>
      <c r="M562" s="4">
        <v>28420</v>
      </c>
      <c r="N562" s="3">
        <v>147.34559999999999</v>
      </c>
      <c r="O562" t="s">
        <v>22</v>
      </c>
      <c r="P562" t="s">
        <v>23</v>
      </c>
      <c r="Q562" t="s">
        <v>24</v>
      </c>
      <c r="R562" t="s">
        <v>44</v>
      </c>
      <c r="S562">
        <v>3</v>
      </c>
    </row>
    <row r="563" spans="1:19" x14ac:dyDescent="0.3">
      <c r="A563" s="1">
        <v>40980</v>
      </c>
      <c r="B563">
        <v>2012</v>
      </c>
      <c r="C563" t="s">
        <v>26</v>
      </c>
      <c r="D563" s="4">
        <v>494690</v>
      </c>
      <c r="E563" s="2">
        <v>305000</v>
      </c>
      <c r="F563" t="s">
        <v>30</v>
      </c>
      <c r="G563" t="s">
        <v>31</v>
      </c>
      <c r="H563">
        <v>4</v>
      </c>
      <c r="I563">
        <v>4</v>
      </c>
      <c r="J563">
        <v>1111.6589814177564</v>
      </c>
      <c r="K563" s="5">
        <v>1.0219580000000001E-2</v>
      </c>
      <c r="L563" t="s">
        <v>32</v>
      </c>
      <c r="M563" s="4">
        <v>-189690</v>
      </c>
      <c r="N563" s="3">
        <v>274.36470000000003</v>
      </c>
      <c r="O563" t="s">
        <v>33</v>
      </c>
      <c r="P563" t="s">
        <v>24</v>
      </c>
      <c r="Q563" t="s">
        <v>24</v>
      </c>
      <c r="R563" t="s">
        <v>44</v>
      </c>
      <c r="S563">
        <v>3</v>
      </c>
    </row>
    <row r="564" spans="1:19" x14ac:dyDescent="0.3">
      <c r="A564" s="1">
        <v>40983</v>
      </c>
      <c r="B564">
        <v>2012</v>
      </c>
      <c r="C564" t="s">
        <v>35</v>
      </c>
      <c r="D564" s="4">
        <v>1326570</v>
      </c>
      <c r="E564" s="2">
        <v>1100000</v>
      </c>
      <c r="F564" t="s">
        <v>19</v>
      </c>
      <c r="G564" t="s">
        <v>20</v>
      </c>
      <c r="H564">
        <v>3</v>
      </c>
      <c r="I564">
        <v>2</v>
      </c>
      <c r="J564">
        <v>1002</v>
      </c>
      <c r="K564" s="5">
        <v>1.0219580000000001E-2</v>
      </c>
      <c r="L564" t="s">
        <v>38</v>
      </c>
      <c r="M564" s="4">
        <v>-226570</v>
      </c>
      <c r="N564" s="3">
        <v>1097.8044</v>
      </c>
      <c r="O564" t="s">
        <v>33</v>
      </c>
      <c r="P564" t="s">
        <v>28</v>
      </c>
      <c r="Q564" t="s">
        <v>24</v>
      </c>
      <c r="R564" t="s">
        <v>44</v>
      </c>
      <c r="S564">
        <v>3</v>
      </c>
    </row>
    <row r="565" spans="1:19" x14ac:dyDescent="0.3">
      <c r="A565" s="1">
        <v>40984</v>
      </c>
      <c r="B565">
        <v>2012</v>
      </c>
      <c r="C565" t="s">
        <v>29</v>
      </c>
      <c r="D565" s="4">
        <v>83020</v>
      </c>
      <c r="E565" s="2">
        <v>48100</v>
      </c>
      <c r="F565" t="s">
        <v>19</v>
      </c>
      <c r="G565" t="s">
        <v>20</v>
      </c>
      <c r="H565">
        <v>3</v>
      </c>
      <c r="I565">
        <v>1</v>
      </c>
      <c r="J565">
        <v>991</v>
      </c>
      <c r="K565" s="5">
        <v>1.0219580000000001E-2</v>
      </c>
      <c r="L565" t="s">
        <v>32</v>
      </c>
      <c r="M565" s="4">
        <v>-34920</v>
      </c>
      <c r="N565" s="3">
        <v>48.536799999999999</v>
      </c>
      <c r="O565" t="s">
        <v>33</v>
      </c>
      <c r="P565" t="s">
        <v>23</v>
      </c>
      <c r="Q565" t="s">
        <v>24</v>
      </c>
      <c r="R565" t="s">
        <v>44</v>
      </c>
      <c r="S565">
        <v>3</v>
      </c>
    </row>
    <row r="566" spans="1:19" x14ac:dyDescent="0.3">
      <c r="A566" s="1">
        <v>40985</v>
      </c>
      <c r="B566">
        <v>2012</v>
      </c>
      <c r="C566" t="s">
        <v>35</v>
      </c>
      <c r="D566" s="4">
        <v>922460</v>
      </c>
      <c r="E566" s="2">
        <v>922000</v>
      </c>
      <c r="F566" t="s">
        <v>19</v>
      </c>
      <c r="G566" t="s">
        <v>20</v>
      </c>
      <c r="H566">
        <v>3</v>
      </c>
      <c r="I566">
        <v>2</v>
      </c>
      <c r="J566">
        <v>1111.6589814177564</v>
      </c>
      <c r="K566" s="5">
        <v>1.0219580000000001E-2</v>
      </c>
      <c r="L566" t="s">
        <v>21</v>
      </c>
      <c r="M566" s="4">
        <v>-460</v>
      </c>
      <c r="N566" s="3">
        <v>829.39099999999996</v>
      </c>
      <c r="O566" t="s">
        <v>33</v>
      </c>
      <c r="P566" t="s">
        <v>28</v>
      </c>
      <c r="Q566" t="s">
        <v>24</v>
      </c>
      <c r="R566" t="s">
        <v>44</v>
      </c>
      <c r="S566">
        <v>3</v>
      </c>
    </row>
    <row r="567" spans="1:19" x14ac:dyDescent="0.3">
      <c r="A567" s="1">
        <v>40986</v>
      </c>
      <c r="B567">
        <v>2012</v>
      </c>
      <c r="C567" t="s">
        <v>29</v>
      </c>
      <c r="D567" s="4">
        <v>444584.20699999999</v>
      </c>
      <c r="E567" s="2">
        <v>63100</v>
      </c>
      <c r="F567" t="s">
        <v>30</v>
      </c>
      <c r="G567" t="s">
        <v>31</v>
      </c>
      <c r="H567">
        <v>4</v>
      </c>
      <c r="I567">
        <v>2</v>
      </c>
      <c r="J567">
        <v>1403</v>
      </c>
      <c r="K567" s="5">
        <v>1.0219580000000001E-2</v>
      </c>
      <c r="L567" t="s">
        <v>32</v>
      </c>
      <c r="M567" s="4">
        <v>-381484.20699999999</v>
      </c>
      <c r="N567" s="3">
        <v>44.975099999999998</v>
      </c>
      <c r="O567" t="s">
        <v>33</v>
      </c>
      <c r="P567" t="s">
        <v>23</v>
      </c>
      <c r="Q567" t="s">
        <v>34</v>
      </c>
      <c r="R567" t="s">
        <v>44</v>
      </c>
      <c r="S567">
        <v>3</v>
      </c>
    </row>
    <row r="568" spans="1:19" x14ac:dyDescent="0.3">
      <c r="A568" s="1">
        <v>40990</v>
      </c>
      <c r="B568">
        <v>2012</v>
      </c>
      <c r="C568" t="s">
        <v>39</v>
      </c>
      <c r="D568" s="4">
        <v>496930</v>
      </c>
      <c r="E568" s="2">
        <v>545000</v>
      </c>
      <c r="F568" t="s">
        <v>19</v>
      </c>
      <c r="G568" t="s">
        <v>20</v>
      </c>
      <c r="H568">
        <v>3</v>
      </c>
      <c r="I568">
        <v>1</v>
      </c>
      <c r="J568">
        <v>938</v>
      </c>
      <c r="K568" s="5">
        <v>1.0219580000000001E-2</v>
      </c>
      <c r="L568" t="s">
        <v>32</v>
      </c>
      <c r="M568" s="4">
        <v>48070</v>
      </c>
      <c r="N568" s="3">
        <v>581.02350000000001</v>
      </c>
      <c r="O568" t="s">
        <v>22</v>
      </c>
      <c r="P568" t="s">
        <v>24</v>
      </c>
      <c r="Q568" t="s">
        <v>24</v>
      </c>
      <c r="R568" t="s">
        <v>44</v>
      </c>
      <c r="S568">
        <v>3</v>
      </c>
    </row>
    <row r="569" spans="1:19" x14ac:dyDescent="0.3">
      <c r="A569" s="1">
        <v>40991</v>
      </c>
      <c r="B569">
        <v>2012</v>
      </c>
      <c r="C569" t="s">
        <v>29</v>
      </c>
      <c r="D569" s="4">
        <v>147050</v>
      </c>
      <c r="E569" s="2">
        <v>35000</v>
      </c>
      <c r="F569" t="s">
        <v>30</v>
      </c>
      <c r="G569" t="s">
        <v>31</v>
      </c>
      <c r="H569">
        <v>4</v>
      </c>
      <c r="I569">
        <v>3</v>
      </c>
      <c r="J569">
        <v>1275</v>
      </c>
      <c r="K569" s="5">
        <v>1.0219580000000001E-2</v>
      </c>
      <c r="L569" t="s">
        <v>32</v>
      </c>
      <c r="M569" s="4">
        <v>-112050</v>
      </c>
      <c r="N569" s="3">
        <v>27.451000000000001</v>
      </c>
      <c r="O569" t="s">
        <v>33</v>
      </c>
      <c r="P569" t="s">
        <v>23</v>
      </c>
      <c r="Q569" t="s">
        <v>24</v>
      </c>
      <c r="R569" t="s">
        <v>44</v>
      </c>
      <c r="S569">
        <v>3</v>
      </c>
    </row>
    <row r="570" spans="1:19" x14ac:dyDescent="0.3">
      <c r="A570" s="1">
        <v>40992</v>
      </c>
      <c r="B570">
        <v>2012</v>
      </c>
      <c r="C570" t="s">
        <v>29</v>
      </c>
      <c r="D570" s="4">
        <v>149940</v>
      </c>
      <c r="E570" s="2">
        <v>155000</v>
      </c>
      <c r="F570" t="s">
        <v>30</v>
      </c>
      <c r="G570" t="s">
        <v>31</v>
      </c>
      <c r="H570">
        <v>4</v>
      </c>
      <c r="I570">
        <v>2</v>
      </c>
      <c r="J570">
        <v>1277</v>
      </c>
      <c r="K570" s="5">
        <v>1.0219580000000001E-2</v>
      </c>
      <c r="L570" t="s">
        <v>21</v>
      </c>
      <c r="M570" s="4">
        <v>5060</v>
      </c>
      <c r="N570" s="3">
        <v>121.37820000000001</v>
      </c>
      <c r="O570" t="s">
        <v>22</v>
      </c>
      <c r="P570" t="s">
        <v>23</v>
      </c>
      <c r="Q570" t="s">
        <v>24</v>
      </c>
      <c r="R570" t="s">
        <v>44</v>
      </c>
      <c r="S570">
        <v>3</v>
      </c>
    </row>
    <row r="571" spans="1:19" x14ac:dyDescent="0.3">
      <c r="A571" s="1">
        <v>40997</v>
      </c>
      <c r="B571">
        <v>2012</v>
      </c>
      <c r="C571" t="s">
        <v>39</v>
      </c>
      <c r="D571" s="4">
        <v>234150</v>
      </c>
      <c r="E571" s="2">
        <v>249000</v>
      </c>
      <c r="F571" t="s">
        <v>19</v>
      </c>
      <c r="G571" t="s">
        <v>20</v>
      </c>
      <c r="H571">
        <v>3</v>
      </c>
      <c r="I571">
        <v>1</v>
      </c>
      <c r="J571">
        <v>1005</v>
      </c>
      <c r="K571" s="5">
        <v>1.0219580000000001E-2</v>
      </c>
      <c r="L571" t="s">
        <v>32</v>
      </c>
      <c r="M571" s="4">
        <v>14850</v>
      </c>
      <c r="N571" s="3">
        <v>247.7612</v>
      </c>
      <c r="O571" t="s">
        <v>22</v>
      </c>
      <c r="P571" t="s">
        <v>24</v>
      </c>
      <c r="Q571" t="s">
        <v>24</v>
      </c>
      <c r="R571" t="s">
        <v>44</v>
      </c>
      <c r="S571">
        <v>3</v>
      </c>
    </row>
    <row r="572" spans="1:19" x14ac:dyDescent="0.3">
      <c r="A572" s="1">
        <v>41000</v>
      </c>
      <c r="B572">
        <v>2012</v>
      </c>
      <c r="C572" t="s">
        <v>56</v>
      </c>
      <c r="D572" s="4">
        <v>644940</v>
      </c>
      <c r="E572" s="2">
        <v>900000</v>
      </c>
      <c r="F572" t="s">
        <v>19</v>
      </c>
      <c r="G572" t="s">
        <v>20</v>
      </c>
      <c r="H572">
        <v>3</v>
      </c>
      <c r="I572">
        <v>3</v>
      </c>
      <c r="J572">
        <v>921</v>
      </c>
      <c r="K572" s="5">
        <v>1.0219580000000001E-2</v>
      </c>
      <c r="L572" t="s">
        <v>38</v>
      </c>
      <c r="M572" s="4">
        <v>255060</v>
      </c>
      <c r="N572" s="3">
        <v>977.19870000000003</v>
      </c>
      <c r="O572" t="s">
        <v>22</v>
      </c>
      <c r="P572" t="s">
        <v>28</v>
      </c>
      <c r="Q572" t="s">
        <v>24</v>
      </c>
      <c r="R572" t="s">
        <v>45</v>
      </c>
      <c r="S572">
        <v>4</v>
      </c>
    </row>
    <row r="573" spans="1:19" x14ac:dyDescent="0.3">
      <c r="A573" s="1">
        <v>41004</v>
      </c>
      <c r="B573">
        <v>2012</v>
      </c>
      <c r="C573" t="s">
        <v>39</v>
      </c>
      <c r="D573" s="4">
        <v>356160</v>
      </c>
      <c r="E573" s="2">
        <v>520000</v>
      </c>
      <c r="F573" t="s">
        <v>19</v>
      </c>
      <c r="G573" t="s">
        <v>20</v>
      </c>
      <c r="H573">
        <v>3</v>
      </c>
      <c r="I573">
        <v>2</v>
      </c>
      <c r="J573">
        <v>969</v>
      </c>
      <c r="K573" s="5">
        <v>1.0219580000000001E-2</v>
      </c>
      <c r="L573" t="s">
        <v>32</v>
      </c>
      <c r="M573" s="4">
        <v>163840</v>
      </c>
      <c r="N573" s="3">
        <v>536.63570000000004</v>
      </c>
      <c r="O573" t="s">
        <v>22</v>
      </c>
      <c r="P573" t="s">
        <v>24</v>
      </c>
      <c r="Q573" t="s">
        <v>24</v>
      </c>
      <c r="R573" t="s">
        <v>45</v>
      </c>
      <c r="S573">
        <v>4</v>
      </c>
    </row>
    <row r="574" spans="1:19" x14ac:dyDescent="0.3">
      <c r="A574" s="1">
        <v>41006</v>
      </c>
      <c r="B574">
        <v>2012</v>
      </c>
      <c r="C574" t="s">
        <v>35</v>
      </c>
      <c r="D574" s="4">
        <v>711130</v>
      </c>
      <c r="E574" s="2">
        <v>300000</v>
      </c>
      <c r="F574" t="s">
        <v>19</v>
      </c>
      <c r="G574" t="s">
        <v>20</v>
      </c>
      <c r="H574">
        <v>3</v>
      </c>
      <c r="I574">
        <v>3</v>
      </c>
      <c r="J574">
        <v>1036</v>
      </c>
      <c r="K574" s="5">
        <v>1.0219580000000001E-2</v>
      </c>
      <c r="L574" t="s">
        <v>27</v>
      </c>
      <c r="M574" s="4">
        <v>-411130</v>
      </c>
      <c r="N574" s="3">
        <v>289.57530000000003</v>
      </c>
      <c r="O574" t="s">
        <v>33</v>
      </c>
      <c r="P574" t="s">
        <v>24</v>
      </c>
      <c r="Q574" t="s">
        <v>24</v>
      </c>
      <c r="R574" t="s">
        <v>45</v>
      </c>
      <c r="S574">
        <v>4</v>
      </c>
    </row>
    <row r="575" spans="1:19" x14ac:dyDescent="0.3">
      <c r="A575" s="1">
        <v>41007</v>
      </c>
      <c r="B575">
        <v>2012</v>
      </c>
      <c r="C575" t="s">
        <v>29</v>
      </c>
      <c r="D575" s="4">
        <v>444584.20699999999</v>
      </c>
      <c r="E575" s="2">
        <v>175000</v>
      </c>
      <c r="F575" t="s">
        <v>30</v>
      </c>
      <c r="G575" t="s">
        <v>31</v>
      </c>
      <c r="H575">
        <v>4</v>
      </c>
      <c r="I575">
        <v>3</v>
      </c>
      <c r="J575">
        <v>1388</v>
      </c>
      <c r="K575" s="5">
        <v>1.0219580000000001E-2</v>
      </c>
      <c r="L575" t="s">
        <v>27</v>
      </c>
      <c r="M575" s="4">
        <v>-269584.20699999999</v>
      </c>
      <c r="N575" s="3">
        <v>126.08069999999999</v>
      </c>
      <c r="O575" t="s">
        <v>33</v>
      </c>
      <c r="P575" t="s">
        <v>23</v>
      </c>
      <c r="Q575" t="s">
        <v>34</v>
      </c>
      <c r="R575" t="s">
        <v>45</v>
      </c>
      <c r="S575">
        <v>4</v>
      </c>
    </row>
    <row r="576" spans="1:19" x14ac:dyDescent="0.3">
      <c r="A576" s="1">
        <v>41008</v>
      </c>
      <c r="B576">
        <v>2012</v>
      </c>
      <c r="C576" t="s">
        <v>39</v>
      </c>
      <c r="D576" s="4">
        <v>319550</v>
      </c>
      <c r="E576" s="2">
        <v>375000</v>
      </c>
      <c r="F576" t="s">
        <v>19</v>
      </c>
      <c r="G576" t="s">
        <v>20</v>
      </c>
      <c r="H576">
        <v>3</v>
      </c>
      <c r="I576">
        <v>3</v>
      </c>
      <c r="J576">
        <v>1096</v>
      </c>
      <c r="K576" s="5">
        <v>1.0219580000000001E-2</v>
      </c>
      <c r="L576" t="s">
        <v>21</v>
      </c>
      <c r="M576" s="4">
        <v>55450</v>
      </c>
      <c r="N576" s="3">
        <v>342.1533</v>
      </c>
      <c r="O576" t="s">
        <v>22</v>
      </c>
      <c r="P576" t="s">
        <v>24</v>
      </c>
      <c r="Q576" t="s">
        <v>24</v>
      </c>
      <c r="R576" t="s">
        <v>45</v>
      </c>
      <c r="S576">
        <v>4</v>
      </c>
    </row>
    <row r="577" spans="1:19" x14ac:dyDescent="0.3">
      <c r="A577" s="1">
        <v>41011</v>
      </c>
      <c r="B577">
        <v>2012</v>
      </c>
      <c r="C577" t="s">
        <v>52</v>
      </c>
      <c r="D577" s="4">
        <v>146000</v>
      </c>
      <c r="E577" s="2">
        <v>225000</v>
      </c>
      <c r="F577" t="s">
        <v>19</v>
      </c>
      <c r="G577" t="s">
        <v>20</v>
      </c>
      <c r="H577">
        <v>3</v>
      </c>
      <c r="I577">
        <v>1</v>
      </c>
      <c r="J577">
        <v>907</v>
      </c>
      <c r="K577" s="5">
        <v>1.0219580000000001E-2</v>
      </c>
      <c r="L577" t="s">
        <v>27</v>
      </c>
      <c r="M577" s="4">
        <v>79000</v>
      </c>
      <c r="N577" s="3">
        <v>248.07060000000001</v>
      </c>
      <c r="O577" t="s">
        <v>22</v>
      </c>
      <c r="P577" t="s">
        <v>24</v>
      </c>
      <c r="Q577" t="s">
        <v>24</v>
      </c>
      <c r="R577" t="s">
        <v>45</v>
      </c>
      <c r="S577">
        <v>4</v>
      </c>
    </row>
    <row r="578" spans="1:19" x14ac:dyDescent="0.3">
      <c r="A578" s="1">
        <v>41012</v>
      </c>
      <c r="B578">
        <v>2012</v>
      </c>
      <c r="C578" t="s">
        <v>26</v>
      </c>
      <c r="D578" s="4">
        <v>284620</v>
      </c>
      <c r="E578" s="2">
        <v>450000</v>
      </c>
      <c r="F578" t="s">
        <v>19</v>
      </c>
      <c r="G578" t="s">
        <v>20</v>
      </c>
      <c r="H578">
        <v>3</v>
      </c>
      <c r="I578">
        <v>2</v>
      </c>
      <c r="J578">
        <v>1111.6589814177564</v>
      </c>
      <c r="K578" s="5">
        <v>1.0219580000000001E-2</v>
      </c>
      <c r="L578" t="s">
        <v>27</v>
      </c>
      <c r="M578" s="4">
        <v>165380</v>
      </c>
      <c r="N578" s="3">
        <v>404.80040000000002</v>
      </c>
      <c r="O578" t="s">
        <v>22</v>
      </c>
      <c r="P578" t="s">
        <v>24</v>
      </c>
      <c r="Q578" t="s">
        <v>24</v>
      </c>
      <c r="R578" t="s">
        <v>45</v>
      </c>
      <c r="S578">
        <v>4</v>
      </c>
    </row>
    <row r="579" spans="1:19" x14ac:dyDescent="0.3">
      <c r="A579" s="1">
        <v>41013</v>
      </c>
      <c r="B579">
        <v>2012</v>
      </c>
      <c r="C579" t="s">
        <v>26</v>
      </c>
      <c r="D579" s="4">
        <v>298340</v>
      </c>
      <c r="E579" s="2">
        <v>407000</v>
      </c>
      <c r="F579" t="s">
        <v>19</v>
      </c>
      <c r="G579" t="s">
        <v>20</v>
      </c>
      <c r="H579">
        <v>3</v>
      </c>
      <c r="I579">
        <v>3</v>
      </c>
      <c r="J579">
        <v>1075</v>
      </c>
      <c r="K579" s="5">
        <v>1.0219580000000001E-2</v>
      </c>
      <c r="L579" t="s">
        <v>32</v>
      </c>
      <c r="M579" s="4">
        <v>108660</v>
      </c>
      <c r="N579" s="3">
        <v>378.60469999999998</v>
      </c>
      <c r="O579" t="s">
        <v>22</v>
      </c>
      <c r="P579" t="s">
        <v>24</v>
      </c>
      <c r="Q579" t="s">
        <v>24</v>
      </c>
      <c r="R579" t="s">
        <v>45</v>
      </c>
      <c r="S579">
        <v>4</v>
      </c>
    </row>
    <row r="580" spans="1:19" x14ac:dyDescent="0.3">
      <c r="A580" s="1">
        <v>41014</v>
      </c>
      <c r="B580">
        <v>2012</v>
      </c>
      <c r="C580" t="s">
        <v>29</v>
      </c>
      <c r="D580" s="4">
        <v>130300</v>
      </c>
      <c r="E580" s="2">
        <v>118000</v>
      </c>
      <c r="F580" t="s">
        <v>19</v>
      </c>
      <c r="G580" t="s">
        <v>20</v>
      </c>
      <c r="H580">
        <v>3</v>
      </c>
      <c r="I580">
        <v>3</v>
      </c>
      <c r="J580">
        <v>1111.6589814177564</v>
      </c>
      <c r="K580" s="5">
        <v>1.0219580000000001E-2</v>
      </c>
      <c r="L580" t="s">
        <v>38</v>
      </c>
      <c r="M580" s="4">
        <v>-12300</v>
      </c>
      <c r="N580" s="3">
        <v>106.1477</v>
      </c>
      <c r="O580" t="s">
        <v>33</v>
      </c>
      <c r="P580" t="s">
        <v>23</v>
      </c>
      <c r="Q580" t="s">
        <v>24</v>
      </c>
      <c r="R580" t="s">
        <v>45</v>
      </c>
      <c r="S580">
        <v>4</v>
      </c>
    </row>
    <row r="581" spans="1:19" x14ac:dyDescent="0.3">
      <c r="A581" s="1">
        <v>41015</v>
      </c>
      <c r="B581">
        <v>2012</v>
      </c>
      <c r="C581" t="s">
        <v>26</v>
      </c>
      <c r="D581" s="4">
        <v>287280</v>
      </c>
      <c r="E581" s="2">
        <v>461000</v>
      </c>
      <c r="F581" t="s">
        <v>19</v>
      </c>
      <c r="G581" t="s">
        <v>20</v>
      </c>
      <c r="H581">
        <v>3</v>
      </c>
      <c r="I581">
        <v>2</v>
      </c>
      <c r="J581">
        <v>981</v>
      </c>
      <c r="K581" s="5">
        <v>1.0219580000000001E-2</v>
      </c>
      <c r="L581" t="s">
        <v>21</v>
      </c>
      <c r="M581" s="4">
        <v>173720</v>
      </c>
      <c r="N581" s="3">
        <v>469.92860000000002</v>
      </c>
      <c r="O581" t="s">
        <v>22</v>
      </c>
      <c r="P581" t="s">
        <v>24</v>
      </c>
      <c r="Q581" t="s">
        <v>24</v>
      </c>
      <c r="R581" t="s">
        <v>45</v>
      </c>
      <c r="S581">
        <v>4</v>
      </c>
    </row>
    <row r="582" spans="1:19" x14ac:dyDescent="0.3">
      <c r="A582" s="1">
        <v>41018</v>
      </c>
      <c r="B582">
        <v>2012</v>
      </c>
      <c r="C582" t="s">
        <v>52</v>
      </c>
      <c r="D582" s="4">
        <v>444584.20699999999</v>
      </c>
      <c r="E582" s="2">
        <v>210000</v>
      </c>
      <c r="F582" t="s">
        <v>19</v>
      </c>
      <c r="G582" t="s">
        <v>20</v>
      </c>
      <c r="H582">
        <v>3</v>
      </c>
      <c r="I582">
        <v>3</v>
      </c>
      <c r="J582">
        <v>913</v>
      </c>
      <c r="K582" s="5">
        <v>1.0219580000000001E-2</v>
      </c>
      <c r="L582" t="s">
        <v>38</v>
      </c>
      <c r="M582" s="4">
        <v>-234584.20699999999</v>
      </c>
      <c r="N582" s="3">
        <v>230.011</v>
      </c>
      <c r="O582" t="s">
        <v>33</v>
      </c>
      <c r="P582" t="s">
        <v>24</v>
      </c>
      <c r="Q582" t="s">
        <v>24</v>
      </c>
      <c r="R582" t="s">
        <v>45</v>
      </c>
      <c r="S582">
        <v>4</v>
      </c>
    </row>
    <row r="583" spans="1:19" x14ac:dyDescent="0.3">
      <c r="A583" s="1">
        <v>41019</v>
      </c>
      <c r="B583">
        <v>2012</v>
      </c>
      <c r="C583" t="s">
        <v>29</v>
      </c>
      <c r="D583" s="4">
        <v>135600</v>
      </c>
      <c r="E583" s="2">
        <v>145000</v>
      </c>
      <c r="F583" t="s">
        <v>19</v>
      </c>
      <c r="G583" t="s">
        <v>20</v>
      </c>
      <c r="H583">
        <v>3</v>
      </c>
      <c r="I583">
        <v>2</v>
      </c>
      <c r="J583">
        <v>1073</v>
      </c>
      <c r="K583" s="5">
        <v>1.0219580000000001E-2</v>
      </c>
      <c r="L583" t="s">
        <v>38</v>
      </c>
      <c r="M583" s="4">
        <v>9400</v>
      </c>
      <c r="N583" s="3">
        <v>135.13509999999999</v>
      </c>
      <c r="O583" t="s">
        <v>22</v>
      </c>
      <c r="P583" t="s">
        <v>23</v>
      </c>
      <c r="Q583" t="s">
        <v>24</v>
      </c>
      <c r="R583" t="s">
        <v>45</v>
      </c>
      <c r="S583">
        <v>4</v>
      </c>
    </row>
    <row r="584" spans="1:19" x14ac:dyDescent="0.3">
      <c r="A584" s="1">
        <v>41021</v>
      </c>
      <c r="B584">
        <v>2012</v>
      </c>
      <c r="C584" t="s">
        <v>39</v>
      </c>
      <c r="D584" s="4">
        <v>491470</v>
      </c>
      <c r="E584" s="2">
        <v>760000</v>
      </c>
      <c r="F584" t="s">
        <v>19</v>
      </c>
      <c r="G584" t="s">
        <v>20</v>
      </c>
      <c r="H584">
        <v>3</v>
      </c>
      <c r="I584">
        <v>1</v>
      </c>
      <c r="J584">
        <v>961</v>
      </c>
      <c r="K584" s="5">
        <v>1.0219580000000001E-2</v>
      </c>
      <c r="L584" t="s">
        <v>27</v>
      </c>
      <c r="M584" s="4">
        <v>268530</v>
      </c>
      <c r="N584" s="3">
        <v>790.84289999999999</v>
      </c>
      <c r="O584" t="s">
        <v>22</v>
      </c>
      <c r="P584" t="s">
        <v>28</v>
      </c>
      <c r="Q584" t="s">
        <v>24</v>
      </c>
      <c r="R584" t="s">
        <v>45</v>
      </c>
      <c r="S584">
        <v>4</v>
      </c>
    </row>
    <row r="585" spans="1:19" x14ac:dyDescent="0.3">
      <c r="A585" s="1">
        <v>41025</v>
      </c>
      <c r="B585">
        <v>2012</v>
      </c>
      <c r="C585" t="s">
        <v>18</v>
      </c>
      <c r="D585" s="4">
        <v>82240</v>
      </c>
      <c r="E585" s="2">
        <v>73000</v>
      </c>
      <c r="F585" t="s">
        <v>19</v>
      </c>
      <c r="G585" t="s">
        <v>20</v>
      </c>
      <c r="H585">
        <v>3</v>
      </c>
      <c r="I585">
        <v>3</v>
      </c>
      <c r="J585">
        <v>994</v>
      </c>
      <c r="K585" s="5">
        <v>1.0219580000000001E-2</v>
      </c>
      <c r="L585" t="s">
        <v>21</v>
      </c>
      <c r="M585" s="4">
        <v>-9240</v>
      </c>
      <c r="N585" s="3">
        <v>73.440600000000003</v>
      </c>
      <c r="O585" t="s">
        <v>33</v>
      </c>
      <c r="P585" t="s">
        <v>23</v>
      </c>
      <c r="Q585" t="s">
        <v>24</v>
      </c>
      <c r="R585" t="s">
        <v>45</v>
      </c>
      <c r="S585">
        <v>4</v>
      </c>
    </row>
    <row r="586" spans="1:19" x14ac:dyDescent="0.3">
      <c r="A586" s="1">
        <v>41026</v>
      </c>
      <c r="B586">
        <v>2012</v>
      </c>
      <c r="C586" t="s">
        <v>35</v>
      </c>
      <c r="D586" s="4">
        <v>952980</v>
      </c>
      <c r="E586" s="2">
        <v>737500</v>
      </c>
      <c r="F586" t="s">
        <v>19</v>
      </c>
      <c r="G586" t="s">
        <v>20</v>
      </c>
      <c r="H586">
        <v>3</v>
      </c>
      <c r="I586">
        <v>1</v>
      </c>
      <c r="J586">
        <v>914</v>
      </c>
      <c r="K586" s="5">
        <v>1.0219580000000001E-2</v>
      </c>
      <c r="L586" t="s">
        <v>38</v>
      </c>
      <c r="M586" s="4">
        <v>-215480</v>
      </c>
      <c r="N586" s="3">
        <v>806.89279999999997</v>
      </c>
      <c r="O586" t="s">
        <v>33</v>
      </c>
      <c r="P586" t="s">
        <v>28</v>
      </c>
      <c r="Q586" t="s">
        <v>24</v>
      </c>
      <c r="R586" t="s">
        <v>45</v>
      </c>
      <c r="S586">
        <v>4</v>
      </c>
    </row>
    <row r="587" spans="1:19" x14ac:dyDescent="0.3">
      <c r="A587" s="1">
        <v>41027</v>
      </c>
      <c r="B587">
        <v>2012</v>
      </c>
      <c r="C587" t="s">
        <v>39</v>
      </c>
      <c r="D587" s="4">
        <v>385910</v>
      </c>
      <c r="E587" s="2">
        <v>380000</v>
      </c>
      <c r="F587" t="s">
        <v>19</v>
      </c>
      <c r="G587" t="s">
        <v>20</v>
      </c>
      <c r="H587">
        <v>3</v>
      </c>
      <c r="I587">
        <v>1</v>
      </c>
      <c r="J587">
        <v>984</v>
      </c>
      <c r="K587" s="5">
        <v>1.0219580000000001E-2</v>
      </c>
      <c r="L587" t="s">
        <v>21</v>
      </c>
      <c r="M587" s="4">
        <v>-5910</v>
      </c>
      <c r="N587" s="3">
        <v>386.1789</v>
      </c>
      <c r="O587" t="s">
        <v>33</v>
      </c>
      <c r="P587" t="s">
        <v>24</v>
      </c>
      <c r="Q587" t="s">
        <v>24</v>
      </c>
      <c r="R587" t="s">
        <v>45</v>
      </c>
      <c r="S587">
        <v>4</v>
      </c>
    </row>
    <row r="588" spans="1:19" x14ac:dyDescent="0.3">
      <c r="A588" s="1">
        <v>41028</v>
      </c>
      <c r="B588">
        <v>2012</v>
      </c>
      <c r="C588" t="s">
        <v>29</v>
      </c>
      <c r="D588" s="4">
        <v>126730</v>
      </c>
      <c r="E588" s="2">
        <v>160000</v>
      </c>
      <c r="F588" t="s">
        <v>19</v>
      </c>
      <c r="G588" t="s">
        <v>20</v>
      </c>
      <c r="H588">
        <v>3</v>
      </c>
      <c r="I588">
        <v>2</v>
      </c>
      <c r="J588">
        <v>1111.6589814177564</v>
      </c>
      <c r="K588" s="5">
        <v>1.0219580000000001E-2</v>
      </c>
      <c r="L588" t="s">
        <v>32</v>
      </c>
      <c r="M588" s="4">
        <v>33270</v>
      </c>
      <c r="N588" s="3">
        <v>143.929</v>
      </c>
      <c r="O588" t="s">
        <v>22</v>
      </c>
      <c r="P588" t="s">
        <v>23</v>
      </c>
      <c r="Q588" t="s">
        <v>24</v>
      </c>
      <c r="R588" t="s">
        <v>45</v>
      </c>
      <c r="S588">
        <v>4</v>
      </c>
    </row>
    <row r="589" spans="1:19" x14ac:dyDescent="0.3">
      <c r="A589" s="1">
        <v>41029</v>
      </c>
      <c r="B589">
        <v>2012</v>
      </c>
      <c r="C589" t="s">
        <v>40</v>
      </c>
      <c r="D589" s="4">
        <v>97930</v>
      </c>
      <c r="E589" s="2">
        <v>64500</v>
      </c>
      <c r="F589" t="s">
        <v>19</v>
      </c>
      <c r="G589" t="s">
        <v>20</v>
      </c>
      <c r="H589">
        <v>3</v>
      </c>
      <c r="I589">
        <v>1</v>
      </c>
      <c r="J589">
        <v>975</v>
      </c>
      <c r="K589" s="5">
        <v>1.0219580000000001E-2</v>
      </c>
      <c r="L589" t="s">
        <v>32</v>
      </c>
      <c r="M589" s="4">
        <v>-33430</v>
      </c>
      <c r="N589" s="3">
        <v>66.153800000000004</v>
      </c>
      <c r="O589" t="s">
        <v>33</v>
      </c>
      <c r="P589" t="s">
        <v>23</v>
      </c>
      <c r="Q589" t="s">
        <v>24</v>
      </c>
      <c r="R589" t="s">
        <v>45</v>
      </c>
      <c r="S589">
        <v>4</v>
      </c>
    </row>
    <row r="590" spans="1:19" x14ac:dyDescent="0.3">
      <c r="A590" s="1">
        <v>41032</v>
      </c>
      <c r="B590">
        <v>2012</v>
      </c>
      <c r="C590" t="s">
        <v>29</v>
      </c>
      <c r="D590" s="4">
        <v>220630</v>
      </c>
      <c r="E590" s="2">
        <v>280000</v>
      </c>
      <c r="F590" t="s">
        <v>19</v>
      </c>
      <c r="G590" t="s">
        <v>20</v>
      </c>
      <c r="H590">
        <v>3</v>
      </c>
      <c r="I590">
        <v>3</v>
      </c>
      <c r="J590">
        <v>997</v>
      </c>
      <c r="K590" s="5">
        <v>1.0219580000000001E-2</v>
      </c>
      <c r="L590" t="s">
        <v>38</v>
      </c>
      <c r="M590" s="4">
        <v>59370</v>
      </c>
      <c r="N590" s="3">
        <v>280.84249999999997</v>
      </c>
      <c r="O590" t="s">
        <v>22</v>
      </c>
      <c r="P590" t="s">
        <v>24</v>
      </c>
      <c r="Q590" t="s">
        <v>24</v>
      </c>
      <c r="R590" t="s">
        <v>47</v>
      </c>
      <c r="S590">
        <v>5</v>
      </c>
    </row>
    <row r="591" spans="1:19" x14ac:dyDescent="0.3">
      <c r="A591" s="1">
        <v>41033</v>
      </c>
      <c r="B591">
        <v>2012</v>
      </c>
      <c r="C591" t="s">
        <v>56</v>
      </c>
      <c r="D591" s="4">
        <v>449140</v>
      </c>
      <c r="E591" s="2">
        <v>125000</v>
      </c>
      <c r="F591" t="s">
        <v>19</v>
      </c>
      <c r="G591" t="s">
        <v>20</v>
      </c>
      <c r="H591">
        <v>3</v>
      </c>
      <c r="I591">
        <v>1</v>
      </c>
      <c r="J591">
        <v>1055</v>
      </c>
      <c r="K591" s="5">
        <v>1.0219580000000001E-2</v>
      </c>
      <c r="L591" t="s">
        <v>27</v>
      </c>
      <c r="M591" s="4">
        <v>-324140</v>
      </c>
      <c r="N591" s="3">
        <v>118.4834</v>
      </c>
      <c r="O591" t="s">
        <v>33</v>
      </c>
      <c r="P591" t="s">
        <v>23</v>
      </c>
      <c r="Q591" t="s">
        <v>24</v>
      </c>
      <c r="R591" t="s">
        <v>47</v>
      </c>
      <c r="S591">
        <v>5</v>
      </c>
    </row>
    <row r="592" spans="1:19" x14ac:dyDescent="0.3">
      <c r="A592" s="1">
        <v>41034</v>
      </c>
      <c r="B592">
        <v>2012</v>
      </c>
      <c r="C592" t="s">
        <v>26</v>
      </c>
      <c r="D592" s="4">
        <v>695870</v>
      </c>
      <c r="E592" s="2">
        <v>750000</v>
      </c>
      <c r="F592" t="s">
        <v>19</v>
      </c>
      <c r="G592" t="s">
        <v>20</v>
      </c>
      <c r="H592">
        <v>3</v>
      </c>
      <c r="I592">
        <v>3</v>
      </c>
      <c r="J592">
        <v>1020</v>
      </c>
      <c r="K592" s="5">
        <v>1.0219580000000001E-2</v>
      </c>
      <c r="L592" t="s">
        <v>38</v>
      </c>
      <c r="M592" s="4">
        <v>54130</v>
      </c>
      <c r="N592" s="3">
        <v>735.29409999999996</v>
      </c>
      <c r="O592" t="s">
        <v>22</v>
      </c>
      <c r="P592" t="s">
        <v>28</v>
      </c>
      <c r="Q592" t="s">
        <v>24</v>
      </c>
      <c r="R592" t="s">
        <v>47</v>
      </c>
      <c r="S592">
        <v>5</v>
      </c>
    </row>
    <row r="593" spans="1:19" x14ac:dyDescent="0.3">
      <c r="A593" s="1">
        <v>41035</v>
      </c>
      <c r="B593">
        <v>2012</v>
      </c>
      <c r="C593" t="s">
        <v>26</v>
      </c>
      <c r="D593" s="4">
        <v>244370</v>
      </c>
      <c r="E593" s="2">
        <v>365000</v>
      </c>
      <c r="F593" t="s">
        <v>19</v>
      </c>
      <c r="G593" t="s">
        <v>20</v>
      </c>
      <c r="H593">
        <v>3</v>
      </c>
      <c r="I593">
        <v>1</v>
      </c>
      <c r="J593">
        <v>1111.6589814177564</v>
      </c>
      <c r="K593" s="5">
        <v>1.0219580000000001E-2</v>
      </c>
      <c r="L593" t="s">
        <v>21</v>
      </c>
      <c r="M593" s="4">
        <v>120630</v>
      </c>
      <c r="N593" s="3">
        <v>328.3381</v>
      </c>
      <c r="O593" t="s">
        <v>22</v>
      </c>
      <c r="P593" t="s">
        <v>24</v>
      </c>
      <c r="Q593" t="s">
        <v>24</v>
      </c>
      <c r="R593" t="s">
        <v>47</v>
      </c>
      <c r="S593">
        <v>5</v>
      </c>
    </row>
    <row r="594" spans="1:19" x14ac:dyDescent="0.3">
      <c r="A594" s="1">
        <v>41036</v>
      </c>
      <c r="B594">
        <v>2012</v>
      </c>
      <c r="C594" t="s">
        <v>39</v>
      </c>
      <c r="D594" s="4">
        <v>227850</v>
      </c>
      <c r="E594" s="2">
        <v>230000</v>
      </c>
      <c r="F594" t="s">
        <v>19</v>
      </c>
      <c r="G594" t="s">
        <v>20</v>
      </c>
      <c r="H594">
        <v>3</v>
      </c>
      <c r="I594">
        <v>2</v>
      </c>
      <c r="J594">
        <v>971</v>
      </c>
      <c r="K594" s="5">
        <v>1.0219580000000001E-2</v>
      </c>
      <c r="L594" t="s">
        <v>21</v>
      </c>
      <c r="M594" s="4">
        <v>2150</v>
      </c>
      <c r="N594" s="3">
        <v>236.86920000000001</v>
      </c>
      <c r="O594" t="s">
        <v>22</v>
      </c>
      <c r="P594" t="s">
        <v>24</v>
      </c>
      <c r="Q594" t="s">
        <v>24</v>
      </c>
      <c r="R594" t="s">
        <v>47</v>
      </c>
      <c r="S594">
        <v>5</v>
      </c>
    </row>
    <row r="595" spans="1:19" x14ac:dyDescent="0.3">
      <c r="A595" s="1">
        <v>41039</v>
      </c>
      <c r="B595">
        <v>2012</v>
      </c>
      <c r="C595" t="s">
        <v>52</v>
      </c>
      <c r="D595" s="4">
        <v>444584.20699999999</v>
      </c>
      <c r="E595" s="2">
        <v>955000</v>
      </c>
      <c r="F595" t="s">
        <v>19</v>
      </c>
      <c r="G595" t="s">
        <v>20</v>
      </c>
      <c r="H595">
        <v>3</v>
      </c>
      <c r="I595">
        <v>3</v>
      </c>
      <c r="J595">
        <v>983</v>
      </c>
      <c r="K595" s="5">
        <v>1.0219580000000001E-2</v>
      </c>
      <c r="L595" t="s">
        <v>27</v>
      </c>
      <c r="M595" s="4">
        <v>510415.79300000001</v>
      </c>
      <c r="N595" s="3">
        <v>971.51580000000001</v>
      </c>
      <c r="O595" t="s">
        <v>22</v>
      </c>
      <c r="P595" t="s">
        <v>28</v>
      </c>
      <c r="Q595" t="s">
        <v>24</v>
      </c>
      <c r="R595" t="s">
        <v>47</v>
      </c>
      <c r="S595">
        <v>5</v>
      </c>
    </row>
    <row r="596" spans="1:19" x14ac:dyDescent="0.3">
      <c r="A596" s="1">
        <v>41041</v>
      </c>
      <c r="B596">
        <v>2012</v>
      </c>
      <c r="C596" t="s">
        <v>29</v>
      </c>
      <c r="D596" s="4">
        <v>176210</v>
      </c>
      <c r="E596" s="2">
        <v>82500</v>
      </c>
      <c r="F596" t="s">
        <v>30</v>
      </c>
      <c r="G596" t="s">
        <v>31</v>
      </c>
      <c r="H596">
        <v>4</v>
      </c>
      <c r="I596">
        <v>2</v>
      </c>
      <c r="J596">
        <v>1399</v>
      </c>
      <c r="K596" s="5">
        <v>1.0219580000000001E-2</v>
      </c>
      <c r="L596" t="s">
        <v>27</v>
      </c>
      <c r="M596" s="4">
        <v>-93710</v>
      </c>
      <c r="N596" s="3">
        <v>58.970700000000001</v>
      </c>
      <c r="O596" t="s">
        <v>33</v>
      </c>
      <c r="P596" t="s">
        <v>23</v>
      </c>
      <c r="Q596" t="s">
        <v>34</v>
      </c>
      <c r="R596" t="s">
        <v>47</v>
      </c>
      <c r="S596">
        <v>5</v>
      </c>
    </row>
    <row r="597" spans="1:19" x14ac:dyDescent="0.3">
      <c r="A597" s="1">
        <v>41043</v>
      </c>
      <c r="B597">
        <v>2012</v>
      </c>
      <c r="C597" t="s">
        <v>18</v>
      </c>
      <c r="D597" s="4">
        <v>115350</v>
      </c>
      <c r="E597" s="2">
        <v>139900</v>
      </c>
      <c r="F597" t="s">
        <v>19</v>
      </c>
      <c r="G597" t="s">
        <v>20</v>
      </c>
      <c r="H597">
        <v>3</v>
      </c>
      <c r="I597">
        <v>3</v>
      </c>
      <c r="J597">
        <v>1068</v>
      </c>
      <c r="K597" s="5">
        <v>1.0219580000000001E-2</v>
      </c>
      <c r="L597" t="s">
        <v>21</v>
      </c>
      <c r="M597" s="4">
        <v>24550</v>
      </c>
      <c r="N597" s="3">
        <v>130.99250000000001</v>
      </c>
      <c r="O597" t="s">
        <v>22</v>
      </c>
      <c r="P597" t="s">
        <v>23</v>
      </c>
      <c r="Q597" t="s">
        <v>24</v>
      </c>
      <c r="R597" t="s">
        <v>47</v>
      </c>
      <c r="S597">
        <v>5</v>
      </c>
    </row>
    <row r="598" spans="1:19" x14ac:dyDescent="0.3">
      <c r="A598" s="1">
        <v>41046</v>
      </c>
      <c r="B598">
        <v>2012</v>
      </c>
      <c r="C598" t="s">
        <v>40</v>
      </c>
      <c r="D598" s="4">
        <v>89550</v>
      </c>
      <c r="E598" s="2">
        <v>33000</v>
      </c>
      <c r="F598" t="s">
        <v>30</v>
      </c>
      <c r="G598" t="s">
        <v>31</v>
      </c>
      <c r="H598">
        <v>4</v>
      </c>
      <c r="I598">
        <v>2</v>
      </c>
      <c r="J598">
        <v>1338</v>
      </c>
      <c r="K598" s="5">
        <v>1.0219580000000001E-2</v>
      </c>
      <c r="L598" t="s">
        <v>38</v>
      </c>
      <c r="M598" s="4">
        <v>-56550</v>
      </c>
      <c r="N598" s="3">
        <v>24.663699999999999</v>
      </c>
      <c r="O598" t="s">
        <v>33</v>
      </c>
      <c r="P598" t="s">
        <v>23</v>
      </c>
      <c r="Q598" t="s">
        <v>34</v>
      </c>
      <c r="R598" t="s">
        <v>47</v>
      </c>
      <c r="S598">
        <v>5</v>
      </c>
    </row>
    <row r="599" spans="1:19" x14ac:dyDescent="0.3">
      <c r="A599" s="1">
        <v>41047</v>
      </c>
      <c r="B599">
        <v>2012</v>
      </c>
      <c r="C599" t="s">
        <v>56</v>
      </c>
      <c r="D599" s="4">
        <v>473610</v>
      </c>
      <c r="E599" s="2">
        <v>612000</v>
      </c>
      <c r="F599" t="s">
        <v>19</v>
      </c>
      <c r="G599" t="s">
        <v>20</v>
      </c>
      <c r="H599">
        <v>3</v>
      </c>
      <c r="I599">
        <v>3</v>
      </c>
      <c r="J599">
        <v>995</v>
      </c>
      <c r="K599" s="5">
        <v>1.0219580000000001E-2</v>
      </c>
      <c r="L599" t="s">
        <v>32</v>
      </c>
      <c r="M599" s="4">
        <v>138390</v>
      </c>
      <c r="N599" s="3">
        <v>615.07539999999995</v>
      </c>
      <c r="O599" t="s">
        <v>22</v>
      </c>
      <c r="P599" t="s">
        <v>28</v>
      </c>
      <c r="Q599" t="s">
        <v>24</v>
      </c>
      <c r="R599" t="s">
        <v>47</v>
      </c>
      <c r="S599">
        <v>5</v>
      </c>
    </row>
    <row r="600" spans="1:19" x14ac:dyDescent="0.3">
      <c r="A600" s="1">
        <v>41048</v>
      </c>
      <c r="B600">
        <v>2012</v>
      </c>
      <c r="C600" t="s">
        <v>35</v>
      </c>
      <c r="D600" s="4">
        <v>658910</v>
      </c>
      <c r="E600" s="2">
        <v>860000</v>
      </c>
      <c r="F600" t="s">
        <v>19</v>
      </c>
      <c r="G600" t="s">
        <v>20</v>
      </c>
      <c r="H600">
        <v>3</v>
      </c>
      <c r="I600">
        <v>2</v>
      </c>
      <c r="J600">
        <v>911</v>
      </c>
      <c r="K600" s="5">
        <v>1.0219580000000001E-2</v>
      </c>
      <c r="L600" t="s">
        <v>21</v>
      </c>
      <c r="M600" s="4">
        <v>201090</v>
      </c>
      <c r="N600" s="3">
        <v>944.01760000000002</v>
      </c>
      <c r="O600" t="s">
        <v>22</v>
      </c>
      <c r="P600" t="s">
        <v>28</v>
      </c>
      <c r="Q600" t="s">
        <v>24</v>
      </c>
      <c r="R600" t="s">
        <v>47</v>
      </c>
      <c r="S600">
        <v>5</v>
      </c>
    </row>
    <row r="601" spans="1:19" x14ac:dyDescent="0.3">
      <c r="A601" s="1">
        <v>41049</v>
      </c>
      <c r="B601">
        <v>2012</v>
      </c>
      <c r="C601" t="s">
        <v>40</v>
      </c>
      <c r="D601" s="4">
        <v>830270</v>
      </c>
      <c r="E601" s="2">
        <v>919000</v>
      </c>
      <c r="F601" t="s">
        <v>19</v>
      </c>
      <c r="G601" t="s">
        <v>20</v>
      </c>
      <c r="H601">
        <v>3</v>
      </c>
      <c r="I601">
        <v>1</v>
      </c>
      <c r="J601">
        <v>1111.6589814177564</v>
      </c>
      <c r="K601" s="5">
        <v>1.0219580000000001E-2</v>
      </c>
      <c r="L601" t="s">
        <v>38</v>
      </c>
      <c r="M601" s="4">
        <v>88730</v>
      </c>
      <c r="N601" s="3">
        <v>826.69240000000002</v>
      </c>
      <c r="O601" t="s">
        <v>22</v>
      </c>
      <c r="P601" t="s">
        <v>28</v>
      </c>
      <c r="Q601" t="s">
        <v>24</v>
      </c>
      <c r="R601" t="s">
        <v>47</v>
      </c>
      <c r="S601">
        <v>5</v>
      </c>
    </row>
    <row r="602" spans="1:19" x14ac:dyDescent="0.3">
      <c r="A602" s="1">
        <v>41050</v>
      </c>
      <c r="B602">
        <v>2012</v>
      </c>
      <c r="C602" t="s">
        <v>39</v>
      </c>
      <c r="D602" s="4">
        <v>947030</v>
      </c>
      <c r="E602" s="2">
        <v>1080500</v>
      </c>
      <c r="F602" t="s">
        <v>19</v>
      </c>
      <c r="G602" t="s">
        <v>20</v>
      </c>
      <c r="H602">
        <v>3</v>
      </c>
      <c r="I602">
        <v>1</v>
      </c>
      <c r="J602">
        <v>913</v>
      </c>
      <c r="K602" s="5">
        <v>1.0219580000000001E-2</v>
      </c>
      <c r="L602" t="s">
        <v>38</v>
      </c>
      <c r="M602" s="4">
        <v>133470</v>
      </c>
      <c r="N602" s="3">
        <v>1183.4611</v>
      </c>
      <c r="O602" t="s">
        <v>22</v>
      </c>
      <c r="P602" t="s">
        <v>28</v>
      </c>
      <c r="Q602" t="s">
        <v>24</v>
      </c>
      <c r="R602" t="s">
        <v>47</v>
      </c>
      <c r="S602">
        <v>5</v>
      </c>
    </row>
    <row r="603" spans="1:19" x14ac:dyDescent="0.3">
      <c r="A603" s="1">
        <v>41054</v>
      </c>
      <c r="B603">
        <v>2012</v>
      </c>
      <c r="C603" t="s">
        <v>52</v>
      </c>
      <c r="D603" s="4">
        <v>185200</v>
      </c>
      <c r="E603" s="2">
        <v>276000</v>
      </c>
      <c r="F603" t="s">
        <v>19</v>
      </c>
      <c r="G603" t="s">
        <v>20</v>
      </c>
      <c r="H603">
        <v>3</v>
      </c>
      <c r="I603">
        <v>3</v>
      </c>
      <c r="J603">
        <v>1065</v>
      </c>
      <c r="K603" s="5">
        <v>1.0219580000000001E-2</v>
      </c>
      <c r="L603" t="s">
        <v>21</v>
      </c>
      <c r="M603" s="4">
        <v>90800</v>
      </c>
      <c r="N603" s="3">
        <v>259.1549</v>
      </c>
      <c r="O603" t="s">
        <v>22</v>
      </c>
      <c r="P603" t="s">
        <v>24</v>
      </c>
      <c r="Q603" t="s">
        <v>24</v>
      </c>
      <c r="R603" t="s">
        <v>47</v>
      </c>
      <c r="S603">
        <v>5</v>
      </c>
    </row>
    <row r="604" spans="1:19" x14ac:dyDescent="0.3">
      <c r="A604" s="1">
        <v>41055</v>
      </c>
      <c r="B604">
        <v>2012</v>
      </c>
      <c r="C604" t="s">
        <v>52</v>
      </c>
      <c r="D604" s="4">
        <v>444584.20699999999</v>
      </c>
      <c r="E604" s="2">
        <v>192000</v>
      </c>
      <c r="F604" t="s">
        <v>19</v>
      </c>
      <c r="G604" t="s">
        <v>20</v>
      </c>
      <c r="H604">
        <v>3</v>
      </c>
      <c r="I604">
        <v>3</v>
      </c>
      <c r="J604">
        <v>966</v>
      </c>
      <c r="K604" s="5">
        <v>1.0219580000000001E-2</v>
      </c>
      <c r="L604" t="s">
        <v>38</v>
      </c>
      <c r="M604" s="4">
        <v>-252584.20699999999</v>
      </c>
      <c r="N604" s="3">
        <v>198.7578</v>
      </c>
      <c r="O604" t="s">
        <v>33</v>
      </c>
      <c r="P604" t="s">
        <v>23</v>
      </c>
      <c r="Q604" t="s">
        <v>24</v>
      </c>
      <c r="R604" t="s">
        <v>47</v>
      </c>
      <c r="S604">
        <v>5</v>
      </c>
    </row>
    <row r="605" spans="1:19" x14ac:dyDescent="0.3">
      <c r="A605" s="1">
        <v>41056</v>
      </c>
      <c r="B605">
        <v>2012</v>
      </c>
      <c r="C605" t="s">
        <v>56</v>
      </c>
      <c r="D605" s="4">
        <v>388220</v>
      </c>
      <c r="E605" s="2">
        <v>400000</v>
      </c>
      <c r="F605" t="s">
        <v>19</v>
      </c>
      <c r="G605" t="s">
        <v>20</v>
      </c>
      <c r="H605">
        <v>3</v>
      </c>
      <c r="I605">
        <v>3</v>
      </c>
      <c r="J605">
        <v>1081</v>
      </c>
      <c r="K605" s="5">
        <v>1.0219580000000001E-2</v>
      </c>
      <c r="L605" t="s">
        <v>32</v>
      </c>
      <c r="M605" s="4">
        <v>11780</v>
      </c>
      <c r="N605" s="3">
        <v>370.02780000000001</v>
      </c>
      <c r="O605" t="s">
        <v>22</v>
      </c>
      <c r="P605" t="s">
        <v>24</v>
      </c>
      <c r="Q605" t="s">
        <v>24</v>
      </c>
      <c r="R605" t="s">
        <v>47</v>
      </c>
      <c r="S605">
        <v>5</v>
      </c>
    </row>
    <row r="606" spans="1:19" x14ac:dyDescent="0.3">
      <c r="A606" s="1">
        <v>41057</v>
      </c>
      <c r="B606">
        <v>2012</v>
      </c>
      <c r="C606" t="s">
        <v>40</v>
      </c>
      <c r="D606" s="4">
        <v>590590</v>
      </c>
      <c r="E606" s="2">
        <v>1017500</v>
      </c>
      <c r="F606" t="s">
        <v>19</v>
      </c>
      <c r="G606" t="s">
        <v>20</v>
      </c>
      <c r="H606">
        <v>3</v>
      </c>
      <c r="I606">
        <v>2</v>
      </c>
      <c r="J606">
        <v>952</v>
      </c>
      <c r="K606" s="5">
        <v>1.0219580000000001E-2</v>
      </c>
      <c r="L606" t="s">
        <v>32</v>
      </c>
      <c r="M606" s="4">
        <v>426910</v>
      </c>
      <c r="N606" s="3">
        <v>1068.8025</v>
      </c>
      <c r="O606" t="s">
        <v>22</v>
      </c>
      <c r="P606" t="s">
        <v>28</v>
      </c>
      <c r="Q606" t="s">
        <v>24</v>
      </c>
      <c r="R606" t="s">
        <v>47</v>
      </c>
      <c r="S606">
        <v>5</v>
      </c>
    </row>
    <row r="607" spans="1:19" x14ac:dyDescent="0.3">
      <c r="A607" s="1">
        <v>41061</v>
      </c>
      <c r="B607">
        <v>2012</v>
      </c>
      <c r="C607" t="s">
        <v>52</v>
      </c>
      <c r="D607" s="4">
        <v>157800</v>
      </c>
      <c r="E607" s="2">
        <v>209000</v>
      </c>
      <c r="F607" t="s">
        <v>19</v>
      </c>
      <c r="G607" t="s">
        <v>20</v>
      </c>
      <c r="H607">
        <v>3</v>
      </c>
      <c r="I607">
        <v>2</v>
      </c>
      <c r="J607">
        <v>1096</v>
      </c>
      <c r="K607" s="5">
        <v>1.0219580000000001E-2</v>
      </c>
      <c r="L607" t="s">
        <v>27</v>
      </c>
      <c r="M607" s="4">
        <v>51200</v>
      </c>
      <c r="N607" s="3">
        <v>190.6934</v>
      </c>
      <c r="O607" t="s">
        <v>22</v>
      </c>
      <c r="P607" t="s">
        <v>24</v>
      </c>
      <c r="Q607" t="s">
        <v>24</v>
      </c>
      <c r="R607" t="s">
        <v>48</v>
      </c>
      <c r="S607">
        <v>6</v>
      </c>
    </row>
    <row r="608" spans="1:19" x14ac:dyDescent="0.3">
      <c r="A608" s="1">
        <v>41062</v>
      </c>
      <c r="B608">
        <v>2012</v>
      </c>
      <c r="C608" t="s">
        <v>52</v>
      </c>
      <c r="D608" s="4">
        <v>225500</v>
      </c>
      <c r="E608" s="2">
        <v>424000</v>
      </c>
      <c r="F608" t="s">
        <v>19</v>
      </c>
      <c r="G608" t="s">
        <v>20</v>
      </c>
      <c r="H608">
        <v>3</v>
      </c>
      <c r="I608">
        <v>2</v>
      </c>
      <c r="J608">
        <v>1016</v>
      </c>
      <c r="K608" s="5">
        <v>1.0219580000000001E-2</v>
      </c>
      <c r="L608" t="s">
        <v>27</v>
      </c>
      <c r="M608" s="4">
        <v>198500</v>
      </c>
      <c r="N608" s="3">
        <v>417.32279999999997</v>
      </c>
      <c r="O608" t="s">
        <v>22</v>
      </c>
      <c r="P608" t="s">
        <v>24</v>
      </c>
      <c r="Q608" t="s">
        <v>24</v>
      </c>
      <c r="R608" t="s">
        <v>48</v>
      </c>
      <c r="S608">
        <v>6</v>
      </c>
    </row>
    <row r="609" spans="1:19" x14ac:dyDescent="0.3">
      <c r="A609" s="1">
        <v>41063</v>
      </c>
      <c r="B609">
        <v>2012</v>
      </c>
      <c r="C609" t="s">
        <v>29</v>
      </c>
      <c r="D609" s="4">
        <v>444584.20699999999</v>
      </c>
      <c r="E609" s="2">
        <v>158000</v>
      </c>
      <c r="F609" t="s">
        <v>19</v>
      </c>
      <c r="G609" t="s">
        <v>20</v>
      </c>
      <c r="H609">
        <v>3</v>
      </c>
      <c r="I609">
        <v>1</v>
      </c>
      <c r="J609">
        <v>1029</v>
      </c>
      <c r="K609" s="5">
        <v>1.0219580000000001E-2</v>
      </c>
      <c r="L609" t="s">
        <v>32</v>
      </c>
      <c r="M609" s="4">
        <v>-286584.20699999999</v>
      </c>
      <c r="N609" s="3">
        <v>153.5471</v>
      </c>
      <c r="O609" t="s">
        <v>33</v>
      </c>
      <c r="P609" t="s">
        <v>23</v>
      </c>
      <c r="Q609" t="s">
        <v>24</v>
      </c>
      <c r="R609" t="s">
        <v>48</v>
      </c>
      <c r="S609">
        <v>6</v>
      </c>
    </row>
    <row r="610" spans="1:19" x14ac:dyDescent="0.3">
      <c r="A610" s="1">
        <v>41064</v>
      </c>
      <c r="B610">
        <v>2012</v>
      </c>
      <c r="C610" t="s">
        <v>35</v>
      </c>
      <c r="D610" s="4">
        <v>1801310</v>
      </c>
      <c r="E610" s="2">
        <v>2050000</v>
      </c>
      <c r="F610" t="s">
        <v>19</v>
      </c>
      <c r="G610" t="s">
        <v>20</v>
      </c>
      <c r="H610">
        <v>3</v>
      </c>
      <c r="I610">
        <v>1</v>
      </c>
      <c r="J610">
        <v>964</v>
      </c>
      <c r="K610" s="5">
        <v>1.0219580000000001E-2</v>
      </c>
      <c r="L610" t="s">
        <v>32</v>
      </c>
      <c r="M610" s="4">
        <v>248690</v>
      </c>
      <c r="N610" s="3">
        <v>2126.556</v>
      </c>
      <c r="O610" t="s">
        <v>22</v>
      </c>
      <c r="P610" t="s">
        <v>28</v>
      </c>
      <c r="Q610" t="s">
        <v>24</v>
      </c>
      <c r="R610" t="s">
        <v>48</v>
      </c>
      <c r="S610">
        <v>6</v>
      </c>
    </row>
    <row r="611" spans="1:19" x14ac:dyDescent="0.3">
      <c r="A611" s="1">
        <v>41068</v>
      </c>
      <c r="B611">
        <v>2012</v>
      </c>
      <c r="C611" t="s">
        <v>26</v>
      </c>
      <c r="D611" s="4">
        <v>444584.20699999999</v>
      </c>
      <c r="E611" s="2">
        <v>1275000</v>
      </c>
      <c r="F611" t="s">
        <v>19</v>
      </c>
      <c r="G611" t="s">
        <v>20</v>
      </c>
      <c r="H611">
        <v>3</v>
      </c>
      <c r="I611">
        <v>3</v>
      </c>
      <c r="J611">
        <v>1049</v>
      </c>
      <c r="K611" s="5">
        <v>1.0219580000000001E-2</v>
      </c>
      <c r="L611" t="s">
        <v>32</v>
      </c>
      <c r="M611" s="4">
        <v>830415.79299999995</v>
      </c>
      <c r="N611" s="3">
        <v>1215.4432999999999</v>
      </c>
      <c r="O611" t="s">
        <v>22</v>
      </c>
      <c r="P611" t="s">
        <v>28</v>
      </c>
      <c r="Q611" t="s">
        <v>24</v>
      </c>
      <c r="R611" t="s">
        <v>48</v>
      </c>
      <c r="S611">
        <v>6</v>
      </c>
    </row>
    <row r="612" spans="1:19" x14ac:dyDescent="0.3">
      <c r="A612" s="1">
        <v>41070</v>
      </c>
      <c r="B612">
        <v>2012</v>
      </c>
      <c r="C612" t="s">
        <v>18</v>
      </c>
      <c r="D612" s="4">
        <v>121510</v>
      </c>
      <c r="E612" s="2">
        <v>165000</v>
      </c>
      <c r="F612" t="s">
        <v>19</v>
      </c>
      <c r="G612" t="s">
        <v>20</v>
      </c>
      <c r="H612">
        <v>3</v>
      </c>
      <c r="I612">
        <v>3</v>
      </c>
      <c r="J612">
        <v>923</v>
      </c>
      <c r="K612" s="5">
        <v>1.0219580000000001E-2</v>
      </c>
      <c r="L612" t="s">
        <v>38</v>
      </c>
      <c r="M612" s="4">
        <v>43490</v>
      </c>
      <c r="N612" s="3">
        <v>178.76490000000001</v>
      </c>
      <c r="O612" t="s">
        <v>22</v>
      </c>
      <c r="P612" t="s">
        <v>23</v>
      </c>
      <c r="Q612" t="s">
        <v>24</v>
      </c>
      <c r="R612" t="s">
        <v>48</v>
      </c>
      <c r="S612">
        <v>6</v>
      </c>
    </row>
    <row r="613" spans="1:19" x14ac:dyDescent="0.3">
      <c r="A613" s="1">
        <v>41074</v>
      </c>
      <c r="B613">
        <v>2012</v>
      </c>
      <c r="C613" t="s">
        <v>29</v>
      </c>
      <c r="D613" s="4">
        <v>87360</v>
      </c>
      <c r="E613" s="2">
        <v>130000</v>
      </c>
      <c r="F613" t="s">
        <v>19</v>
      </c>
      <c r="G613" t="s">
        <v>20</v>
      </c>
      <c r="H613">
        <v>3</v>
      </c>
      <c r="I613">
        <v>1</v>
      </c>
      <c r="J613">
        <v>1051</v>
      </c>
      <c r="K613" s="5">
        <v>1.0219580000000001E-2</v>
      </c>
      <c r="L613" t="s">
        <v>27</v>
      </c>
      <c r="M613" s="4">
        <v>42640</v>
      </c>
      <c r="N613" s="3">
        <v>123.6917</v>
      </c>
      <c r="O613" t="s">
        <v>22</v>
      </c>
      <c r="P613" t="s">
        <v>23</v>
      </c>
      <c r="Q613" t="s">
        <v>24</v>
      </c>
      <c r="R613" t="s">
        <v>48</v>
      </c>
      <c r="S613">
        <v>6</v>
      </c>
    </row>
    <row r="614" spans="1:19" x14ac:dyDescent="0.3">
      <c r="A614" s="1">
        <v>41075</v>
      </c>
      <c r="B614">
        <v>2012</v>
      </c>
      <c r="C614" t="s">
        <v>35</v>
      </c>
      <c r="D614" s="4">
        <v>1210510</v>
      </c>
      <c r="E614" s="2">
        <v>1455000</v>
      </c>
      <c r="F614" t="s">
        <v>19</v>
      </c>
      <c r="G614" t="s">
        <v>20</v>
      </c>
      <c r="H614">
        <v>3</v>
      </c>
      <c r="I614">
        <v>1</v>
      </c>
      <c r="J614">
        <v>1054</v>
      </c>
      <c r="K614" s="5">
        <v>1.0219580000000001E-2</v>
      </c>
      <c r="L614" t="s">
        <v>32</v>
      </c>
      <c r="M614" s="4">
        <v>244490</v>
      </c>
      <c r="N614" s="3">
        <v>1380.4554000000001</v>
      </c>
      <c r="O614" t="s">
        <v>22</v>
      </c>
      <c r="P614" t="s">
        <v>28</v>
      </c>
      <c r="Q614" t="s">
        <v>24</v>
      </c>
      <c r="R614" t="s">
        <v>48</v>
      </c>
      <c r="S614">
        <v>6</v>
      </c>
    </row>
    <row r="615" spans="1:19" x14ac:dyDescent="0.3">
      <c r="A615" s="1">
        <v>41076</v>
      </c>
      <c r="B615">
        <v>2012</v>
      </c>
      <c r="C615" t="s">
        <v>29</v>
      </c>
      <c r="D615" s="4">
        <v>444584.20699999999</v>
      </c>
      <c r="E615" s="2">
        <v>227500</v>
      </c>
      <c r="F615" t="s">
        <v>19</v>
      </c>
      <c r="G615" t="s">
        <v>20</v>
      </c>
      <c r="H615">
        <v>3</v>
      </c>
      <c r="I615">
        <v>2</v>
      </c>
      <c r="J615">
        <v>1093</v>
      </c>
      <c r="K615" s="5">
        <v>1.0219580000000001E-2</v>
      </c>
      <c r="L615" t="s">
        <v>38</v>
      </c>
      <c r="M615" s="4">
        <v>-217084.20699999999</v>
      </c>
      <c r="N615" s="3">
        <v>208.14269999999999</v>
      </c>
      <c r="O615" t="s">
        <v>33</v>
      </c>
      <c r="P615" t="s">
        <v>24</v>
      </c>
      <c r="Q615" t="s">
        <v>24</v>
      </c>
      <c r="R615" t="s">
        <v>48</v>
      </c>
      <c r="S615">
        <v>6</v>
      </c>
    </row>
    <row r="616" spans="1:19" x14ac:dyDescent="0.3">
      <c r="A616" s="1">
        <v>41077</v>
      </c>
      <c r="B616">
        <v>2012</v>
      </c>
      <c r="C616" t="s">
        <v>52</v>
      </c>
      <c r="D616" s="4">
        <v>250300</v>
      </c>
      <c r="E616" s="2">
        <v>374000</v>
      </c>
      <c r="F616" t="s">
        <v>19</v>
      </c>
      <c r="G616" t="s">
        <v>20</v>
      </c>
      <c r="H616">
        <v>3</v>
      </c>
      <c r="I616">
        <v>2</v>
      </c>
      <c r="J616">
        <v>1051</v>
      </c>
      <c r="K616" s="5">
        <v>1.0219580000000001E-2</v>
      </c>
      <c r="L616" t="s">
        <v>32</v>
      </c>
      <c r="M616" s="4">
        <v>123700</v>
      </c>
      <c r="N616" s="3">
        <v>355.85160000000002</v>
      </c>
      <c r="O616" t="s">
        <v>22</v>
      </c>
      <c r="P616" t="s">
        <v>24</v>
      </c>
      <c r="Q616" t="s">
        <v>24</v>
      </c>
      <c r="R616" t="s">
        <v>48</v>
      </c>
      <c r="S616">
        <v>6</v>
      </c>
    </row>
    <row r="617" spans="1:19" x14ac:dyDescent="0.3">
      <c r="A617" s="1">
        <v>41082</v>
      </c>
      <c r="B617">
        <v>2012</v>
      </c>
      <c r="C617" t="s">
        <v>56</v>
      </c>
      <c r="D617" s="4">
        <v>813980</v>
      </c>
      <c r="E617" s="2">
        <v>912400</v>
      </c>
      <c r="F617" t="s">
        <v>19</v>
      </c>
      <c r="G617" t="s">
        <v>20</v>
      </c>
      <c r="H617">
        <v>3</v>
      </c>
      <c r="I617">
        <v>1</v>
      </c>
      <c r="J617">
        <v>1061</v>
      </c>
      <c r="K617" s="5">
        <v>1.0219580000000001E-2</v>
      </c>
      <c r="L617" t="s">
        <v>38</v>
      </c>
      <c r="M617" s="4">
        <v>98420</v>
      </c>
      <c r="N617" s="3">
        <v>859.9434</v>
      </c>
      <c r="O617" t="s">
        <v>22</v>
      </c>
      <c r="P617" t="s">
        <v>28</v>
      </c>
      <c r="Q617" t="s">
        <v>24</v>
      </c>
      <c r="R617" t="s">
        <v>48</v>
      </c>
      <c r="S617">
        <v>6</v>
      </c>
    </row>
    <row r="618" spans="1:19" x14ac:dyDescent="0.3">
      <c r="A618" s="1">
        <v>41083</v>
      </c>
      <c r="B618">
        <v>2012</v>
      </c>
      <c r="C618" t="s">
        <v>18</v>
      </c>
      <c r="D618" s="4">
        <v>139720</v>
      </c>
      <c r="E618" s="2">
        <v>100600</v>
      </c>
      <c r="F618" t="s">
        <v>19</v>
      </c>
      <c r="G618" t="s">
        <v>20</v>
      </c>
      <c r="H618">
        <v>3</v>
      </c>
      <c r="I618">
        <v>3</v>
      </c>
      <c r="J618">
        <v>911</v>
      </c>
      <c r="K618" s="5">
        <v>1.0219580000000001E-2</v>
      </c>
      <c r="L618" t="s">
        <v>38</v>
      </c>
      <c r="M618" s="4">
        <v>-39120</v>
      </c>
      <c r="N618" s="3">
        <v>110.4281</v>
      </c>
      <c r="O618" t="s">
        <v>33</v>
      </c>
      <c r="P618" t="s">
        <v>23</v>
      </c>
      <c r="Q618" t="s">
        <v>24</v>
      </c>
      <c r="R618" t="s">
        <v>48</v>
      </c>
      <c r="S618">
        <v>6</v>
      </c>
    </row>
    <row r="619" spans="1:19" x14ac:dyDescent="0.3">
      <c r="A619" s="1">
        <v>41085</v>
      </c>
      <c r="B619">
        <v>2012</v>
      </c>
      <c r="C619" t="s">
        <v>39</v>
      </c>
      <c r="D619" s="4">
        <v>459270</v>
      </c>
      <c r="E619" s="2">
        <v>539000</v>
      </c>
      <c r="F619" t="s">
        <v>19</v>
      </c>
      <c r="G619" t="s">
        <v>20</v>
      </c>
      <c r="H619">
        <v>3</v>
      </c>
      <c r="I619">
        <v>1</v>
      </c>
      <c r="J619">
        <v>1030</v>
      </c>
      <c r="K619" s="5">
        <v>1.0219580000000001E-2</v>
      </c>
      <c r="L619" t="s">
        <v>32</v>
      </c>
      <c r="M619" s="4">
        <v>79730</v>
      </c>
      <c r="N619" s="3">
        <v>523.30100000000004</v>
      </c>
      <c r="O619" t="s">
        <v>22</v>
      </c>
      <c r="P619" t="s">
        <v>24</v>
      </c>
      <c r="Q619" t="s">
        <v>24</v>
      </c>
      <c r="R619" t="s">
        <v>48</v>
      </c>
      <c r="S619">
        <v>6</v>
      </c>
    </row>
    <row r="620" spans="1:19" x14ac:dyDescent="0.3">
      <c r="A620" s="1">
        <v>41089</v>
      </c>
      <c r="B620">
        <v>2012</v>
      </c>
      <c r="C620" t="s">
        <v>56</v>
      </c>
      <c r="D620" s="4">
        <v>393040</v>
      </c>
      <c r="E620" s="2">
        <v>442000</v>
      </c>
      <c r="F620" t="s">
        <v>19</v>
      </c>
      <c r="G620" t="s">
        <v>20</v>
      </c>
      <c r="H620">
        <v>3</v>
      </c>
      <c r="I620">
        <v>2</v>
      </c>
      <c r="J620">
        <v>1087</v>
      </c>
      <c r="K620" s="5">
        <v>1.0219580000000001E-2</v>
      </c>
      <c r="L620" t="s">
        <v>27</v>
      </c>
      <c r="M620" s="4">
        <v>48960</v>
      </c>
      <c r="N620" s="3">
        <v>406.62369999999999</v>
      </c>
      <c r="O620" t="s">
        <v>22</v>
      </c>
      <c r="P620" t="s">
        <v>24</v>
      </c>
      <c r="Q620" t="s">
        <v>24</v>
      </c>
      <c r="R620" t="s">
        <v>48</v>
      </c>
      <c r="S620">
        <v>6</v>
      </c>
    </row>
    <row r="621" spans="1:19" x14ac:dyDescent="0.3">
      <c r="A621" s="1">
        <v>41090</v>
      </c>
      <c r="B621">
        <v>2012</v>
      </c>
      <c r="C621" t="s">
        <v>29</v>
      </c>
      <c r="D621" s="4">
        <v>94170</v>
      </c>
      <c r="E621" s="2">
        <v>88000</v>
      </c>
      <c r="F621" t="s">
        <v>19</v>
      </c>
      <c r="G621" t="s">
        <v>20</v>
      </c>
      <c r="H621">
        <v>3</v>
      </c>
      <c r="I621">
        <v>2</v>
      </c>
      <c r="J621">
        <v>1068</v>
      </c>
      <c r="K621" s="5">
        <v>1.0219580000000001E-2</v>
      </c>
      <c r="L621" t="s">
        <v>32</v>
      </c>
      <c r="M621" s="4">
        <v>-6170</v>
      </c>
      <c r="N621" s="3">
        <v>82.397000000000006</v>
      </c>
      <c r="O621" t="s">
        <v>33</v>
      </c>
      <c r="P621" t="s">
        <v>23</v>
      </c>
      <c r="Q621" t="s">
        <v>24</v>
      </c>
      <c r="R621" t="s">
        <v>48</v>
      </c>
      <c r="S621">
        <v>6</v>
      </c>
    </row>
    <row r="622" spans="1:19" x14ac:dyDescent="0.3">
      <c r="A622" s="1">
        <v>41092</v>
      </c>
      <c r="B622">
        <v>2012</v>
      </c>
      <c r="C622" t="s">
        <v>39</v>
      </c>
      <c r="D622" s="4">
        <v>324870</v>
      </c>
      <c r="E622" s="2">
        <v>442500</v>
      </c>
      <c r="F622" t="s">
        <v>19</v>
      </c>
      <c r="G622" t="s">
        <v>20</v>
      </c>
      <c r="H622">
        <v>3</v>
      </c>
      <c r="I622">
        <v>3</v>
      </c>
      <c r="J622">
        <v>981</v>
      </c>
      <c r="K622" s="5">
        <v>1.0219580000000001E-2</v>
      </c>
      <c r="L622" t="s">
        <v>21</v>
      </c>
      <c r="M622" s="4">
        <v>117630</v>
      </c>
      <c r="N622" s="3">
        <v>451.07029999999997</v>
      </c>
      <c r="O622" t="s">
        <v>22</v>
      </c>
      <c r="P622" t="s">
        <v>24</v>
      </c>
      <c r="Q622" t="s">
        <v>24</v>
      </c>
      <c r="R622" t="s">
        <v>49</v>
      </c>
      <c r="S622">
        <v>7</v>
      </c>
    </row>
    <row r="623" spans="1:19" x14ac:dyDescent="0.3">
      <c r="A623" s="1">
        <v>41096</v>
      </c>
      <c r="B623">
        <v>2012</v>
      </c>
      <c r="C623" t="s">
        <v>56</v>
      </c>
      <c r="D623" s="4">
        <v>343640</v>
      </c>
      <c r="E623" s="2">
        <v>109000</v>
      </c>
      <c r="F623" t="s">
        <v>19</v>
      </c>
      <c r="G623" t="s">
        <v>20</v>
      </c>
      <c r="H623">
        <v>3</v>
      </c>
      <c r="I623">
        <v>1</v>
      </c>
      <c r="J623">
        <v>1085</v>
      </c>
      <c r="K623" s="5">
        <v>1.0219580000000001E-2</v>
      </c>
      <c r="L623" t="s">
        <v>27</v>
      </c>
      <c r="M623" s="4">
        <v>-234640</v>
      </c>
      <c r="N623" s="3">
        <v>100.46080000000001</v>
      </c>
      <c r="O623" t="s">
        <v>33</v>
      </c>
      <c r="P623" t="s">
        <v>23</v>
      </c>
      <c r="Q623" t="s">
        <v>24</v>
      </c>
      <c r="R623" t="s">
        <v>49</v>
      </c>
      <c r="S623">
        <v>7</v>
      </c>
    </row>
    <row r="624" spans="1:19" x14ac:dyDescent="0.3">
      <c r="A624" s="1">
        <v>41098</v>
      </c>
      <c r="B624">
        <v>2012</v>
      </c>
      <c r="C624" t="s">
        <v>52</v>
      </c>
      <c r="D624" s="4">
        <v>444584.20699999999</v>
      </c>
      <c r="E624" s="2">
        <v>397500</v>
      </c>
      <c r="F624" t="s">
        <v>19</v>
      </c>
      <c r="G624" t="s">
        <v>20</v>
      </c>
      <c r="H624">
        <v>3</v>
      </c>
      <c r="I624">
        <v>3</v>
      </c>
      <c r="J624">
        <v>1111.6589814177564</v>
      </c>
      <c r="K624" s="5">
        <v>1.0219580000000001E-2</v>
      </c>
      <c r="L624" t="s">
        <v>21</v>
      </c>
      <c r="M624" s="4">
        <v>-47084.207000000002</v>
      </c>
      <c r="N624" s="3">
        <v>357.57369999999997</v>
      </c>
      <c r="O624" t="s">
        <v>33</v>
      </c>
      <c r="P624" t="s">
        <v>24</v>
      </c>
      <c r="Q624" t="s">
        <v>24</v>
      </c>
      <c r="R624" t="s">
        <v>49</v>
      </c>
      <c r="S624">
        <v>7</v>
      </c>
    </row>
    <row r="625" spans="1:19" x14ac:dyDescent="0.3">
      <c r="A625" s="1">
        <v>41099</v>
      </c>
      <c r="B625">
        <v>2012</v>
      </c>
      <c r="C625" t="s">
        <v>56</v>
      </c>
      <c r="D625" s="4">
        <v>557770</v>
      </c>
      <c r="E625" s="2">
        <v>650000</v>
      </c>
      <c r="F625" t="s">
        <v>19</v>
      </c>
      <c r="G625" t="s">
        <v>20</v>
      </c>
      <c r="H625">
        <v>3</v>
      </c>
      <c r="I625">
        <v>2</v>
      </c>
      <c r="J625">
        <v>1036</v>
      </c>
      <c r="K625" s="5">
        <v>1.0219580000000001E-2</v>
      </c>
      <c r="L625" t="s">
        <v>38</v>
      </c>
      <c r="M625" s="4">
        <v>92230</v>
      </c>
      <c r="N625" s="3">
        <v>627.41309999999999</v>
      </c>
      <c r="O625" t="s">
        <v>22</v>
      </c>
      <c r="P625" t="s">
        <v>28</v>
      </c>
      <c r="Q625" t="s">
        <v>24</v>
      </c>
      <c r="R625" t="s">
        <v>49</v>
      </c>
      <c r="S625">
        <v>7</v>
      </c>
    </row>
    <row r="626" spans="1:19" x14ac:dyDescent="0.3">
      <c r="A626" s="1">
        <v>41102</v>
      </c>
      <c r="B626">
        <v>2012</v>
      </c>
      <c r="C626" t="s">
        <v>52</v>
      </c>
      <c r="D626" s="4">
        <v>155700</v>
      </c>
      <c r="E626" s="2">
        <v>266000</v>
      </c>
      <c r="F626" t="s">
        <v>19</v>
      </c>
      <c r="G626" t="s">
        <v>20</v>
      </c>
      <c r="H626">
        <v>3</v>
      </c>
      <c r="I626">
        <v>3</v>
      </c>
      <c r="J626">
        <v>919</v>
      </c>
      <c r="K626" s="5">
        <v>1.0219580000000001E-2</v>
      </c>
      <c r="L626" t="s">
        <v>27</v>
      </c>
      <c r="M626" s="4">
        <v>110300</v>
      </c>
      <c r="N626" s="3">
        <v>289.44499999999999</v>
      </c>
      <c r="O626" t="s">
        <v>22</v>
      </c>
      <c r="P626" t="s">
        <v>24</v>
      </c>
      <c r="Q626" t="s">
        <v>24</v>
      </c>
      <c r="R626" t="s">
        <v>49</v>
      </c>
      <c r="S626">
        <v>7</v>
      </c>
    </row>
    <row r="627" spans="1:19" x14ac:dyDescent="0.3">
      <c r="A627" s="1">
        <v>41103</v>
      </c>
      <c r="B627">
        <v>2012</v>
      </c>
      <c r="C627" t="s">
        <v>26</v>
      </c>
      <c r="D627" s="4">
        <v>297710</v>
      </c>
      <c r="E627" s="2">
        <v>475000</v>
      </c>
      <c r="F627" t="s">
        <v>19</v>
      </c>
      <c r="G627" t="s">
        <v>20</v>
      </c>
      <c r="H627">
        <v>3</v>
      </c>
      <c r="I627">
        <v>3</v>
      </c>
      <c r="J627">
        <v>1080</v>
      </c>
      <c r="K627" s="5">
        <v>1.0219580000000001E-2</v>
      </c>
      <c r="L627" t="s">
        <v>21</v>
      </c>
      <c r="M627" s="4">
        <v>177290</v>
      </c>
      <c r="N627" s="3">
        <v>439.81479999999999</v>
      </c>
      <c r="O627" t="s">
        <v>22</v>
      </c>
      <c r="P627" t="s">
        <v>24</v>
      </c>
      <c r="Q627" t="s">
        <v>24</v>
      </c>
      <c r="R627" t="s">
        <v>49</v>
      </c>
      <c r="S627">
        <v>7</v>
      </c>
    </row>
    <row r="628" spans="1:19" x14ac:dyDescent="0.3">
      <c r="A628" s="1">
        <v>41105</v>
      </c>
      <c r="B628">
        <v>2012</v>
      </c>
      <c r="C628" t="s">
        <v>18</v>
      </c>
      <c r="D628" s="4">
        <v>95570</v>
      </c>
      <c r="E628" s="2">
        <v>104900</v>
      </c>
      <c r="F628" t="s">
        <v>19</v>
      </c>
      <c r="G628" t="s">
        <v>20</v>
      </c>
      <c r="H628">
        <v>3</v>
      </c>
      <c r="I628">
        <v>3</v>
      </c>
      <c r="J628">
        <v>913</v>
      </c>
      <c r="K628" s="5">
        <v>1.0219580000000001E-2</v>
      </c>
      <c r="L628" t="s">
        <v>27</v>
      </c>
      <c r="M628" s="4">
        <v>9330</v>
      </c>
      <c r="N628" s="3">
        <v>114.8959</v>
      </c>
      <c r="O628" t="s">
        <v>22</v>
      </c>
      <c r="P628" t="s">
        <v>23</v>
      </c>
      <c r="Q628" t="s">
        <v>24</v>
      </c>
      <c r="R628" t="s">
        <v>49</v>
      </c>
      <c r="S628">
        <v>7</v>
      </c>
    </row>
    <row r="629" spans="1:19" x14ac:dyDescent="0.3">
      <c r="A629" s="1">
        <v>41109</v>
      </c>
      <c r="B629">
        <v>2012</v>
      </c>
      <c r="C629" t="s">
        <v>29</v>
      </c>
      <c r="D629" s="4">
        <v>112900</v>
      </c>
      <c r="E629" s="2">
        <v>80000</v>
      </c>
      <c r="F629" t="s">
        <v>19</v>
      </c>
      <c r="G629" t="s">
        <v>20</v>
      </c>
      <c r="H629">
        <v>3</v>
      </c>
      <c r="I629">
        <v>3</v>
      </c>
      <c r="J629">
        <v>982</v>
      </c>
      <c r="K629" s="5">
        <v>1.0219580000000001E-2</v>
      </c>
      <c r="L629" t="s">
        <v>27</v>
      </c>
      <c r="M629" s="4">
        <v>-32900</v>
      </c>
      <c r="N629" s="3">
        <v>81.466399999999993</v>
      </c>
      <c r="O629" t="s">
        <v>33</v>
      </c>
      <c r="P629" t="s">
        <v>23</v>
      </c>
      <c r="Q629" t="s">
        <v>24</v>
      </c>
      <c r="R629" t="s">
        <v>49</v>
      </c>
      <c r="S629">
        <v>7</v>
      </c>
    </row>
    <row r="630" spans="1:19" x14ac:dyDescent="0.3">
      <c r="A630" s="1">
        <v>41110</v>
      </c>
      <c r="B630">
        <v>2012</v>
      </c>
      <c r="C630" t="s">
        <v>40</v>
      </c>
      <c r="D630" s="4">
        <v>272400</v>
      </c>
      <c r="E630" s="2">
        <v>361000</v>
      </c>
      <c r="F630" t="s">
        <v>36</v>
      </c>
      <c r="G630" t="s">
        <v>37</v>
      </c>
      <c r="H630">
        <v>6</v>
      </c>
      <c r="I630">
        <v>6</v>
      </c>
      <c r="J630">
        <v>1111.6589814177564</v>
      </c>
      <c r="K630" s="5">
        <v>1.0219580000000001E-2</v>
      </c>
      <c r="L630" t="s">
        <v>27</v>
      </c>
      <c r="M630" s="4">
        <v>88600</v>
      </c>
      <c r="N630" s="3">
        <v>324.73989999999998</v>
      </c>
      <c r="O630" t="s">
        <v>22</v>
      </c>
      <c r="P630" t="s">
        <v>24</v>
      </c>
      <c r="Q630" t="s">
        <v>24</v>
      </c>
      <c r="R630" t="s">
        <v>49</v>
      </c>
      <c r="S630">
        <v>7</v>
      </c>
    </row>
    <row r="631" spans="1:19" x14ac:dyDescent="0.3">
      <c r="A631" s="1">
        <v>41111</v>
      </c>
      <c r="B631">
        <v>2012</v>
      </c>
      <c r="C631" t="s">
        <v>52</v>
      </c>
      <c r="D631" s="4">
        <v>167600</v>
      </c>
      <c r="E631" s="2">
        <v>230000</v>
      </c>
      <c r="F631" t="s">
        <v>19</v>
      </c>
      <c r="G631" t="s">
        <v>20</v>
      </c>
      <c r="H631">
        <v>3</v>
      </c>
      <c r="I631">
        <v>3</v>
      </c>
      <c r="J631">
        <v>903</v>
      </c>
      <c r="K631" s="5">
        <v>1.0219580000000001E-2</v>
      </c>
      <c r="L631" t="s">
        <v>38</v>
      </c>
      <c r="M631" s="4">
        <v>62400</v>
      </c>
      <c r="N631" s="3">
        <v>254.70650000000001</v>
      </c>
      <c r="O631" t="s">
        <v>22</v>
      </c>
      <c r="P631" t="s">
        <v>24</v>
      </c>
      <c r="Q631" t="s">
        <v>24</v>
      </c>
      <c r="R631" t="s">
        <v>49</v>
      </c>
      <c r="S631">
        <v>7</v>
      </c>
    </row>
    <row r="632" spans="1:19" x14ac:dyDescent="0.3">
      <c r="A632" s="1">
        <v>41112</v>
      </c>
      <c r="B632">
        <v>2012</v>
      </c>
      <c r="C632" t="s">
        <v>26</v>
      </c>
      <c r="D632" s="4">
        <v>200690</v>
      </c>
      <c r="E632" s="2">
        <v>100000</v>
      </c>
      <c r="F632" t="s">
        <v>19</v>
      </c>
      <c r="G632" t="s">
        <v>20</v>
      </c>
      <c r="H632">
        <v>3</v>
      </c>
      <c r="I632">
        <v>3</v>
      </c>
      <c r="J632">
        <v>921</v>
      </c>
      <c r="K632" s="5">
        <v>1.0219580000000001E-2</v>
      </c>
      <c r="L632" t="s">
        <v>32</v>
      </c>
      <c r="M632" s="4">
        <v>-100690</v>
      </c>
      <c r="N632" s="3">
        <v>108.5776</v>
      </c>
      <c r="O632" t="s">
        <v>33</v>
      </c>
      <c r="P632" t="s">
        <v>23</v>
      </c>
      <c r="Q632" t="s">
        <v>24</v>
      </c>
      <c r="R632" t="s">
        <v>49</v>
      </c>
      <c r="S632">
        <v>7</v>
      </c>
    </row>
    <row r="633" spans="1:19" x14ac:dyDescent="0.3">
      <c r="A633" s="1">
        <v>41113</v>
      </c>
      <c r="B633">
        <v>2012</v>
      </c>
      <c r="C633" t="s">
        <v>40</v>
      </c>
      <c r="D633" s="4">
        <v>384860</v>
      </c>
      <c r="E633" s="2">
        <v>405000</v>
      </c>
      <c r="F633" t="s">
        <v>19</v>
      </c>
      <c r="G633" t="s">
        <v>20</v>
      </c>
      <c r="H633">
        <v>3</v>
      </c>
      <c r="I633">
        <v>1</v>
      </c>
      <c r="J633">
        <v>1111.6589814177564</v>
      </c>
      <c r="K633" s="5">
        <v>1.0219580000000001E-2</v>
      </c>
      <c r="L633" t="s">
        <v>21</v>
      </c>
      <c r="M633" s="4">
        <v>20140</v>
      </c>
      <c r="N633" s="3">
        <v>364.32040000000001</v>
      </c>
      <c r="O633" t="s">
        <v>22</v>
      </c>
      <c r="P633" t="s">
        <v>24</v>
      </c>
      <c r="Q633" t="s">
        <v>24</v>
      </c>
      <c r="R633" t="s">
        <v>49</v>
      </c>
      <c r="S633">
        <v>7</v>
      </c>
    </row>
    <row r="634" spans="1:19" x14ac:dyDescent="0.3">
      <c r="A634" s="1">
        <v>41117</v>
      </c>
      <c r="B634">
        <v>2012</v>
      </c>
      <c r="C634" t="s">
        <v>39</v>
      </c>
      <c r="D634" s="4">
        <v>405510</v>
      </c>
      <c r="E634" s="2">
        <v>480000</v>
      </c>
      <c r="F634" t="s">
        <v>19</v>
      </c>
      <c r="G634" t="s">
        <v>20</v>
      </c>
      <c r="H634">
        <v>3</v>
      </c>
      <c r="I634">
        <v>1</v>
      </c>
      <c r="J634">
        <v>1062</v>
      </c>
      <c r="K634" s="5">
        <v>1.0219580000000001E-2</v>
      </c>
      <c r="L634" t="s">
        <v>32</v>
      </c>
      <c r="M634" s="4">
        <v>74490</v>
      </c>
      <c r="N634" s="3">
        <v>451.97739999999999</v>
      </c>
      <c r="O634" t="s">
        <v>22</v>
      </c>
      <c r="P634" t="s">
        <v>24</v>
      </c>
      <c r="Q634" t="s">
        <v>24</v>
      </c>
      <c r="R634" t="s">
        <v>49</v>
      </c>
      <c r="S634">
        <v>7</v>
      </c>
    </row>
    <row r="635" spans="1:19" x14ac:dyDescent="0.3">
      <c r="A635" s="1">
        <v>41118</v>
      </c>
      <c r="B635">
        <v>2012</v>
      </c>
      <c r="C635" t="s">
        <v>35</v>
      </c>
      <c r="D635" s="4">
        <v>1411130</v>
      </c>
      <c r="E635" s="2">
        <v>2350000</v>
      </c>
      <c r="F635" t="s">
        <v>19</v>
      </c>
      <c r="G635" t="s">
        <v>20</v>
      </c>
      <c r="H635">
        <v>3</v>
      </c>
      <c r="I635">
        <v>3</v>
      </c>
      <c r="J635">
        <v>1111.6589814177564</v>
      </c>
      <c r="K635" s="5">
        <v>1.0219580000000001E-2</v>
      </c>
      <c r="L635" t="s">
        <v>38</v>
      </c>
      <c r="M635" s="4">
        <v>938870</v>
      </c>
      <c r="N635" s="3">
        <v>2113.9576000000002</v>
      </c>
      <c r="O635" t="s">
        <v>22</v>
      </c>
      <c r="P635" t="s">
        <v>28</v>
      </c>
      <c r="Q635" t="s">
        <v>24</v>
      </c>
      <c r="R635" t="s">
        <v>49</v>
      </c>
      <c r="S635">
        <v>7</v>
      </c>
    </row>
    <row r="636" spans="1:19" x14ac:dyDescent="0.3">
      <c r="A636" s="1">
        <v>41119</v>
      </c>
      <c r="B636">
        <v>2012</v>
      </c>
      <c r="C636" t="s">
        <v>29</v>
      </c>
      <c r="D636" s="4">
        <v>214100</v>
      </c>
      <c r="E636" s="2">
        <v>85000</v>
      </c>
      <c r="F636" t="s">
        <v>36</v>
      </c>
      <c r="G636" t="s">
        <v>37</v>
      </c>
      <c r="H636">
        <v>6</v>
      </c>
      <c r="I636">
        <v>5</v>
      </c>
      <c r="J636">
        <v>1874</v>
      </c>
      <c r="K636" s="5">
        <v>1.0219580000000001E-2</v>
      </c>
      <c r="L636" t="s">
        <v>27</v>
      </c>
      <c r="M636" s="4">
        <v>-129100</v>
      </c>
      <c r="N636" s="3">
        <v>45.357500000000002</v>
      </c>
      <c r="O636" t="s">
        <v>33</v>
      </c>
      <c r="P636" t="s">
        <v>23</v>
      </c>
      <c r="Q636" t="s">
        <v>34</v>
      </c>
      <c r="R636" t="s">
        <v>49</v>
      </c>
      <c r="S636">
        <v>7</v>
      </c>
    </row>
    <row r="637" spans="1:19" x14ac:dyDescent="0.3">
      <c r="A637" s="1">
        <v>41120</v>
      </c>
      <c r="B637">
        <v>2012</v>
      </c>
      <c r="C637" t="s">
        <v>26</v>
      </c>
      <c r="D637" s="4">
        <v>280714</v>
      </c>
      <c r="E637" s="2">
        <v>366200</v>
      </c>
      <c r="F637" t="s">
        <v>19</v>
      </c>
      <c r="G637" t="s">
        <v>20</v>
      </c>
      <c r="H637">
        <v>3</v>
      </c>
      <c r="I637">
        <v>2</v>
      </c>
      <c r="J637">
        <v>1076</v>
      </c>
      <c r="K637" s="5">
        <v>1.0219580000000001E-2</v>
      </c>
      <c r="L637" t="s">
        <v>38</v>
      </c>
      <c r="M637" s="4">
        <v>85486</v>
      </c>
      <c r="N637" s="3">
        <v>340.33460000000002</v>
      </c>
      <c r="O637" t="s">
        <v>22</v>
      </c>
      <c r="P637" t="s">
        <v>24</v>
      </c>
      <c r="Q637" t="s">
        <v>24</v>
      </c>
      <c r="R637" t="s">
        <v>49</v>
      </c>
      <c r="S637">
        <v>7</v>
      </c>
    </row>
    <row r="638" spans="1:19" x14ac:dyDescent="0.3">
      <c r="A638" s="1">
        <v>41123</v>
      </c>
      <c r="B638">
        <v>2012</v>
      </c>
      <c r="C638" t="s">
        <v>18</v>
      </c>
      <c r="D638" s="4">
        <v>444584.20699999999</v>
      </c>
      <c r="E638" s="2">
        <v>74300</v>
      </c>
      <c r="F638" t="s">
        <v>19</v>
      </c>
      <c r="G638" t="s">
        <v>20</v>
      </c>
      <c r="H638">
        <v>3</v>
      </c>
      <c r="I638">
        <v>1</v>
      </c>
      <c r="J638">
        <v>1015</v>
      </c>
      <c r="K638" s="5">
        <v>1.0219580000000001E-2</v>
      </c>
      <c r="L638" t="s">
        <v>38</v>
      </c>
      <c r="M638" s="4">
        <v>-370284.20699999999</v>
      </c>
      <c r="N638" s="3">
        <v>73.201999999999998</v>
      </c>
      <c r="O638" t="s">
        <v>33</v>
      </c>
      <c r="P638" t="s">
        <v>23</v>
      </c>
      <c r="Q638" t="s">
        <v>24</v>
      </c>
      <c r="R638" t="s">
        <v>50</v>
      </c>
      <c r="S638">
        <v>8</v>
      </c>
    </row>
    <row r="639" spans="1:19" x14ac:dyDescent="0.3">
      <c r="A639" s="1">
        <v>41124</v>
      </c>
      <c r="B639">
        <v>2012</v>
      </c>
      <c r="C639" t="s">
        <v>26</v>
      </c>
      <c r="D639" s="4">
        <v>368410</v>
      </c>
      <c r="E639" s="2">
        <v>575000</v>
      </c>
      <c r="F639" t="s">
        <v>19</v>
      </c>
      <c r="G639" t="s">
        <v>20</v>
      </c>
      <c r="H639">
        <v>3</v>
      </c>
      <c r="I639">
        <v>1</v>
      </c>
      <c r="J639">
        <v>1032</v>
      </c>
      <c r="K639" s="5">
        <v>1.0219580000000001E-2</v>
      </c>
      <c r="L639" t="s">
        <v>21</v>
      </c>
      <c r="M639" s="4">
        <v>206590</v>
      </c>
      <c r="N639" s="3">
        <v>557.17049999999995</v>
      </c>
      <c r="O639" t="s">
        <v>22</v>
      </c>
      <c r="P639" t="s">
        <v>24</v>
      </c>
      <c r="Q639" t="s">
        <v>24</v>
      </c>
      <c r="R639" t="s">
        <v>50</v>
      </c>
      <c r="S639">
        <v>8</v>
      </c>
    </row>
    <row r="640" spans="1:19" x14ac:dyDescent="0.3">
      <c r="A640" s="1">
        <v>41125</v>
      </c>
      <c r="B640">
        <v>2012</v>
      </c>
      <c r="C640" t="s">
        <v>39</v>
      </c>
      <c r="D640" s="4">
        <v>392840</v>
      </c>
      <c r="E640" s="2">
        <v>497500</v>
      </c>
      <c r="F640" t="s">
        <v>19</v>
      </c>
      <c r="G640" t="s">
        <v>20</v>
      </c>
      <c r="H640">
        <v>3</v>
      </c>
      <c r="I640">
        <v>1</v>
      </c>
      <c r="J640">
        <v>1067</v>
      </c>
      <c r="K640" s="5">
        <v>1.0219580000000001E-2</v>
      </c>
      <c r="L640" t="s">
        <v>21</v>
      </c>
      <c r="M640" s="4">
        <v>104660</v>
      </c>
      <c r="N640" s="3">
        <v>466.26049999999998</v>
      </c>
      <c r="O640" t="s">
        <v>22</v>
      </c>
      <c r="P640" t="s">
        <v>24</v>
      </c>
      <c r="Q640" t="s">
        <v>24</v>
      </c>
      <c r="R640" t="s">
        <v>50</v>
      </c>
      <c r="S640">
        <v>8</v>
      </c>
    </row>
    <row r="641" spans="1:19" x14ac:dyDescent="0.3">
      <c r="A641" s="1">
        <v>41126</v>
      </c>
      <c r="B641">
        <v>2012</v>
      </c>
      <c r="C641" t="s">
        <v>29</v>
      </c>
      <c r="D641" s="4">
        <v>444584.20699999999</v>
      </c>
      <c r="E641" s="2">
        <v>62500</v>
      </c>
      <c r="F641" t="s">
        <v>30</v>
      </c>
      <c r="G641" t="s">
        <v>31</v>
      </c>
      <c r="H641">
        <v>4</v>
      </c>
      <c r="I641">
        <v>4</v>
      </c>
      <c r="J641">
        <v>1328</v>
      </c>
      <c r="K641" s="5">
        <v>1.0219580000000001E-2</v>
      </c>
      <c r="L641" t="s">
        <v>21</v>
      </c>
      <c r="M641" s="4">
        <v>-382084.20699999999</v>
      </c>
      <c r="N641" s="3">
        <v>47.063299999999998</v>
      </c>
      <c r="O641" t="s">
        <v>33</v>
      </c>
      <c r="P641" t="s">
        <v>23</v>
      </c>
      <c r="Q641" t="s">
        <v>34</v>
      </c>
      <c r="R641" t="s">
        <v>50</v>
      </c>
      <c r="S641">
        <v>8</v>
      </c>
    </row>
    <row r="642" spans="1:19" x14ac:dyDescent="0.3">
      <c r="A642" s="1">
        <v>41127</v>
      </c>
      <c r="B642">
        <v>2012</v>
      </c>
      <c r="C642" t="s">
        <v>40</v>
      </c>
      <c r="D642" s="4">
        <v>274890</v>
      </c>
      <c r="E642" s="2">
        <v>315000</v>
      </c>
      <c r="F642" t="s">
        <v>19</v>
      </c>
      <c r="G642" t="s">
        <v>20</v>
      </c>
      <c r="H642">
        <v>3</v>
      </c>
      <c r="I642">
        <v>3</v>
      </c>
      <c r="J642">
        <v>1086</v>
      </c>
      <c r="K642" s="5">
        <v>1.0219580000000001E-2</v>
      </c>
      <c r="L642" t="s">
        <v>32</v>
      </c>
      <c r="M642" s="4">
        <v>40110</v>
      </c>
      <c r="N642" s="3">
        <v>290.05520000000001</v>
      </c>
      <c r="O642" t="s">
        <v>22</v>
      </c>
      <c r="P642" t="s">
        <v>24</v>
      </c>
      <c r="Q642" t="s">
        <v>24</v>
      </c>
      <c r="R642" t="s">
        <v>50</v>
      </c>
      <c r="S642">
        <v>8</v>
      </c>
    </row>
    <row r="643" spans="1:19" x14ac:dyDescent="0.3">
      <c r="A643" s="1">
        <v>41130</v>
      </c>
      <c r="B643">
        <v>2012</v>
      </c>
      <c r="C643" t="s">
        <v>39</v>
      </c>
      <c r="D643" s="4">
        <v>444584.20699999999</v>
      </c>
      <c r="E643" s="2">
        <v>430000</v>
      </c>
      <c r="F643" t="s">
        <v>19</v>
      </c>
      <c r="G643" t="s">
        <v>20</v>
      </c>
      <c r="H643">
        <v>3</v>
      </c>
      <c r="I643">
        <v>2</v>
      </c>
      <c r="J643">
        <v>911</v>
      </c>
      <c r="K643" s="5">
        <v>1.0219580000000001E-2</v>
      </c>
      <c r="L643" t="s">
        <v>27</v>
      </c>
      <c r="M643" s="4">
        <v>-14584.207</v>
      </c>
      <c r="N643" s="3">
        <v>472.00880000000001</v>
      </c>
      <c r="O643" t="s">
        <v>33</v>
      </c>
      <c r="P643" t="s">
        <v>24</v>
      </c>
      <c r="Q643" t="s">
        <v>24</v>
      </c>
      <c r="R643" t="s">
        <v>50</v>
      </c>
      <c r="S643">
        <v>8</v>
      </c>
    </row>
    <row r="644" spans="1:19" x14ac:dyDescent="0.3">
      <c r="A644" s="1">
        <v>41131</v>
      </c>
      <c r="B644">
        <v>2012</v>
      </c>
      <c r="C644" t="s">
        <v>18</v>
      </c>
      <c r="D644" s="4">
        <v>114030</v>
      </c>
      <c r="E644" s="2">
        <v>42000</v>
      </c>
      <c r="F644" t="s">
        <v>42</v>
      </c>
      <c r="G644" t="s">
        <v>43</v>
      </c>
      <c r="H644">
        <v>8</v>
      </c>
      <c r="I644">
        <v>8</v>
      </c>
      <c r="J644">
        <v>2727</v>
      </c>
      <c r="K644" s="5">
        <v>1.0219580000000001E-2</v>
      </c>
      <c r="L644" t="s">
        <v>21</v>
      </c>
      <c r="M644" s="4">
        <v>-72030</v>
      </c>
      <c r="N644" s="3">
        <v>15.4015</v>
      </c>
      <c r="O644" t="s">
        <v>33</v>
      </c>
      <c r="P644" t="s">
        <v>23</v>
      </c>
      <c r="Q644" t="s">
        <v>34</v>
      </c>
      <c r="R644" t="s">
        <v>50</v>
      </c>
      <c r="S644">
        <v>8</v>
      </c>
    </row>
    <row r="645" spans="1:19" x14ac:dyDescent="0.3">
      <c r="A645" s="1">
        <v>41132</v>
      </c>
      <c r="B645">
        <v>2012</v>
      </c>
      <c r="C645" t="s">
        <v>35</v>
      </c>
      <c r="D645" s="4">
        <v>444584.20699999999</v>
      </c>
      <c r="E645" s="2">
        <v>2890000</v>
      </c>
      <c r="F645" t="s">
        <v>19</v>
      </c>
      <c r="G645" t="s">
        <v>20</v>
      </c>
      <c r="H645">
        <v>3</v>
      </c>
      <c r="I645">
        <v>1</v>
      </c>
      <c r="J645">
        <v>980</v>
      </c>
      <c r="K645" s="5">
        <v>1.0219580000000001E-2</v>
      </c>
      <c r="L645" t="s">
        <v>21</v>
      </c>
      <c r="M645" s="4">
        <v>2445415.7930000001</v>
      </c>
      <c r="N645" s="3">
        <v>2948.9796000000001</v>
      </c>
      <c r="O645" t="s">
        <v>22</v>
      </c>
      <c r="P645" t="s">
        <v>28</v>
      </c>
      <c r="Q645" t="s">
        <v>24</v>
      </c>
      <c r="R645" t="s">
        <v>50</v>
      </c>
      <c r="S645">
        <v>8</v>
      </c>
    </row>
    <row r="646" spans="1:19" x14ac:dyDescent="0.3">
      <c r="A646" s="1">
        <v>41133</v>
      </c>
      <c r="B646">
        <v>2012</v>
      </c>
      <c r="C646" t="s">
        <v>35</v>
      </c>
      <c r="D646" s="4">
        <v>900900</v>
      </c>
      <c r="E646" s="2">
        <v>1270000</v>
      </c>
      <c r="F646" t="s">
        <v>19</v>
      </c>
      <c r="G646" t="s">
        <v>20</v>
      </c>
      <c r="H646">
        <v>3</v>
      </c>
      <c r="I646">
        <v>2</v>
      </c>
      <c r="J646">
        <v>1057</v>
      </c>
      <c r="K646" s="5">
        <v>1.0219580000000001E-2</v>
      </c>
      <c r="L646" t="s">
        <v>32</v>
      </c>
      <c r="M646" s="4">
        <v>369100</v>
      </c>
      <c r="N646" s="3">
        <v>1201.5137</v>
      </c>
      <c r="O646" t="s">
        <v>22</v>
      </c>
      <c r="P646" t="s">
        <v>28</v>
      </c>
      <c r="Q646" t="s">
        <v>24</v>
      </c>
      <c r="R646" t="s">
        <v>50</v>
      </c>
      <c r="S646">
        <v>8</v>
      </c>
    </row>
    <row r="647" spans="1:19" x14ac:dyDescent="0.3">
      <c r="A647" s="1">
        <v>41134</v>
      </c>
      <c r="B647">
        <v>2012</v>
      </c>
      <c r="C647" t="s">
        <v>39</v>
      </c>
      <c r="D647" s="4">
        <v>302820</v>
      </c>
      <c r="E647" s="2">
        <v>380000</v>
      </c>
      <c r="F647" t="s">
        <v>19</v>
      </c>
      <c r="G647" t="s">
        <v>20</v>
      </c>
      <c r="H647">
        <v>3</v>
      </c>
      <c r="I647">
        <v>2</v>
      </c>
      <c r="J647">
        <v>954</v>
      </c>
      <c r="K647" s="5">
        <v>1.0219580000000001E-2</v>
      </c>
      <c r="L647" t="s">
        <v>32</v>
      </c>
      <c r="M647" s="4">
        <v>77180</v>
      </c>
      <c r="N647" s="3">
        <v>398.3229</v>
      </c>
      <c r="O647" t="s">
        <v>22</v>
      </c>
      <c r="P647" t="s">
        <v>24</v>
      </c>
      <c r="Q647" t="s">
        <v>24</v>
      </c>
      <c r="R647" t="s">
        <v>50</v>
      </c>
      <c r="S647">
        <v>8</v>
      </c>
    </row>
    <row r="648" spans="1:19" x14ac:dyDescent="0.3">
      <c r="A648" s="1">
        <v>41137</v>
      </c>
      <c r="B648">
        <v>2012</v>
      </c>
      <c r="C648" t="s">
        <v>29</v>
      </c>
      <c r="D648" s="4">
        <v>136350</v>
      </c>
      <c r="E648" s="2">
        <v>38000</v>
      </c>
      <c r="F648" t="s">
        <v>30</v>
      </c>
      <c r="G648" t="s">
        <v>31</v>
      </c>
      <c r="H648">
        <v>4</v>
      </c>
      <c r="I648">
        <v>2</v>
      </c>
      <c r="J648">
        <v>1111.6589814177564</v>
      </c>
      <c r="K648" s="5">
        <v>1.0219580000000001E-2</v>
      </c>
      <c r="L648" t="s">
        <v>32</v>
      </c>
      <c r="M648" s="4">
        <v>-98350</v>
      </c>
      <c r="N648" s="3">
        <v>34.183100000000003</v>
      </c>
      <c r="O648" t="s">
        <v>33</v>
      </c>
      <c r="P648" t="s">
        <v>23</v>
      </c>
      <c r="Q648" t="s">
        <v>24</v>
      </c>
      <c r="R648" t="s">
        <v>50</v>
      </c>
      <c r="S648">
        <v>8</v>
      </c>
    </row>
    <row r="649" spans="1:19" x14ac:dyDescent="0.3">
      <c r="A649" s="1">
        <v>41138</v>
      </c>
      <c r="B649">
        <v>2012</v>
      </c>
      <c r="C649" t="s">
        <v>35</v>
      </c>
      <c r="D649" s="4">
        <v>1154720</v>
      </c>
      <c r="E649" s="2">
        <v>1743000</v>
      </c>
      <c r="F649" t="s">
        <v>19</v>
      </c>
      <c r="G649" t="s">
        <v>20</v>
      </c>
      <c r="H649">
        <v>3</v>
      </c>
      <c r="I649">
        <v>3</v>
      </c>
      <c r="J649">
        <v>1089</v>
      </c>
      <c r="K649" s="5">
        <v>1.0219580000000001E-2</v>
      </c>
      <c r="L649" t="s">
        <v>32</v>
      </c>
      <c r="M649" s="4">
        <v>588280</v>
      </c>
      <c r="N649" s="3">
        <v>1600.5509999999999</v>
      </c>
      <c r="O649" t="s">
        <v>22</v>
      </c>
      <c r="P649" t="s">
        <v>28</v>
      </c>
      <c r="Q649" t="s">
        <v>24</v>
      </c>
      <c r="R649" t="s">
        <v>50</v>
      </c>
      <c r="S649">
        <v>8</v>
      </c>
    </row>
    <row r="650" spans="1:19" x14ac:dyDescent="0.3">
      <c r="A650" s="1">
        <v>41139</v>
      </c>
      <c r="B650">
        <v>2012</v>
      </c>
      <c r="C650" t="s">
        <v>29</v>
      </c>
      <c r="D650" s="4">
        <v>126420</v>
      </c>
      <c r="E650" s="2">
        <v>190000</v>
      </c>
      <c r="F650" t="s">
        <v>19</v>
      </c>
      <c r="G650" t="s">
        <v>20</v>
      </c>
      <c r="H650">
        <v>3</v>
      </c>
      <c r="I650">
        <v>1</v>
      </c>
      <c r="J650">
        <v>1071</v>
      </c>
      <c r="K650" s="5">
        <v>1.0219580000000001E-2</v>
      </c>
      <c r="L650" t="s">
        <v>32</v>
      </c>
      <c r="M650" s="4">
        <v>63580</v>
      </c>
      <c r="N650" s="3">
        <v>177.40430000000001</v>
      </c>
      <c r="O650" t="s">
        <v>22</v>
      </c>
      <c r="P650" t="s">
        <v>23</v>
      </c>
      <c r="Q650" t="s">
        <v>24</v>
      </c>
      <c r="R650" t="s">
        <v>50</v>
      </c>
      <c r="S650">
        <v>8</v>
      </c>
    </row>
    <row r="651" spans="1:19" x14ac:dyDescent="0.3">
      <c r="A651" s="1">
        <v>41140</v>
      </c>
      <c r="B651">
        <v>2012</v>
      </c>
      <c r="C651" t="s">
        <v>29</v>
      </c>
      <c r="D651" s="4">
        <v>124670</v>
      </c>
      <c r="E651" s="2">
        <v>210000</v>
      </c>
      <c r="F651" t="s">
        <v>19</v>
      </c>
      <c r="G651" t="s">
        <v>20</v>
      </c>
      <c r="H651">
        <v>3</v>
      </c>
      <c r="I651">
        <v>2</v>
      </c>
      <c r="J651">
        <v>963</v>
      </c>
      <c r="K651" s="5">
        <v>1.0219580000000001E-2</v>
      </c>
      <c r="L651" t="s">
        <v>38</v>
      </c>
      <c r="M651" s="4">
        <v>85330</v>
      </c>
      <c r="N651" s="3">
        <v>218.0685</v>
      </c>
      <c r="O651" t="s">
        <v>22</v>
      </c>
      <c r="P651" t="s">
        <v>24</v>
      </c>
      <c r="Q651" t="s">
        <v>24</v>
      </c>
      <c r="R651" t="s">
        <v>50</v>
      </c>
      <c r="S651">
        <v>8</v>
      </c>
    </row>
    <row r="652" spans="1:19" x14ac:dyDescent="0.3">
      <c r="A652" s="1">
        <v>41141</v>
      </c>
      <c r="B652">
        <v>2012</v>
      </c>
      <c r="C652" t="s">
        <v>40</v>
      </c>
      <c r="D652" s="4">
        <v>121420</v>
      </c>
      <c r="E652" s="2">
        <v>250000</v>
      </c>
      <c r="F652" t="s">
        <v>19</v>
      </c>
      <c r="G652" t="s">
        <v>20</v>
      </c>
      <c r="H652">
        <v>3</v>
      </c>
      <c r="I652">
        <v>3</v>
      </c>
      <c r="J652">
        <v>1021</v>
      </c>
      <c r="K652" s="5">
        <v>1.0219580000000001E-2</v>
      </c>
      <c r="L652" t="s">
        <v>32</v>
      </c>
      <c r="M652" s="4">
        <v>128580</v>
      </c>
      <c r="N652" s="3">
        <v>244.858</v>
      </c>
      <c r="O652" t="s">
        <v>22</v>
      </c>
      <c r="P652" t="s">
        <v>24</v>
      </c>
      <c r="Q652" t="s">
        <v>24</v>
      </c>
      <c r="R652" t="s">
        <v>50</v>
      </c>
      <c r="S652">
        <v>8</v>
      </c>
    </row>
    <row r="653" spans="1:19" x14ac:dyDescent="0.3">
      <c r="A653" s="1">
        <v>41145</v>
      </c>
      <c r="B653">
        <v>2012</v>
      </c>
      <c r="C653" t="s">
        <v>18</v>
      </c>
      <c r="D653" s="4">
        <v>127590</v>
      </c>
      <c r="E653" s="2">
        <v>40000</v>
      </c>
      <c r="F653" t="s">
        <v>36</v>
      </c>
      <c r="G653" t="s">
        <v>37</v>
      </c>
      <c r="H653">
        <v>6</v>
      </c>
      <c r="I653">
        <v>4</v>
      </c>
      <c r="J653">
        <v>1843</v>
      </c>
      <c r="K653" s="5">
        <v>1.0219580000000001E-2</v>
      </c>
      <c r="L653" t="s">
        <v>27</v>
      </c>
      <c r="M653" s="4">
        <v>-87590</v>
      </c>
      <c r="N653" s="3">
        <v>21.703700000000001</v>
      </c>
      <c r="O653" t="s">
        <v>33</v>
      </c>
      <c r="P653" t="s">
        <v>23</v>
      </c>
      <c r="Q653" t="s">
        <v>34</v>
      </c>
      <c r="R653" t="s">
        <v>50</v>
      </c>
      <c r="S653">
        <v>8</v>
      </c>
    </row>
    <row r="654" spans="1:19" x14ac:dyDescent="0.3">
      <c r="A654" s="1">
        <v>41146</v>
      </c>
      <c r="B654">
        <v>2012</v>
      </c>
      <c r="C654" t="s">
        <v>18</v>
      </c>
      <c r="D654" s="4">
        <v>444584.20699999999</v>
      </c>
      <c r="E654" s="2">
        <v>158500</v>
      </c>
      <c r="F654" t="s">
        <v>19</v>
      </c>
      <c r="G654" t="s">
        <v>20</v>
      </c>
      <c r="H654">
        <v>3</v>
      </c>
      <c r="I654">
        <v>2</v>
      </c>
      <c r="J654">
        <v>926</v>
      </c>
      <c r="K654" s="5">
        <v>1.0219580000000001E-2</v>
      </c>
      <c r="L654" t="s">
        <v>27</v>
      </c>
      <c r="M654" s="4">
        <v>-286084.20699999999</v>
      </c>
      <c r="N654" s="3">
        <v>171.16630000000001</v>
      </c>
      <c r="O654" t="s">
        <v>33</v>
      </c>
      <c r="P654" t="s">
        <v>23</v>
      </c>
      <c r="Q654" t="s">
        <v>24</v>
      </c>
      <c r="R654" t="s">
        <v>50</v>
      </c>
      <c r="S654">
        <v>8</v>
      </c>
    </row>
    <row r="655" spans="1:19" x14ac:dyDescent="0.3">
      <c r="A655" s="1">
        <v>41147</v>
      </c>
      <c r="B655">
        <v>2012</v>
      </c>
      <c r="C655" t="s">
        <v>26</v>
      </c>
      <c r="D655" s="4">
        <v>356720</v>
      </c>
      <c r="E655" s="2">
        <v>270000</v>
      </c>
      <c r="F655" t="s">
        <v>30</v>
      </c>
      <c r="G655" t="s">
        <v>31</v>
      </c>
      <c r="H655">
        <v>4</v>
      </c>
      <c r="I655">
        <v>4</v>
      </c>
      <c r="J655">
        <v>1449</v>
      </c>
      <c r="K655" s="5">
        <v>1.0219580000000001E-2</v>
      </c>
      <c r="L655" t="s">
        <v>27</v>
      </c>
      <c r="M655" s="4">
        <v>-86720</v>
      </c>
      <c r="N655" s="3">
        <v>186.33539999999999</v>
      </c>
      <c r="O655" t="s">
        <v>33</v>
      </c>
      <c r="P655" t="s">
        <v>24</v>
      </c>
      <c r="Q655" t="s">
        <v>34</v>
      </c>
      <c r="R655" t="s">
        <v>50</v>
      </c>
      <c r="S655">
        <v>8</v>
      </c>
    </row>
    <row r="656" spans="1:19" x14ac:dyDescent="0.3">
      <c r="A656" s="1">
        <v>41152</v>
      </c>
      <c r="B656">
        <v>2012</v>
      </c>
      <c r="C656" t="s">
        <v>52</v>
      </c>
      <c r="D656" s="4">
        <v>126700</v>
      </c>
      <c r="E656" s="2">
        <v>206000</v>
      </c>
      <c r="F656" t="s">
        <v>19</v>
      </c>
      <c r="G656" t="s">
        <v>20</v>
      </c>
      <c r="H656">
        <v>3</v>
      </c>
      <c r="I656">
        <v>3</v>
      </c>
      <c r="J656">
        <v>1057</v>
      </c>
      <c r="K656" s="5">
        <v>1.0219580000000001E-2</v>
      </c>
      <c r="L656" t="s">
        <v>32</v>
      </c>
      <c r="M656" s="4">
        <v>79300</v>
      </c>
      <c r="N656" s="3">
        <v>194.8912</v>
      </c>
      <c r="O656" t="s">
        <v>22</v>
      </c>
      <c r="P656" t="s">
        <v>24</v>
      </c>
      <c r="Q656" t="s">
        <v>24</v>
      </c>
      <c r="R656" t="s">
        <v>50</v>
      </c>
      <c r="S656">
        <v>8</v>
      </c>
    </row>
    <row r="657" spans="1:19" x14ac:dyDescent="0.3">
      <c r="A657" s="1">
        <v>41153</v>
      </c>
      <c r="B657">
        <v>2012</v>
      </c>
      <c r="C657" t="s">
        <v>40</v>
      </c>
      <c r="D657" s="4">
        <v>692020</v>
      </c>
      <c r="E657" s="2">
        <v>450000</v>
      </c>
      <c r="F657" t="s">
        <v>19</v>
      </c>
      <c r="G657" t="s">
        <v>20</v>
      </c>
      <c r="H657">
        <v>3</v>
      </c>
      <c r="I657">
        <v>3</v>
      </c>
      <c r="J657">
        <v>1048</v>
      </c>
      <c r="K657" s="5">
        <v>1.0219580000000001E-2</v>
      </c>
      <c r="L657" t="s">
        <v>27</v>
      </c>
      <c r="M657" s="4">
        <v>-242020</v>
      </c>
      <c r="N657" s="3">
        <v>429.38929999999999</v>
      </c>
      <c r="O657" t="s">
        <v>33</v>
      </c>
      <c r="P657" t="s">
        <v>24</v>
      </c>
      <c r="Q657" t="s">
        <v>24</v>
      </c>
      <c r="R657" t="s">
        <v>51</v>
      </c>
      <c r="S657">
        <v>9</v>
      </c>
    </row>
    <row r="658" spans="1:19" x14ac:dyDescent="0.3">
      <c r="A658" s="1">
        <v>41155</v>
      </c>
      <c r="B658">
        <v>2012</v>
      </c>
      <c r="C658" t="s">
        <v>29</v>
      </c>
      <c r="D658" s="4">
        <v>101180</v>
      </c>
      <c r="E658" s="2">
        <v>45000</v>
      </c>
      <c r="F658" t="s">
        <v>19</v>
      </c>
      <c r="G658" t="s">
        <v>20</v>
      </c>
      <c r="H658">
        <v>3</v>
      </c>
      <c r="I658">
        <v>1</v>
      </c>
      <c r="J658">
        <v>1082</v>
      </c>
      <c r="K658" s="5">
        <v>1.0219580000000001E-2</v>
      </c>
      <c r="L658" t="s">
        <v>38</v>
      </c>
      <c r="M658" s="4">
        <v>-56180</v>
      </c>
      <c r="N658" s="3">
        <v>41.589599999999997</v>
      </c>
      <c r="O658" t="s">
        <v>33</v>
      </c>
      <c r="P658" t="s">
        <v>23</v>
      </c>
      <c r="Q658" t="s">
        <v>24</v>
      </c>
      <c r="R658" t="s">
        <v>51</v>
      </c>
      <c r="S658">
        <v>9</v>
      </c>
    </row>
    <row r="659" spans="1:19" x14ac:dyDescent="0.3">
      <c r="A659" s="1">
        <v>41159</v>
      </c>
      <c r="B659">
        <v>2012</v>
      </c>
      <c r="C659" t="s">
        <v>56</v>
      </c>
      <c r="D659" s="4">
        <v>439260</v>
      </c>
      <c r="E659" s="2">
        <v>636500</v>
      </c>
      <c r="F659" t="s">
        <v>19</v>
      </c>
      <c r="G659" t="s">
        <v>20</v>
      </c>
      <c r="H659">
        <v>3</v>
      </c>
      <c r="I659">
        <v>1</v>
      </c>
      <c r="J659">
        <v>950</v>
      </c>
      <c r="K659" s="5">
        <v>1.0219580000000001E-2</v>
      </c>
      <c r="L659" t="s">
        <v>21</v>
      </c>
      <c r="M659" s="4">
        <v>197240</v>
      </c>
      <c r="N659" s="3">
        <v>670</v>
      </c>
      <c r="O659" t="s">
        <v>22</v>
      </c>
      <c r="P659" t="s">
        <v>28</v>
      </c>
      <c r="Q659" t="s">
        <v>24</v>
      </c>
      <c r="R659" t="s">
        <v>51</v>
      </c>
      <c r="S659">
        <v>9</v>
      </c>
    </row>
    <row r="660" spans="1:19" x14ac:dyDescent="0.3">
      <c r="A660" s="1">
        <v>41161</v>
      </c>
      <c r="B660">
        <v>2012</v>
      </c>
      <c r="C660" t="s">
        <v>18</v>
      </c>
      <c r="D660" s="4">
        <v>156540</v>
      </c>
      <c r="E660" s="2">
        <v>40000</v>
      </c>
      <c r="F660" t="s">
        <v>42</v>
      </c>
      <c r="G660" t="s">
        <v>43</v>
      </c>
      <c r="H660">
        <v>8</v>
      </c>
      <c r="I660">
        <v>8</v>
      </c>
      <c r="J660">
        <v>1111.6589814177564</v>
      </c>
      <c r="K660" s="5">
        <v>1.0219580000000001E-2</v>
      </c>
      <c r="L660" t="s">
        <v>32</v>
      </c>
      <c r="M660" s="4">
        <v>-116540</v>
      </c>
      <c r="N660" s="3">
        <v>35.982300000000002</v>
      </c>
      <c r="O660" t="s">
        <v>33</v>
      </c>
      <c r="P660" t="s">
        <v>23</v>
      </c>
      <c r="Q660" t="s">
        <v>24</v>
      </c>
      <c r="R660" t="s">
        <v>51</v>
      </c>
      <c r="S660">
        <v>9</v>
      </c>
    </row>
    <row r="661" spans="1:19" x14ac:dyDescent="0.3">
      <c r="A661" s="1">
        <v>41162</v>
      </c>
      <c r="B661">
        <v>2012</v>
      </c>
      <c r="C661" t="s">
        <v>35</v>
      </c>
      <c r="D661" s="4">
        <v>1194410</v>
      </c>
      <c r="E661" s="2">
        <v>1495000</v>
      </c>
      <c r="F661" t="s">
        <v>19</v>
      </c>
      <c r="G661" t="s">
        <v>20</v>
      </c>
      <c r="H661">
        <v>3</v>
      </c>
      <c r="I661">
        <v>1</v>
      </c>
      <c r="J661">
        <v>1085</v>
      </c>
      <c r="K661" s="5">
        <v>1.0219580000000001E-2</v>
      </c>
      <c r="L661" t="s">
        <v>21</v>
      </c>
      <c r="M661" s="4">
        <v>300590</v>
      </c>
      <c r="N661" s="3">
        <v>1377.8802000000001</v>
      </c>
      <c r="O661" t="s">
        <v>22</v>
      </c>
      <c r="P661" t="s">
        <v>28</v>
      </c>
      <c r="Q661" t="s">
        <v>24</v>
      </c>
      <c r="R661" t="s">
        <v>51</v>
      </c>
      <c r="S661">
        <v>9</v>
      </c>
    </row>
    <row r="662" spans="1:19" x14ac:dyDescent="0.3">
      <c r="A662" s="1">
        <v>41165</v>
      </c>
      <c r="B662">
        <v>2012</v>
      </c>
      <c r="C662" t="s">
        <v>18</v>
      </c>
      <c r="D662" s="4">
        <v>96610</v>
      </c>
      <c r="E662" s="2">
        <v>40000</v>
      </c>
      <c r="F662" t="s">
        <v>19</v>
      </c>
      <c r="G662" t="s">
        <v>20</v>
      </c>
      <c r="H662">
        <v>3</v>
      </c>
      <c r="I662">
        <v>2</v>
      </c>
      <c r="J662">
        <v>957</v>
      </c>
      <c r="K662" s="5">
        <v>1.0219580000000001E-2</v>
      </c>
      <c r="L662" t="s">
        <v>38</v>
      </c>
      <c r="M662" s="4">
        <v>-56610</v>
      </c>
      <c r="N662" s="3">
        <v>41.7973</v>
      </c>
      <c r="O662" t="s">
        <v>33</v>
      </c>
      <c r="P662" t="s">
        <v>23</v>
      </c>
      <c r="Q662" t="s">
        <v>24</v>
      </c>
      <c r="R662" t="s">
        <v>51</v>
      </c>
      <c r="S662">
        <v>9</v>
      </c>
    </row>
    <row r="663" spans="1:19" x14ac:dyDescent="0.3">
      <c r="A663" s="1">
        <v>41167</v>
      </c>
      <c r="B663">
        <v>2012</v>
      </c>
      <c r="C663" t="s">
        <v>39</v>
      </c>
      <c r="D663" s="4">
        <v>225330</v>
      </c>
      <c r="E663" s="2">
        <v>340000</v>
      </c>
      <c r="F663" t="s">
        <v>19</v>
      </c>
      <c r="G663" t="s">
        <v>20</v>
      </c>
      <c r="H663">
        <v>3</v>
      </c>
      <c r="I663">
        <v>1</v>
      </c>
      <c r="J663">
        <v>947</v>
      </c>
      <c r="K663" s="5">
        <v>1.0219580000000001E-2</v>
      </c>
      <c r="L663" t="s">
        <v>27</v>
      </c>
      <c r="M663" s="4">
        <v>114670</v>
      </c>
      <c r="N663" s="3">
        <v>359.02850000000001</v>
      </c>
      <c r="O663" t="s">
        <v>22</v>
      </c>
      <c r="P663" t="s">
        <v>24</v>
      </c>
      <c r="Q663" t="s">
        <v>24</v>
      </c>
      <c r="R663" t="s">
        <v>51</v>
      </c>
      <c r="S663">
        <v>9</v>
      </c>
    </row>
    <row r="664" spans="1:19" x14ac:dyDescent="0.3">
      <c r="A664" s="1">
        <v>41168</v>
      </c>
      <c r="B664">
        <v>2012</v>
      </c>
      <c r="C664" t="s">
        <v>35</v>
      </c>
      <c r="D664" s="4">
        <v>440790</v>
      </c>
      <c r="E664" s="2">
        <v>425000</v>
      </c>
      <c r="F664" t="s">
        <v>19</v>
      </c>
      <c r="G664" t="s">
        <v>20</v>
      </c>
      <c r="H664">
        <v>3</v>
      </c>
      <c r="I664">
        <v>3</v>
      </c>
      <c r="J664">
        <v>956</v>
      </c>
      <c r="K664" s="5">
        <v>1.0219580000000001E-2</v>
      </c>
      <c r="L664" t="s">
        <v>27</v>
      </c>
      <c r="M664" s="4">
        <v>-15790</v>
      </c>
      <c r="N664" s="3">
        <v>444.5607</v>
      </c>
      <c r="O664" t="s">
        <v>33</v>
      </c>
      <c r="P664" t="s">
        <v>24</v>
      </c>
      <c r="Q664" t="s">
        <v>24</v>
      </c>
      <c r="R664" t="s">
        <v>51</v>
      </c>
      <c r="S664">
        <v>9</v>
      </c>
    </row>
    <row r="665" spans="1:19" x14ac:dyDescent="0.3">
      <c r="A665" s="1">
        <v>41169</v>
      </c>
      <c r="B665">
        <v>2012</v>
      </c>
      <c r="C665" t="s">
        <v>35</v>
      </c>
      <c r="D665" s="4">
        <v>673260</v>
      </c>
      <c r="E665" s="2">
        <v>700000</v>
      </c>
      <c r="F665" t="s">
        <v>19</v>
      </c>
      <c r="G665" t="s">
        <v>20</v>
      </c>
      <c r="H665">
        <v>3</v>
      </c>
      <c r="I665">
        <v>2</v>
      </c>
      <c r="J665">
        <v>949</v>
      </c>
      <c r="K665" s="5">
        <v>1.0219580000000001E-2</v>
      </c>
      <c r="L665" t="s">
        <v>21</v>
      </c>
      <c r="M665" s="4">
        <v>26740</v>
      </c>
      <c r="N665" s="3">
        <v>737.61850000000004</v>
      </c>
      <c r="O665" t="s">
        <v>22</v>
      </c>
      <c r="P665" t="s">
        <v>28</v>
      </c>
      <c r="Q665" t="s">
        <v>24</v>
      </c>
      <c r="R665" t="s">
        <v>51</v>
      </c>
      <c r="S665">
        <v>9</v>
      </c>
    </row>
    <row r="666" spans="1:19" x14ac:dyDescent="0.3">
      <c r="A666" s="1">
        <v>41172</v>
      </c>
      <c r="B666">
        <v>2012</v>
      </c>
      <c r="C666" t="s">
        <v>56</v>
      </c>
      <c r="D666" s="4">
        <v>518800</v>
      </c>
      <c r="E666" s="2">
        <v>685000</v>
      </c>
      <c r="F666" t="s">
        <v>19</v>
      </c>
      <c r="G666" t="s">
        <v>20</v>
      </c>
      <c r="H666">
        <v>3</v>
      </c>
      <c r="I666">
        <v>2</v>
      </c>
      <c r="J666">
        <v>989</v>
      </c>
      <c r="K666" s="5">
        <v>1.0219580000000001E-2</v>
      </c>
      <c r="L666" t="s">
        <v>21</v>
      </c>
      <c r="M666" s="4">
        <v>166200</v>
      </c>
      <c r="N666" s="3">
        <v>692.61879999999996</v>
      </c>
      <c r="O666" t="s">
        <v>22</v>
      </c>
      <c r="P666" t="s">
        <v>28</v>
      </c>
      <c r="Q666" t="s">
        <v>24</v>
      </c>
      <c r="R666" t="s">
        <v>51</v>
      </c>
      <c r="S666">
        <v>9</v>
      </c>
    </row>
    <row r="667" spans="1:19" x14ac:dyDescent="0.3">
      <c r="A667" s="1">
        <v>41173</v>
      </c>
      <c r="B667">
        <v>2012</v>
      </c>
      <c r="C667" t="s">
        <v>29</v>
      </c>
      <c r="D667" s="4">
        <v>122650</v>
      </c>
      <c r="E667" s="2">
        <v>193000</v>
      </c>
      <c r="F667" t="s">
        <v>19</v>
      </c>
      <c r="G667" t="s">
        <v>20</v>
      </c>
      <c r="H667">
        <v>3</v>
      </c>
      <c r="I667">
        <v>2</v>
      </c>
      <c r="J667">
        <v>1111.6589814177564</v>
      </c>
      <c r="K667" s="5">
        <v>1.0219580000000001E-2</v>
      </c>
      <c r="L667" t="s">
        <v>38</v>
      </c>
      <c r="M667" s="4">
        <v>70350</v>
      </c>
      <c r="N667" s="3">
        <v>173.61439999999999</v>
      </c>
      <c r="O667" t="s">
        <v>22</v>
      </c>
      <c r="P667" t="s">
        <v>23</v>
      </c>
      <c r="Q667" t="s">
        <v>24</v>
      </c>
      <c r="R667" t="s">
        <v>51</v>
      </c>
      <c r="S667">
        <v>9</v>
      </c>
    </row>
    <row r="668" spans="1:19" x14ac:dyDescent="0.3">
      <c r="A668" s="1">
        <v>41175</v>
      </c>
      <c r="B668">
        <v>2012</v>
      </c>
      <c r="C668" t="s">
        <v>39</v>
      </c>
      <c r="D668" s="4">
        <v>376180</v>
      </c>
      <c r="E668" s="2">
        <v>450000</v>
      </c>
      <c r="F668" t="s">
        <v>19</v>
      </c>
      <c r="G668" t="s">
        <v>20</v>
      </c>
      <c r="H668">
        <v>3</v>
      </c>
      <c r="I668">
        <v>1</v>
      </c>
      <c r="J668">
        <v>963</v>
      </c>
      <c r="K668" s="5">
        <v>1.0219580000000001E-2</v>
      </c>
      <c r="L668" t="s">
        <v>21</v>
      </c>
      <c r="M668" s="4">
        <v>73820</v>
      </c>
      <c r="N668" s="3">
        <v>467.28969999999998</v>
      </c>
      <c r="O668" t="s">
        <v>22</v>
      </c>
      <c r="P668" t="s">
        <v>24</v>
      </c>
      <c r="Q668" t="s">
        <v>24</v>
      </c>
      <c r="R668" t="s">
        <v>51</v>
      </c>
      <c r="S668">
        <v>9</v>
      </c>
    </row>
    <row r="669" spans="1:19" x14ac:dyDescent="0.3">
      <c r="A669" s="1">
        <v>41176</v>
      </c>
      <c r="B669">
        <v>2012</v>
      </c>
      <c r="C669" t="s">
        <v>56</v>
      </c>
      <c r="D669" s="4">
        <v>676240</v>
      </c>
      <c r="E669" s="2">
        <v>735000</v>
      </c>
      <c r="F669" t="s">
        <v>19</v>
      </c>
      <c r="G669" t="s">
        <v>20</v>
      </c>
      <c r="H669">
        <v>3</v>
      </c>
      <c r="I669">
        <v>1</v>
      </c>
      <c r="J669">
        <v>931</v>
      </c>
      <c r="K669" s="5">
        <v>1.0219580000000001E-2</v>
      </c>
      <c r="L669" t="s">
        <v>32</v>
      </c>
      <c r="M669" s="4">
        <v>58760</v>
      </c>
      <c r="N669" s="3">
        <v>789.47370000000001</v>
      </c>
      <c r="O669" t="s">
        <v>22</v>
      </c>
      <c r="P669" t="s">
        <v>28</v>
      </c>
      <c r="Q669" t="s">
        <v>24</v>
      </c>
      <c r="R669" t="s">
        <v>51</v>
      </c>
      <c r="S669">
        <v>9</v>
      </c>
    </row>
    <row r="670" spans="1:19" x14ac:dyDescent="0.3">
      <c r="A670" s="1">
        <v>41180</v>
      </c>
      <c r="B670">
        <v>2012</v>
      </c>
      <c r="C670" t="s">
        <v>39</v>
      </c>
      <c r="D670" s="4">
        <v>427910</v>
      </c>
      <c r="E670" s="2">
        <v>407000</v>
      </c>
      <c r="F670" t="s">
        <v>19</v>
      </c>
      <c r="G670" t="s">
        <v>20</v>
      </c>
      <c r="H670">
        <v>3</v>
      </c>
      <c r="I670">
        <v>3</v>
      </c>
      <c r="J670">
        <v>976</v>
      </c>
      <c r="K670" s="5">
        <v>1.0219580000000001E-2</v>
      </c>
      <c r="L670" t="s">
        <v>21</v>
      </c>
      <c r="M670" s="4">
        <v>-20910</v>
      </c>
      <c r="N670" s="3">
        <v>417.00819999999999</v>
      </c>
      <c r="O670" t="s">
        <v>33</v>
      </c>
      <c r="P670" t="s">
        <v>24</v>
      </c>
      <c r="Q670" t="s">
        <v>24</v>
      </c>
      <c r="R670" t="s">
        <v>51</v>
      </c>
      <c r="S670">
        <v>9</v>
      </c>
    </row>
    <row r="671" spans="1:19" x14ac:dyDescent="0.3">
      <c r="A671" s="1">
        <v>41181</v>
      </c>
      <c r="B671">
        <v>2012</v>
      </c>
      <c r="C671" t="s">
        <v>26</v>
      </c>
      <c r="D671" s="4">
        <v>305900</v>
      </c>
      <c r="E671" s="2">
        <v>420000</v>
      </c>
      <c r="F671" t="s">
        <v>19</v>
      </c>
      <c r="G671" t="s">
        <v>20</v>
      </c>
      <c r="H671">
        <v>3</v>
      </c>
      <c r="I671">
        <v>3</v>
      </c>
      <c r="J671">
        <v>931</v>
      </c>
      <c r="K671" s="5">
        <v>1.0219580000000001E-2</v>
      </c>
      <c r="L671" t="s">
        <v>27</v>
      </c>
      <c r="M671" s="4">
        <v>114100</v>
      </c>
      <c r="N671" s="3">
        <v>451.12779999999998</v>
      </c>
      <c r="O671" t="s">
        <v>22</v>
      </c>
      <c r="P671" t="s">
        <v>24</v>
      </c>
      <c r="Q671" t="s">
        <v>24</v>
      </c>
      <c r="R671" t="s">
        <v>51</v>
      </c>
      <c r="S671">
        <v>9</v>
      </c>
    </row>
    <row r="672" spans="1:19" x14ac:dyDescent="0.3">
      <c r="A672" s="1">
        <v>41182</v>
      </c>
      <c r="B672">
        <v>2012</v>
      </c>
      <c r="C672" t="s">
        <v>40</v>
      </c>
      <c r="D672" s="4">
        <v>178800</v>
      </c>
      <c r="E672" s="2">
        <v>255000</v>
      </c>
      <c r="F672" t="s">
        <v>19</v>
      </c>
      <c r="G672" t="s">
        <v>20</v>
      </c>
      <c r="H672">
        <v>3</v>
      </c>
      <c r="I672">
        <v>1</v>
      </c>
      <c r="J672">
        <v>1002</v>
      </c>
      <c r="K672" s="5">
        <v>1.0219580000000001E-2</v>
      </c>
      <c r="L672" t="s">
        <v>32</v>
      </c>
      <c r="M672" s="4">
        <v>76200</v>
      </c>
      <c r="N672" s="3">
        <v>254.49100000000001</v>
      </c>
      <c r="O672" t="s">
        <v>22</v>
      </c>
      <c r="P672" t="s">
        <v>24</v>
      </c>
      <c r="Q672" t="s">
        <v>24</v>
      </c>
      <c r="R672" t="s">
        <v>51</v>
      </c>
      <c r="S672">
        <v>9</v>
      </c>
    </row>
    <row r="673" spans="1:19" x14ac:dyDescent="0.3">
      <c r="A673" s="1">
        <v>41183</v>
      </c>
      <c r="B673">
        <v>2012</v>
      </c>
      <c r="C673" t="s">
        <v>18</v>
      </c>
      <c r="D673" s="4">
        <v>95290</v>
      </c>
      <c r="E673" s="2">
        <v>136500</v>
      </c>
      <c r="F673" t="s">
        <v>19</v>
      </c>
      <c r="G673" t="s">
        <v>20</v>
      </c>
      <c r="H673">
        <v>3</v>
      </c>
      <c r="I673">
        <v>3</v>
      </c>
      <c r="J673">
        <v>1073</v>
      </c>
      <c r="K673" s="5">
        <v>1.0219580000000001E-2</v>
      </c>
      <c r="L673" t="s">
        <v>21</v>
      </c>
      <c r="M673" s="4">
        <v>41210</v>
      </c>
      <c r="N673" s="3">
        <v>127.21339999999999</v>
      </c>
      <c r="O673" t="s">
        <v>22</v>
      </c>
      <c r="P673" t="s">
        <v>23</v>
      </c>
      <c r="Q673" t="s">
        <v>24</v>
      </c>
      <c r="R673" t="s">
        <v>53</v>
      </c>
      <c r="S673">
        <v>10</v>
      </c>
    </row>
    <row r="674" spans="1:19" x14ac:dyDescent="0.3">
      <c r="A674" s="1">
        <v>41186</v>
      </c>
      <c r="B674">
        <v>2012</v>
      </c>
      <c r="C674" t="s">
        <v>29</v>
      </c>
      <c r="D674" s="4">
        <v>444584.20699999999</v>
      </c>
      <c r="E674" s="2">
        <v>186000</v>
      </c>
      <c r="F674" t="s">
        <v>19</v>
      </c>
      <c r="G674" t="s">
        <v>20</v>
      </c>
      <c r="H674">
        <v>3</v>
      </c>
      <c r="I674">
        <v>2</v>
      </c>
      <c r="J674">
        <v>1035</v>
      </c>
      <c r="K674" s="5">
        <v>1.0219580000000001E-2</v>
      </c>
      <c r="L674" t="s">
        <v>38</v>
      </c>
      <c r="M674" s="4">
        <v>-258584.20699999999</v>
      </c>
      <c r="N674" s="3">
        <v>179.71010000000001</v>
      </c>
      <c r="O674" t="s">
        <v>33</v>
      </c>
      <c r="P674" t="s">
        <v>23</v>
      </c>
      <c r="Q674" t="s">
        <v>24</v>
      </c>
      <c r="R674" t="s">
        <v>53</v>
      </c>
      <c r="S674">
        <v>10</v>
      </c>
    </row>
    <row r="675" spans="1:19" x14ac:dyDescent="0.3">
      <c r="A675" s="1">
        <v>41188</v>
      </c>
      <c r="B675">
        <v>2012</v>
      </c>
      <c r="C675" t="s">
        <v>29</v>
      </c>
      <c r="D675" s="4">
        <v>267110</v>
      </c>
      <c r="E675" s="2">
        <v>250000</v>
      </c>
      <c r="F675" t="s">
        <v>42</v>
      </c>
      <c r="G675" t="s">
        <v>43</v>
      </c>
      <c r="H675">
        <v>8</v>
      </c>
      <c r="I675">
        <v>6</v>
      </c>
      <c r="J675">
        <v>2821</v>
      </c>
      <c r="K675" s="5">
        <v>1.0219580000000001E-2</v>
      </c>
      <c r="L675" t="s">
        <v>32</v>
      </c>
      <c r="M675" s="4">
        <v>-17110</v>
      </c>
      <c r="N675" s="3">
        <v>88.621099999999998</v>
      </c>
      <c r="O675" t="s">
        <v>33</v>
      </c>
      <c r="P675" t="s">
        <v>24</v>
      </c>
      <c r="Q675" t="s">
        <v>34</v>
      </c>
      <c r="R675" t="s">
        <v>53</v>
      </c>
      <c r="S675">
        <v>10</v>
      </c>
    </row>
    <row r="676" spans="1:19" x14ac:dyDescent="0.3">
      <c r="A676" s="1">
        <v>41189</v>
      </c>
      <c r="B676">
        <v>2012</v>
      </c>
      <c r="C676" t="s">
        <v>18</v>
      </c>
      <c r="D676" s="4">
        <v>138290</v>
      </c>
      <c r="E676" s="2">
        <v>30000</v>
      </c>
      <c r="F676" t="s">
        <v>36</v>
      </c>
      <c r="G676" t="s">
        <v>37</v>
      </c>
      <c r="H676">
        <v>6</v>
      </c>
      <c r="I676">
        <v>5</v>
      </c>
      <c r="J676">
        <v>1111.6589814177564</v>
      </c>
      <c r="K676" s="5">
        <v>1.0219580000000001E-2</v>
      </c>
      <c r="L676" t="s">
        <v>32</v>
      </c>
      <c r="M676" s="4">
        <v>-108290</v>
      </c>
      <c r="N676" s="3">
        <v>26.986699999999999</v>
      </c>
      <c r="O676" t="s">
        <v>33</v>
      </c>
      <c r="P676" t="s">
        <v>23</v>
      </c>
      <c r="Q676" t="s">
        <v>24</v>
      </c>
      <c r="R676" t="s">
        <v>53</v>
      </c>
      <c r="S676">
        <v>10</v>
      </c>
    </row>
    <row r="677" spans="1:19" x14ac:dyDescent="0.3">
      <c r="A677" s="1">
        <v>41190</v>
      </c>
      <c r="B677">
        <v>2012</v>
      </c>
      <c r="C677" t="s">
        <v>18</v>
      </c>
      <c r="D677" s="4">
        <v>91100</v>
      </c>
      <c r="E677" s="2">
        <v>130000</v>
      </c>
      <c r="F677" t="s">
        <v>19</v>
      </c>
      <c r="G677" t="s">
        <v>20</v>
      </c>
      <c r="H677">
        <v>3</v>
      </c>
      <c r="I677">
        <v>2</v>
      </c>
      <c r="J677">
        <v>1061</v>
      </c>
      <c r="K677" s="5">
        <v>1.0219580000000001E-2</v>
      </c>
      <c r="L677" t="s">
        <v>27</v>
      </c>
      <c r="M677" s="4">
        <v>38900</v>
      </c>
      <c r="N677" s="3">
        <v>122.52589999999999</v>
      </c>
      <c r="O677" t="s">
        <v>22</v>
      </c>
      <c r="P677" t="s">
        <v>23</v>
      </c>
      <c r="Q677" t="s">
        <v>24</v>
      </c>
      <c r="R677" t="s">
        <v>53</v>
      </c>
      <c r="S677">
        <v>10</v>
      </c>
    </row>
    <row r="678" spans="1:19" x14ac:dyDescent="0.3">
      <c r="A678" s="1">
        <v>41194</v>
      </c>
      <c r="B678">
        <v>2012</v>
      </c>
      <c r="C678" t="s">
        <v>52</v>
      </c>
      <c r="D678" s="4">
        <v>239700</v>
      </c>
      <c r="E678" s="2">
        <v>187500</v>
      </c>
      <c r="F678" t="s">
        <v>19</v>
      </c>
      <c r="G678" t="s">
        <v>20</v>
      </c>
      <c r="H678">
        <v>3</v>
      </c>
      <c r="I678">
        <v>2</v>
      </c>
      <c r="J678">
        <v>983</v>
      </c>
      <c r="K678" s="5">
        <v>1.0219580000000001E-2</v>
      </c>
      <c r="L678" t="s">
        <v>27</v>
      </c>
      <c r="M678" s="4">
        <v>-52200</v>
      </c>
      <c r="N678" s="3">
        <v>190.74260000000001</v>
      </c>
      <c r="O678" t="s">
        <v>33</v>
      </c>
      <c r="P678" t="s">
        <v>23</v>
      </c>
      <c r="Q678" t="s">
        <v>24</v>
      </c>
      <c r="R678" t="s">
        <v>53</v>
      </c>
      <c r="S678">
        <v>10</v>
      </c>
    </row>
    <row r="679" spans="1:19" x14ac:dyDescent="0.3">
      <c r="A679" s="1">
        <v>41196</v>
      </c>
      <c r="B679">
        <v>2012</v>
      </c>
      <c r="C679" t="s">
        <v>18</v>
      </c>
      <c r="D679" s="4">
        <v>131890</v>
      </c>
      <c r="E679" s="2">
        <v>25000</v>
      </c>
      <c r="F679" t="s">
        <v>36</v>
      </c>
      <c r="G679" t="s">
        <v>37</v>
      </c>
      <c r="H679">
        <v>6</v>
      </c>
      <c r="I679">
        <v>5</v>
      </c>
      <c r="J679">
        <v>1985</v>
      </c>
      <c r="K679" s="5">
        <v>1.0219580000000001E-2</v>
      </c>
      <c r="L679" t="s">
        <v>21</v>
      </c>
      <c r="M679" s="4">
        <v>-106890</v>
      </c>
      <c r="N679" s="3">
        <v>12.5945</v>
      </c>
      <c r="O679" t="s">
        <v>33</v>
      </c>
      <c r="P679" t="s">
        <v>23</v>
      </c>
      <c r="Q679" t="s">
        <v>34</v>
      </c>
      <c r="R679" t="s">
        <v>53</v>
      </c>
      <c r="S679">
        <v>10</v>
      </c>
    </row>
    <row r="680" spans="1:19" x14ac:dyDescent="0.3">
      <c r="A680" s="1">
        <v>41201</v>
      </c>
      <c r="B680">
        <v>2012</v>
      </c>
      <c r="C680" t="s">
        <v>52</v>
      </c>
      <c r="D680" s="4">
        <v>262700</v>
      </c>
      <c r="E680" s="2">
        <v>330000</v>
      </c>
      <c r="F680" t="s">
        <v>19</v>
      </c>
      <c r="G680" t="s">
        <v>20</v>
      </c>
      <c r="H680">
        <v>3</v>
      </c>
      <c r="I680">
        <v>3</v>
      </c>
      <c r="J680">
        <v>1064</v>
      </c>
      <c r="K680" s="5">
        <v>1.0219580000000001E-2</v>
      </c>
      <c r="L680" t="s">
        <v>38</v>
      </c>
      <c r="M680" s="4">
        <v>67300</v>
      </c>
      <c r="N680" s="3">
        <v>310.15039999999999</v>
      </c>
      <c r="O680" t="s">
        <v>22</v>
      </c>
      <c r="P680" t="s">
        <v>24</v>
      </c>
      <c r="Q680" t="s">
        <v>24</v>
      </c>
      <c r="R680" t="s">
        <v>53</v>
      </c>
      <c r="S680">
        <v>10</v>
      </c>
    </row>
    <row r="681" spans="1:19" x14ac:dyDescent="0.3">
      <c r="A681" s="1">
        <v>41202</v>
      </c>
      <c r="B681">
        <v>2012</v>
      </c>
      <c r="C681" t="s">
        <v>52</v>
      </c>
      <c r="D681" s="4">
        <v>261900</v>
      </c>
      <c r="E681" s="2">
        <v>376000</v>
      </c>
      <c r="F681" t="s">
        <v>19</v>
      </c>
      <c r="G681" t="s">
        <v>20</v>
      </c>
      <c r="H681">
        <v>3</v>
      </c>
      <c r="I681">
        <v>3</v>
      </c>
      <c r="J681">
        <v>978</v>
      </c>
      <c r="K681" s="5">
        <v>1.0219580000000001E-2</v>
      </c>
      <c r="L681" t="s">
        <v>21</v>
      </c>
      <c r="M681" s="4">
        <v>114100</v>
      </c>
      <c r="N681" s="3">
        <v>384.4581</v>
      </c>
      <c r="O681" t="s">
        <v>22</v>
      </c>
      <c r="P681" t="s">
        <v>24</v>
      </c>
      <c r="Q681" t="s">
        <v>24</v>
      </c>
      <c r="R681" t="s">
        <v>53</v>
      </c>
      <c r="S681">
        <v>10</v>
      </c>
    </row>
    <row r="682" spans="1:19" x14ac:dyDescent="0.3">
      <c r="A682" s="1">
        <v>41203</v>
      </c>
      <c r="B682">
        <v>2012</v>
      </c>
      <c r="C682" t="s">
        <v>56</v>
      </c>
      <c r="D682" s="4">
        <v>381900</v>
      </c>
      <c r="E682" s="2">
        <v>340000</v>
      </c>
      <c r="F682" t="s">
        <v>19</v>
      </c>
      <c r="G682" t="s">
        <v>20</v>
      </c>
      <c r="H682">
        <v>3</v>
      </c>
      <c r="I682">
        <v>3</v>
      </c>
      <c r="J682">
        <v>905</v>
      </c>
      <c r="K682" s="5">
        <v>1.0219580000000001E-2</v>
      </c>
      <c r="L682" t="s">
        <v>38</v>
      </c>
      <c r="M682" s="4">
        <v>-41900</v>
      </c>
      <c r="N682" s="3">
        <v>375.69060000000002</v>
      </c>
      <c r="O682" t="s">
        <v>33</v>
      </c>
      <c r="P682" t="s">
        <v>24</v>
      </c>
      <c r="Q682" t="s">
        <v>24</v>
      </c>
      <c r="R682" t="s">
        <v>53</v>
      </c>
      <c r="S682">
        <v>10</v>
      </c>
    </row>
    <row r="683" spans="1:19" x14ac:dyDescent="0.3">
      <c r="A683" s="1">
        <v>41204</v>
      </c>
      <c r="B683">
        <v>2012</v>
      </c>
      <c r="C683" t="s">
        <v>56</v>
      </c>
      <c r="D683" s="4">
        <v>467790</v>
      </c>
      <c r="E683" s="2">
        <v>530000</v>
      </c>
      <c r="F683" t="s">
        <v>19</v>
      </c>
      <c r="G683" t="s">
        <v>20</v>
      </c>
      <c r="H683">
        <v>3</v>
      </c>
      <c r="I683">
        <v>1</v>
      </c>
      <c r="J683">
        <v>1111.6589814177564</v>
      </c>
      <c r="K683" s="5">
        <v>1.0219580000000001E-2</v>
      </c>
      <c r="L683" t="s">
        <v>32</v>
      </c>
      <c r="M683" s="4">
        <v>62210</v>
      </c>
      <c r="N683" s="3">
        <v>476.76490000000001</v>
      </c>
      <c r="O683" t="s">
        <v>22</v>
      </c>
      <c r="P683" t="s">
        <v>24</v>
      </c>
      <c r="Q683" t="s">
        <v>24</v>
      </c>
      <c r="R683" t="s">
        <v>53</v>
      </c>
      <c r="S683">
        <v>10</v>
      </c>
    </row>
    <row r="684" spans="1:19" x14ac:dyDescent="0.3">
      <c r="A684" s="1">
        <v>41207</v>
      </c>
      <c r="B684">
        <v>2012</v>
      </c>
      <c r="C684" t="s">
        <v>52</v>
      </c>
      <c r="D684" s="4">
        <v>444584.20699999999</v>
      </c>
      <c r="E684" s="2">
        <v>274900</v>
      </c>
      <c r="F684" t="s">
        <v>19</v>
      </c>
      <c r="G684" t="s">
        <v>20</v>
      </c>
      <c r="H684">
        <v>3</v>
      </c>
      <c r="I684">
        <v>3</v>
      </c>
      <c r="J684">
        <v>1043</v>
      </c>
      <c r="K684" s="5">
        <v>1.0219580000000001E-2</v>
      </c>
      <c r="L684" t="s">
        <v>21</v>
      </c>
      <c r="M684" s="4">
        <v>-169684.20699999999</v>
      </c>
      <c r="N684" s="3">
        <v>263.56659999999999</v>
      </c>
      <c r="O684" t="s">
        <v>33</v>
      </c>
      <c r="P684" t="s">
        <v>24</v>
      </c>
      <c r="Q684" t="s">
        <v>24</v>
      </c>
      <c r="R684" t="s">
        <v>53</v>
      </c>
      <c r="S684">
        <v>10</v>
      </c>
    </row>
    <row r="685" spans="1:19" x14ac:dyDescent="0.3">
      <c r="A685" s="1">
        <v>41208</v>
      </c>
      <c r="B685">
        <v>2012</v>
      </c>
      <c r="C685" t="s">
        <v>52</v>
      </c>
      <c r="D685" s="4">
        <v>254000</v>
      </c>
      <c r="E685" s="2">
        <v>335000</v>
      </c>
      <c r="F685" t="s">
        <v>19</v>
      </c>
      <c r="G685" t="s">
        <v>20</v>
      </c>
      <c r="H685">
        <v>3</v>
      </c>
      <c r="I685">
        <v>1</v>
      </c>
      <c r="J685">
        <v>1002</v>
      </c>
      <c r="K685" s="5">
        <v>1.0219580000000001E-2</v>
      </c>
      <c r="L685" t="s">
        <v>32</v>
      </c>
      <c r="M685" s="4">
        <v>81000</v>
      </c>
      <c r="N685" s="3">
        <v>334.3313</v>
      </c>
      <c r="O685" t="s">
        <v>22</v>
      </c>
      <c r="P685" t="s">
        <v>24</v>
      </c>
      <c r="Q685" t="s">
        <v>24</v>
      </c>
      <c r="R685" t="s">
        <v>53</v>
      </c>
      <c r="S685">
        <v>10</v>
      </c>
    </row>
    <row r="686" spans="1:19" x14ac:dyDescent="0.3">
      <c r="A686" s="1">
        <v>41209</v>
      </c>
      <c r="B686">
        <v>2012</v>
      </c>
      <c r="C686" t="s">
        <v>29</v>
      </c>
      <c r="D686" s="4">
        <v>130190</v>
      </c>
      <c r="E686" s="2">
        <v>18400</v>
      </c>
      <c r="F686" t="s">
        <v>19</v>
      </c>
      <c r="G686" t="s">
        <v>20</v>
      </c>
      <c r="H686">
        <v>3</v>
      </c>
      <c r="I686">
        <v>3</v>
      </c>
      <c r="J686">
        <v>1024</v>
      </c>
      <c r="K686" s="5">
        <v>1.0219580000000001E-2</v>
      </c>
      <c r="L686" t="s">
        <v>27</v>
      </c>
      <c r="M686" s="4">
        <v>-111790</v>
      </c>
      <c r="N686" s="3">
        <v>17.968800000000002</v>
      </c>
      <c r="O686" t="s">
        <v>33</v>
      </c>
      <c r="P686" t="s">
        <v>23</v>
      </c>
      <c r="Q686" t="s">
        <v>24</v>
      </c>
      <c r="R686" t="s">
        <v>53</v>
      </c>
      <c r="S686">
        <v>10</v>
      </c>
    </row>
    <row r="687" spans="1:19" x14ac:dyDescent="0.3">
      <c r="A687" s="1">
        <v>41210</v>
      </c>
      <c r="B687">
        <v>2012</v>
      </c>
      <c r="C687" t="s">
        <v>29</v>
      </c>
      <c r="D687" s="4">
        <v>117630</v>
      </c>
      <c r="E687" s="2">
        <v>30000</v>
      </c>
      <c r="F687" t="s">
        <v>19</v>
      </c>
      <c r="G687" t="s">
        <v>20</v>
      </c>
      <c r="H687">
        <v>3</v>
      </c>
      <c r="I687">
        <v>2</v>
      </c>
      <c r="J687">
        <v>1111.6589814177564</v>
      </c>
      <c r="K687" s="5">
        <v>1.0219580000000001E-2</v>
      </c>
      <c r="L687" t="s">
        <v>21</v>
      </c>
      <c r="M687" s="4">
        <v>-87630</v>
      </c>
      <c r="N687" s="3">
        <v>26.986699999999999</v>
      </c>
      <c r="O687" t="s">
        <v>33</v>
      </c>
      <c r="P687" t="s">
        <v>23</v>
      </c>
      <c r="Q687" t="s">
        <v>24</v>
      </c>
      <c r="R687" t="s">
        <v>53</v>
      </c>
      <c r="S687">
        <v>10</v>
      </c>
    </row>
    <row r="688" spans="1:19" x14ac:dyDescent="0.3">
      <c r="A688" s="1">
        <v>41211</v>
      </c>
      <c r="B688">
        <v>2012</v>
      </c>
      <c r="C688" t="s">
        <v>56</v>
      </c>
      <c r="D688" s="4">
        <v>373850</v>
      </c>
      <c r="E688" s="2">
        <v>399000</v>
      </c>
      <c r="F688" t="s">
        <v>19</v>
      </c>
      <c r="G688" t="s">
        <v>20</v>
      </c>
      <c r="H688">
        <v>3</v>
      </c>
      <c r="I688">
        <v>2</v>
      </c>
      <c r="J688">
        <v>933</v>
      </c>
      <c r="K688" s="5">
        <v>1.0219580000000001E-2</v>
      </c>
      <c r="L688" t="s">
        <v>32</v>
      </c>
      <c r="M688" s="4">
        <v>25150</v>
      </c>
      <c r="N688" s="3">
        <v>427.65269999999998</v>
      </c>
      <c r="O688" t="s">
        <v>22</v>
      </c>
      <c r="P688" t="s">
        <v>24</v>
      </c>
      <c r="Q688" t="s">
        <v>24</v>
      </c>
      <c r="R688" t="s">
        <v>53</v>
      </c>
      <c r="S688">
        <v>10</v>
      </c>
    </row>
    <row r="689" spans="1:19" x14ac:dyDescent="0.3">
      <c r="A689" s="1">
        <v>41214</v>
      </c>
      <c r="B689">
        <v>2012</v>
      </c>
      <c r="C689" t="s">
        <v>56</v>
      </c>
      <c r="D689" s="4">
        <v>512290</v>
      </c>
      <c r="E689" s="2">
        <v>525000</v>
      </c>
      <c r="F689" t="s">
        <v>36</v>
      </c>
      <c r="G689" t="s">
        <v>37</v>
      </c>
      <c r="H689">
        <v>6</v>
      </c>
      <c r="I689">
        <v>4</v>
      </c>
      <c r="J689">
        <v>1889</v>
      </c>
      <c r="K689" s="5">
        <v>1.0219580000000001E-2</v>
      </c>
      <c r="L689" t="s">
        <v>32</v>
      </c>
      <c r="M689" s="4">
        <v>12710</v>
      </c>
      <c r="N689" s="3">
        <v>277.9248</v>
      </c>
      <c r="O689" t="s">
        <v>22</v>
      </c>
      <c r="P689" t="s">
        <v>24</v>
      </c>
      <c r="Q689" t="s">
        <v>34</v>
      </c>
      <c r="R689" t="s">
        <v>54</v>
      </c>
      <c r="S689">
        <v>11</v>
      </c>
    </row>
    <row r="690" spans="1:19" x14ac:dyDescent="0.3">
      <c r="A690" s="1">
        <v>41215</v>
      </c>
      <c r="B690">
        <v>2012</v>
      </c>
      <c r="C690" t="s">
        <v>29</v>
      </c>
      <c r="D690" s="4">
        <v>444584.20699999999</v>
      </c>
      <c r="E690" s="2">
        <v>184000</v>
      </c>
      <c r="F690" t="s">
        <v>19</v>
      </c>
      <c r="G690" t="s">
        <v>20</v>
      </c>
      <c r="H690">
        <v>3</v>
      </c>
      <c r="I690">
        <v>2</v>
      </c>
      <c r="J690">
        <v>1014</v>
      </c>
      <c r="K690" s="5">
        <v>1.0219580000000001E-2</v>
      </c>
      <c r="L690" t="s">
        <v>38</v>
      </c>
      <c r="M690" s="4">
        <v>-260584.20699999999</v>
      </c>
      <c r="N690" s="3">
        <v>181.45959999999999</v>
      </c>
      <c r="O690" t="s">
        <v>33</v>
      </c>
      <c r="P690" t="s">
        <v>23</v>
      </c>
      <c r="Q690" t="s">
        <v>24</v>
      </c>
      <c r="R690" t="s">
        <v>54</v>
      </c>
      <c r="S690">
        <v>11</v>
      </c>
    </row>
    <row r="691" spans="1:19" x14ac:dyDescent="0.3">
      <c r="A691" s="1">
        <v>41216</v>
      </c>
      <c r="B691">
        <v>2012</v>
      </c>
      <c r="C691" t="s">
        <v>18</v>
      </c>
      <c r="D691" s="4">
        <v>112340</v>
      </c>
      <c r="E691" s="2">
        <v>115000</v>
      </c>
      <c r="F691" t="s">
        <v>19</v>
      </c>
      <c r="G691" t="s">
        <v>20</v>
      </c>
      <c r="H691">
        <v>3</v>
      </c>
      <c r="I691">
        <v>3</v>
      </c>
      <c r="J691">
        <v>1111.6589814177564</v>
      </c>
      <c r="K691" s="5">
        <v>1.0219580000000001E-2</v>
      </c>
      <c r="L691" t="s">
        <v>32</v>
      </c>
      <c r="M691" s="4">
        <v>2660</v>
      </c>
      <c r="N691" s="3">
        <v>103.449</v>
      </c>
      <c r="O691" t="s">
        <v>22</v>
      </c>
      <c r="P691" t="s">
        <v>23</v>
      </c>
      <c r="Q691" t="s">
        <v>24</v>
      </c>
      <c r="R691" t="s">
        <v>54</v>
      </c>
      <c r="S691">
        <v>11</v>
      </c>
    </row>
    <row r="692" spans="1:19" x14ac:dyDescent="0.3">
      <c r="A692" s="1">
        <v>41217</v>
      </c>
      <c r="B692">
        <v>2012</v>
      </c>
      <c r="C692" t="s">
        <v>26</v>
      </c>
      <c r="D692" s="4">
        <v>585900</v>
      </c>
      <c r="E692" s="2">
        <v>715000</v>
      </c>
      <c r="F692" t="s">
        <v>19</v>
      </c>
      <c r="G692" t="s">
        <v>20</v>
      </c>
      <c r="H692">
        <v>3</v>
      </c>
      <c r="I692">
        <v>1</v>
      </c>
      <c r="J692">
        <v>1047</v>
      </c>
      <c r="K692" s="5">
        <v>1.0219580000000001E-2</v>
      </c>
      <c r="L692" t="s">
        <v>21</v>
      </c>
      <c r="M692" s="4">
        <v>129100</v>
      </c>
      <c r="N692" s="3">
        <v>682.90350000000001</v>
      </c>
      <c r="O692" t="s">
        <v>22</v>
      </c>
      <c r="P692" t="s">
        <v>28</v>
      </c>
      <c r="Q692" t="s">
        <v>24</v>
      </c>
      <c r="R692" t="s">
        <v>54</v>
      </c>
      <c r="S692">
        <v>11</v>
      </c>
    </row>
    <row r="693" spans="1:19" x14ac:dyDescent="0.3">
      <c r="A693" s="1">
        <v>41221</v>
      </c>
      <c r="B693">
        <v>2012</v>
      </c>
      <c r="C693" t="s">
        <v>26</v>
      </c>
      <c r="D693" s="4">
        <v>351820</v>
      </c>
      <c r="E693" s="2">
        <v>242500</v>
      </c>
      <c r="F693" t="s">
        <v>19</v>
      </c>
      <c r="G693" t="s">
        <v>20</v>
      </c>
      <c r="H693">
        <v>3</v>
      </c>
      <c r="I693">
        <v>1</v>
      </c>
      <c r="J693">
        <v>986</v>
      </c>
      <c r="K693" s="5">
        <v>1.0219580000000001E-2</v>
      </c>
      <c r="L693" t="s">
        <v>38</v>
      </c>
      <c r="M693" s="4">
        <v>-109320</v>
      </c>
      <c r="N693" s="3">
        <v>245.94319999999999</v>
      </c>
      <c r="O693" t="s">
        <v>33</v>
      </c>
      <c r="P693" t="s">
        <v>24</v>
      </c>
      <c r="Q693" t="s">
        <v>24</v>
      </c>
      <c r="R693" t="s">
        <v>54</v>
      </c>
      <c r="S693">
        <v>11</v>
      </c>
    </row>
    <row r="694" spans="1:19" x14ac:dyDescent="0.3">
      <c r="A694" s="1">
        <v>41223</v>
      </c>
      <c r="B694">
        <v>2012</v>
      </c>
      <c r="C694" t="s">
        <v>18</v>
      </c>
      <c r="D694" s="4">
        <v>96530</v>
      </c>
      <c r="E694" s="2">
        <v>85000</v>
      </c>
      <c r="F694" t="s">
        <v>19</v>
      </c>
      <c r="G694" t="s">
        <v>20</v>
      </c>
      <c r="H694">
        <v>3</v>
      </c>
      <c r="I694">
        <v>3</v>
      </c>
      <c r="J694">
        <v>1067</v>
      </c>
      <c r="K694" s="5">
        <v>1.0219580000000001E-2</v>
      </c>
      <c r="L694" t="s">
        <v>27</v>
      </c>
      <c r="M694" s="4">
        <v>-11530</v>
      </c>
      <c r="N694" s="3">
        <v>79.662599999999998</v>
      </c>
      <c r="O694" t="s">
        <v>33</v>
      </c>
      <c r="P694" t="s">
        <v>23</v>
      </c>
      <c r="Q694" t="s">
        <v>24</v>
      </c>
      <c r="R694" t="s">
        <v>54</v>
      </c>
      <c r="S694">
        <v>11</v>
      </c>
    </row>
    <row r="695" spans="1:19" x14ac:dyDescent="0.3">
      <c r="A695" s="1">
        <v>41225</v>
      </c>
      <c r="B695">
        <v>2012</v>
      </c>
      <c r="C695" t="s">
        <v>26</v>
      </c>
      <c r="D695" s="4">
        <v>282520</v>
      </c>
      <c r="E695" s="2">
        <v>359900</v>
      </c>
      <c r="F695" t="s">
        <v>19</v>
      </c>
      <c r="G695" t="s">
        <v>20</v>
      </c>
      <c r="H695">
        <v>3</v>
      </c>
      <c r="I695">
        <v>2</v>
      </c>
      <c r="J695">
        <v>1055</v>
      </c>
      <c r="K695" s="5">
        <v>1.0219580000000001E-2</v>
      </c>
      <c r="L695" t="s">
        <v>21</v>
      </c>
      <c r="M695" s="4">
        <v>77380</v>
      </c>
      <c r="N695" s="3">
        <v>341.13740000000001</v>
      </c>
      <c r="O695" t="s">
        <v>22</v>
      </c>
      <c r="P695" t="s">
        <v>24</v>
      </c>
      <c r="Q695" t="s">
        <v>24</v>
      </c>
      <c r="R695" t="s">
        <v>54</v>
      </c>
      <c r="S695">
        <v>11</v>
      </c>
    </row>
    <row r="696" spans="1:19" x14ac:dyDescent="0.3">
      <c r="A696" s="1">
        <v>41229</v>
      </c>
      <c r="B696">
        <v>2012</v>
      </c>
      <c r="C696" t="s">
        <v>52</v>
      </c>
      <c r="D696" s="4">
        <v>444584.20699999999</v>
      </c>
      <c r="E696" s="2">
        <v>400000</v>
      </c>
      <c r="F696" t="s">
        <v>19</v>
      </c>
      <c r="G696" t="s">
        <v>20</v>
      </c>
      <c r="H696">
        <v>3</v>
      </c>
      <c r="I696">
        <v>1</v>
      </c>
      <c r="J696">
        <v>1095</v>
      </c>
      <c r="K696" s="5">
        <v>1.0219580000000001E-2</v>
      </c>
      <c r="L696" t="s">
        <v>21</v>
      </c>
      <c r="M696" s="4">
        <v>-44584.207000000002</v>
      </c>
      <c r="N696" s="3">
        <v>365.29680000000002</v>
      </c>
      <c r="O696" t="s">
        <v>33</v>
      </c>
      <c r="P696" t="s">
        <v>24</v>
      </c>
      <c r="Q696" t="s">
        <v>24</v>
      </c>
      <c r="R696" t="s">
        <v>54</v>
      </c>
      <c r="S696">
        <v>11</v>
      </c>
    </row>
    <row r="697" spans="1:19" x14ac:dyDescent="0.3">
      <c r="A697" s="1">
        <v>41230</v>
      </c>
      <c r="B697">
        <v>2012</v>
      </c>
      <c r="C697" t="s">
        <v>56</v>
      </c>
      <c r="D697" s="4">
        <v>287470</v>
      </c>
      <c r="E697" s="2">
        <v>330000</v>
      </c>
      <c r="F697" t="s">
        <v>19</v>
      </c>
      <c r="G697" t="s">
        <v>20</v>
      </c>
      <c r="H697">
        <v>3</v>
      </c>
      <c r="I697">
        <v>1</v>
      </c>
      <c r="J697">
        <v>958</v>
      </c>
      <c r="K697" s="5">
        <v>1.0219580000000001E-2</v>
      </c>
      <c r="L697" t="s">
        <v>32</v>
      </c>
      <c r="M697" s="4">
        <v>42530</v>
      </c>
      <c r="N697" s="3">
        <v>344.4676</v>
      </c>
      <c r="O697" t="s">
        <v>22</v>
      </c>
      <c r="P697" t="s">
        <v>24</v>
      </c>
      <c r="Q697" t="s">
        <v>24</v>
      </c>
      <c r="R697" t="s">
        <v>54</v>
      </c>
      <c r="S697">
        <v>11</v>
      </c>
    </row>
    <row r="698" spans="1:19" x14ac:dyDescent="0.3">
      <c r="A698" s="1">
        <v>41231</v>
      </c>
      <c r="B698">
        <v>2012</v>
      </c>
      <c r="C698" t="s">
        <v>29</v>
      </c>
      <c r="D698" s="4">
        <v>175940</v>
      </c>
      <c r="E698" s="2">
        <v>165000</v>
      </c>
      <c r="F698" t="s">
        <v>30</v>
      </c>
      <c r="G698" t="s">
        <v>31</v>
      </c>
      <c r="H698">
        <v>4</v>
      </c>
      <c r="I698">
        <v>3</v>
      </c>
      <c r="J698">
        <v>1284</v>
      </c>
      <c r="K698" s="5">
        <v>1.0219580000000001E-2</v>
      </c>
      <c r="L698" t="s">
        <v>32</v>
      </c>
      <c r="M698" s="4">
        <v>-10940</v>
      </c>
      <c r="N698" s="3">
        <v>128.50470000000001</v>
      </c>
      <c r="O698" t="s">
        <v>33</v>
      </c>
      <c r="P698" t="s">
        <v>23</v>
      </c>
      <c r="Q698" t="s">
        <v>24</v>
      </c>
      <c r="R698" t="s">
        <v>54</v>
      </c>
      <c r="S698">
        <v>11</v>
      </c>
    </row>
    <row r="699" spans="1:19" x14ac:dyDescent="0.3">
      <c r="A699" s="1">
        <v>41233</v>
      </c>
      <c r="B699">
        <v>2012</v>
      </c>
      <c r="C699" t="s">
        <v>40</v>
      </c>
      <c r="D699" s="4">
        <v>168540</v>
      </c>
      <c r="E699" s="2">
        <v>76000</v>
      </c>
      <c r="F699" t="s">
        <v>36</v>
      </c>
      <c r="G699" t="s">
        <v>37</v>
      </c>
      <c r="H699">
        <v>6</v>
      </c>
      <c r="I699">
        <v>5</v>
      </c>
      <c r="J699">
        <v>2100</v>
      </c>
      <c r="K699" s="5">
        <v>1.0219580000000001E-2</v>
      </c>
      <c r="L699" t="s">
        <v>38</v>
      </c>
      <c r="M699" s="4">
        <v>-92540</v>
      </c>
      <c r="N699" s="3">
        <v>36.1905</v>
      </c>
      <c r="O699" t="s">
        <v>33</v>
      </c>
      <c r="P699" t="s">
        <v>23</v>
      </c>
      <c r="Q699" t="s">
        <v>34</v>
      </c>
      <c r="R699" t="s">
        <v>54</v>
      </c>
      <c r="S699">
        <v>11</v>
      </c>
    </row>
    <row r="700" spans="1:19" x14ac:dyDescent="0.3">
      <c r="A700" s="1">
        <v>41235</v>
      </c>
      <c r="B700">
        <v>2012</v>
      </c>
      <c r="C700" t="s">
        <v>40</v>
      </c>
      <c r="D700" s="4">
        <v>347550</v>
      </c>
      <c r="E700" s="2">
        <v>449000</v>
      </c>
      <c r="F700" t="s">
        <v>30</v>
      </c>
      <c r="G700" t="s">
        <v>31</v>
      </c>
      <c r="H700">
        <v>4</v>
      </c>
      <c r="I700">
        <v>4</v>
      </c>
      <c r="J700">
        <v>1320</v>
      </c>
      <c r="K700" s="5">
        <v>1.0219580000000001E-2</v>
      </c>
      <c r="L700" t="s">
        <v>21</v>
      </c>
      <c r="M700" s="4">
        <v>101450</v>
      </c>
      <c r="N700" s="3">
        <v>340.1515</v>
      </c>
      <c r="O700" t="s">
        <v>22</v>
      </c>
      <c r="P700" t="s">
        <v>24</v>
      </c>
      <c r="Q700" t="s">
        <v>34</v>
      </c>
      <c r="R700" t="s">
        <v>54</v>
      </c>
      <c r="S700">
        <v>11</v>
      </c>
    </row>
    <row r="701" spans="1:19" x14ac:dyDescent="0.3">
      <c r="A701" s="1">
        <v>41236</v>
      </c>
      <c r="B701">
        <v>2012</v>
      </c>
      <c r="C701" t="s">
        <v>18</v>
      </c>
      <c r="D701" s="4">
        <v>89510</v>
      </c>
      <c r="E701" s="2">
        <v>106000</v>
      </c>
      <c r="F701" t="s">
        <v>19</v>
      </c>
      <c r="G701" t="s">
        <v>20</v>
      </c>
      <c r="H701">
        <v>3</v>
      </c>
      <c r="I701">
        <v>2</v>
      </c>
      <c r="J701">
        <v>1093</v>
      </c>
      <c r="K701" s="5">
        <v>1.0219580000000001E-2</v>
      </c>
      <c r="L701" t="s">
        <v>32</v>
      </c>
      <c r="M701" s="4">
        <v>16490</v>
      </c>
      <c r="N701" s="3">
        <v>96.980800000000002</v>
      </c>
      <c r="O701" t="s">
        <v>22</v>
      </c>
      <c r="P701" t="s">
        <v>23</v>
      </c>
      <c r="Q701" t="s">
        <v>24</v>
      </c>
      <c r="R701" t="s">
        <v>54</v>
      </c>
      <c r="S701">
        <v>11</v>
      </c>
    </row>
    <row r="702" spans="1:19" x14ac:dyDescent="0.3">
      <c r="A702" s="1">
        <v>41237</v>
      </c>
      <c r="B702">
        <v>2012</v>
      </c>
      <c r="C702" t="s">
        <v>40</v>
      </c>
      <c r="D702" s="4">
        <v>129640</v>
      </c>
      <c r="E702" s="2">
        <v>25000</v>
      </c>
      <c r="F702" t="s">
        <v>36</v>
      </c>
      <c r="G702" t="s">
        <v>37</v>
      </c>
      <c r="H702">
        <v>6</v>
      </c>
      <c r="I702">
        <v>6</v>
      </c>
      <c r="J702">
        <v>1965</v>
      </c>
      <c r="K702" s="5">
        <v>1.0219580000000001E-2</v>
      </c>
      <c r="L702" t="s">
        <v>27</v>
      </c>
      <c r="M702" s="4">
        <v>-104640</v>
      </c>
      <c r="N702" s="3">
        <v>12.7226</v>
      </c>
      <c r="O702" t="s">
        <v>33</v>
      </c>
      <c r="P702" t="s">
        <v>23</v>
      </c>
      <c r="Q702" t="s">
        <v>34</v>
      </c>
      <c r="R702" t="s">
        <v>54</v>
      </c>
      <c r="S702">
        <v>11</v>
      </c>
    </row>
    <row r="703" spans="1:19" x14ac:dyDescent="0.3">
      <c r="A703" s="1">
        <v>41242</v>
      </c>
      <c r="B703">
        <v>2012</v>
      </c>
      <c r="C703" t="s">
        <v>29</v>
      </c>
      <c r="D703" s="4">
        <v>159720</v>
      </c>
      <c r="E703" s="2">
        <v>205000</v>
      </c>
      <c r="F703" t="s">
        <v>19</v>
      </c>
      <c r="G703" t="s">
        <v>20</v>
      </c>
      <c r="H703">
        <v>3</v>
      </c>
      <c r="I703">
        <v>2</v>
      </c>
      <c r="J703">
        <v>965</v>
      </c>
      <c r="K703" s="5">
        <v>1.0219580000000001E-2</v>
      </c>
      <c r="L703" t="s">
        <v>21</v>
      </c>
      <c r="M703" s="4">
        <v>45280</v>
      </c>
      <c r="N703" s="3">
        <v>212.43520000000001</v>
      </c>
      <c r="O703" t="s">
        <v>22</v>
      </c>
      <c r="P703" t="s">
        <v>24</v>
      </c>
      <c r="Q703" t="s">
        <v>24</v>
      </c>
      <c r="R703" t="s">
        <v>54</v>
      </c>
      <c r="S703">
        <v>11</v>
      </c>
    </row>
    <row r="704" spans="1:19" x14ac:dyDescent="0.3">
      <c r="A704" s="1">
        <v>41243</v>
      </c>
      <c r="B704">
        <v>2012</v>
      </c>
      <c r="C704" t="s">
        <v>52</v>
      </c>
      <c r="D704" s="4">
        <v>158700</v>
      </c>
      <c r="E704" s="2">
        <v>255000</v>
      </c>
      <c r="F704" t="s">
        <v>19</v>
      </c>
      <c r="G704" t="s">
        <v>20</v>
      </c>
      <c r="H704">
        <v>3</v>
      </c>
      <c r="I704">
        <v>2</v>
      </c>
      <c r="J704">
        <v>960</v>
      </c>
      <c r="K704" s="5">
        <v>1.0219580000000001E-2</v>
      </c>
      <c r="L704" t="s">
        <v>32</v>
      </c>
      <c r="M704" s="4">
        <v>96300</v>
      </c>
      <c r="N704" s="3">
        <v>265.625</v>
      </c>
      <c r="O704" t="s">
        <v>22</v>
      </c>
      <c r="P704" t="s">
        <v>24</v>
      </c>
      <c r="Q704" t="s">
        <v>24</v>
      </c>
      <c r="R704" t="s">
        <v>54</v>
      </c>
      <c r="S704">
        <v>11</v>
      </c>
    </row>
    <row r="705" spans="1:19" x14ac:dyDescent="0.3">
      <c r="A705" s="1">
        <v>41245</v>
      </c>
      <c r="B705">
        <v>2012</v>
      </c>
      <c r="C705" t="s">
        <v>26</v>
      </c>
      <c r="D705" s="4">
        <v>444584.20699999999</v>
      </c>
      <c r="E705" s="2">
        <v>509000</v>
      </c>
      <c r="F705" t="s">
        <v>19</v>
      </c>
      <c r="G705" t="s">
        <v>20</v>
      </c>
      <c r="H705">
        <v>3</v>
      </c>
      <c r="I705">
        <v>1</v>
      </c>
      <c r="J705">
        <v>952</v>
      </c>
      <c r="K705" s="5">
        <v>1.0219580000000001E-2</v>
      </c>
      <c r="L705" t="s">
        <v>38</v>
      </c>
      <c r="M705" s="4">
        <v>64415.792999999998</v>
      </c>
      <c r="N705" s="3">
        <v>534.66390000000001</v>
      </c>
      <c r="O705" t="s">
        <v>22</v>
      </c>
      <c r="P705" t="s">
        <v>24</v>
      </c>
      <c r="Q705" t="s">
        <v>24</v>
      </c>
      <c r="R705" t="s">
        <v>55</v>
      </c>
      <c r="S705">
        <v>12</v>
      </c>
    </row>
    <row r="706" spans="1:19" x14ac:dyDescent="0.3">
      <c r="A706" s="1">
        <v>41246</v>
      </c>
      <c r="B706">
        <v>2012</v>
      </c>
      <c r="C706" t="s">
        <v>26</v>
      </c>
      <c r="D706" s="4">
        <v>296170</v>
      </c>
      <c r="E706" s="2">
        <v>250000</v>
      </c>
      <c r="F706" t="s">
        <v>19</v>
      </c>
      <c r="G706" t="s">
        <v>20</v>
      </c>
      <c r="H706">
        <v>3</v>
      </c>
      <c r="I706">
        <v>2</v>
      </c>
      <c r="J706">
        <v>1079</v>
      </c>
      <c r="K706" s="5">
        <v>1.0219580000000001E-2</v>
      </c>
      <c r="L706" t="s">
        <v>38</v>
      </c>
      <c r="M706" s="4">
        <v>-46170</v>
      </c>
      <c r="N706" s="3">
        <v>231.696</v>
      </c>
      <c r="O706" t="s">
        <v>33</v>
      </c>
      <c r="P706" t="s">
        <v>24</v>
      </c>
      <c r="Q706" t="s">
        <v>24</v>
      </c>
      <c r="R706" t="s">
        <v>55</v>
      </c>
      <c r="S706">
        <v>12</v>
      </c>
    </row>
    <row r="707" spans="1:19" x14ac:dyDescent="0.3">
      <c r="A707" s="1">
        <v>41249</v>
      </c>
      <c r="B707">
        <v>2012</v>
      </c>
      <c r="C707" t="s">
        <v>40</v>
      </c>
      <c r="D707" s="4">
        <v>380300</v>
      </c>
      <c r="E707" s="2">
        <v>524000</v>
      </c>
      <c r="F707" t="s">
        <v>19</v>
      </c>
      <c r="G707" t="s">
        <v>20</v>
      </c>
      <c r="H707">
        <v>3</v>
      </c>
      <c r="I707">
        <v>2</v>
      </c>
      <c r="J707">
        <v>1084</v>
      </c>
      <c r="K707" s="5">
        <v>1.0219580000000001E-2</v>
      </c>
      <c r="L707" t="s">
        <v>21</v>
      </c>
      <c r="M707" s="4">
        <v>143700</v>
      </c>
      <c r="N707" s="3">
        <v>483.39479999999998</v>
      </c>
      <c r="O707" t="s">
        <v>22</v>
      </c>
      <c r="P707" t="s">
        <v>24</v>
      </c>
      <c r="Q707" t="s">
        <v>24</v>
      </c>
      <c r="R707" t="s">
        <v>55</v>
      </c>
      <c r="S707">
        <v>12</v>
      </c>
    </row>
    <row r="708" spans="1:19" x14ac:dyDescent="0.3">
      <c r="A708" s="1">
        <v>41251</v>
      </c>
      <c r="B708">
        <v>2012</v>
      </c>
      <c r="C708" t="s">
        <v>40</v>
      </c>
      <c r="D708" s="4">
        <v>201320</v>
      </c>
      <c r="E708" s="2">
        <v>175000</v>
      </c>
      <c r="F708" t="s">
        <v>19</v>
      </c>
      <c r="G708" t="s">
        <v>20</v>
      </c>
      <c r="H708">
        <v>3</v>
      </c>
      <c r="I708">
        <v>2</v>
      </c>
      <c r="J708">
        <v>1011</v>
      </c>
      <c r="K708" s="5">
        <v>1.0219580000000001E-2</v>
      </c>
      <c r="L708" t="s">
        <v>21</v>
      </c>
      <c r="M708" s="4">
        <v>-26320</v>
      </c>
      <c r="N708" s="3">
        <v>173.0959</v>
      </c>
      <c r="O708" t="s">
        <v>33</v>
      </c>
      <c r="P708" t="s">
        <v>23</v>
      </c>
      <c r="Q708" t="s">
        <v>24</v>
      </c>
      <c r="R708" t="s">
        <v>55</v>
      </c>
      <c r="S708">
        <v>12</v>
      </c>
    </row>
    <row r="709" spans="1:19" x14ac:dyDescent="0.3">
      <c r="A709" s="1">
        <v>41252</v>
      </c>
      <c r="B709">
        <v>2012</v>
      </c>
      <c r="C709" t="s">
        <v>29</v>
      </c>
      <c r="D709" s="4">
        <v>128020</v>
      </c>
      <c r="E709" s="2">
        <v>119900</v>
      </c>
      <c r="F709" t="s">
        <v>19</v>
      </c>
      <c r="G709" t="s">
        <v>20</v>
      </c>
      <c r="H709">
        <v>3</v>
      </c>
      <c r="I709">
        <v>1</v>
      </c>
      <c r="J709">
        <v>943</v>
      </c>
      <c r="K709" s="5">
        <v>1.0219580000000001E-2</v>
      </c>
      <c r="L709" t="s">
        <v>32</v>
      </c>
      <c r="M709" s="4">
        <v>-8120</v>
      </c>
      <c r="N709" s="3">
        <v>127.1474</v>
      </c>
      <c r="O709" t="s">
        <v>33</v>
      </c>
      <c r="P709" t="s">
        <v>23</v>
      </c>
      <c r="Q709" t="s">
        <v>24</v>
      </c>
      <c r="R709" t="s">
        <v>55</v>
      </c>
      <c r="S709">
        <v>12</v>
      </c>
    </row>
    <row r="710" spans="1:19" x14ac:dyDescent="0.3">
      <c r="A710" s="1">
        <v>41253</v>
      </c>
      <c r="B710">
        <v>2012</v>
      </c>
      <c r="C710" t="s">
        <v>18</v>
      </c>
      <c r="D710" s="4">
        <v>184290</v>
      </c>
      <c r="E710" s="2">
        <v>110750</v>
      </c>
      <c r="F710" t="s">
        <v>36</v>
      </c>
      <c r="G710" t="s">
        <v>37</v>
      </c>
      <c r="H710">
        <v>6</v>
      </c>
      <c r="I710">
        <v>5</v>
      </c>
      <c r="J710">
        <v>2194</v>
      </c>
      <c r="K710" s="5">
        <v>1.0219580000000001E-2</v>
      </c>
      <c r="L710" t="s">
        <v>27</v>
      </c>
      <c r="M710" s="4">
        <v>-73540</v>
      </c>
      <c r="N710" s="3">
        <v>50.4786</v>
      </c>
      <c r="O710" t="s">
        <v>33</v>
      </c>
      <c r="P710" t="s">
        <v>23</v>
      </c>
      <c r="Q710" t="s">
        <v>34</v>
      </c>
      <c r="R710" t="s">
        <v>55</v>
      </c>
      <c r="S710">
        <v>12</v>
      </c>
    </row>
    <row r="711" spans="1:19" x14ac:dyDescent="0.3">
      <c r="A711" s="1">
        <v>41256</v>
      </c>
      <c r="B711">
        <v>2012</v>
      </c>
      <c r="C711" t="s">
        <v>56</v>
      </c>
      <c r="D711" s="4">
        <v>301480</v>
      </c>
      <c r="E711" s="2">
        <v>281000</v>
      </c>
      <c r="F711" t="s">
        <v>19</v>
      </c>
      <c r="G711" t="s">
        <v>20</v>
      </c>
      <c r="H711">
        <v>3</v>
      </c>
      <c r="I711">
        <v>1</v>
      </c>
      <c r="J711">
        <v>910</v>
      </c>
      <c r="K711" s="5">
        <v>1.0219580000000001E-2</v>
      </c>
      <c r="L711" t="s">
        <v>32</v>
      </c>
      <c r="M711" s="4">
        <v>-20480</v>
      </c>
      <c r="N711" s="3">
        <v>308.7912</v>
      </c>
      <c r="O711" t="s">
        <v>33</v>
      </c>
      <c r="P711" t="s">
        <v>24</v>
      </c>
      <c r="Q711" t="s">
        <v>24</v>
      </c>
      <c r="R711" t="s">
        <v>55</v>
      </c>
      <c r="S711">
        <v>12</v>
      </c>
    </row>
    <row r="712" spans="1:19" x14ac:dyDescent="0.3">
      <c r="A712" s="1">
        <v>41257</v>
      </c>
      <c r="B712">
        <v>2012</v>
      </c>
      <c r="C712" t="s">
        <v>29</v>
      </c>
      <c r="D712" s="4">
        <v>108260</v>
      </c>
      <c r="E712" s="2">
        <v>75000</v>
      </c>
      <c r="F712" t="s">
        <v>19</v>
      </c>
      <c r="G712" t="s">
        <v>20</v>
      </c>
      <c r="H712">
        <v>3</v>
      </c>
      <c r="I712">
        <v>2</v>
      </c>
      <c r="J712">
        <v>926</v>
      </c>
      <c r="K712" s="5">
        <v>1.0219580000000001E-2</v>
      </c>
      <c r="L712" t="s">
        <v>38</v>
      </c>
      <c r="M712" s="4">
        <v>-33260</v>
      </c>
      <c r="N712" s="3">
        <v>80.993499999999997</v>
      </c>
      <c r="O712" t="s">
        <v>33</v>
      </c>
      <c r="P712" t="s">
        <v>23</v>
      </c>
      <c r="Q712" t="s">
        <v>24</v>
      </c>
      <c r="R712" t="s">
        <v>55</v>
      </c>
      <c r="S712">
        <v>12</v>
      </c>
    </row>
    <row r="713" spans="1:19" x14ac:dyDescent="0.3">
      <c r="A713" s="1">
        <v>41258</v>
      </c>
      <c r="B713">
        <v>2012</v>
      </c>
      <c r="C713" t="s">
        <v>29</v>
      </c>
      <c r="D713" s="4">
        <v>160000</v>
      </c>
      <c r="E713" s="2">
        <v>101000</v>
      </c>
      <c r="F713" t="s">
        <v>30</v>
      </c>
      <c r="G713" t="s">
        <v>31</v>
      </c>
      <c r="H713">
        <v>4</v>
      </c>
      <c r="I713">
        <v>4</v>
      </c>
      <c r="J713">
        <v>1382</v>
      </c>
      <c r="K713" s="5">
        <v>1.0219580000000001E-2</v>
      </c>
      <c r="L713" t="s">
        <v>32</v>
      </c>
      <c r="M713" s="4">
        <v>-59000</v>
      </c>
      <c r="N713" s="3">
        <v>73.082499999999996</v>
      </c>
      <c r="O713" t="s">
        <v>33</v>
      </c>
      <c r="P713" t="s">
        <v>23</v>
      </c>
      <c r="Q713" t="s">
        <v>34</v>
      </c>
      <c r="R713" t="s">
        <v>55</v>
      </c>
      <c r="S713">
        <v>12</v>
      </c>
    </row>
    <row r="714" spans="1:19" x14ac:dyDescent="0.3">
      <c r="A714" s="1">
        <v>41259</v>
      </c>
      <c r="B714">
        <v>2012</v>
      </c>
      <c r="C714" t="s">
        <v>29</v>
      </c>
      <c r="D714" s="4">
        <v>150640</v>
      </c>
      <c r="E714" s="2">
        <v>165000</v>
      </c>
      <c r="F714" t="s">
        <v>19</v>
      </c>
      <c r="G714" t="s">
        <v>20</v>
      </c>
      <c r="H714">
        <v>3</v>
      </c>
      <c r="I714">
        <v>1</v>
      </c>
      <c r="J714">
        <v>946</v>
      </c>
      <c r="K714" s="5">
        <v>1.0219580000000001E-2</v>
      </c>
      <c r="L714" t="s">
        <v>21</v>
      </c>
      <c r="M714" s="4">
        <v>14360</v>
      </c>
      <c r="N714" s="3">
        <v>174.4186</v>
      </c>
      <c r="O714" t="s">
        <v>22</v>
      </c>
      <c r="P714" t="s">
        <v>23</v>
      </c>
      <c r="Q714" t="s">
        <v>24</v>
      </c>
      <c r="R714" t="s">
        <v>55</v>
      </c>
      <c r="S714">
        <v>12</v>
      </c>
    </row>
    <row r="715" spans="1:19" x14ac:dyDescent="0.3">
      <c r="A715" s="1">
        <v>41260</v>
      </c>
      <c r="B715">
        <v>2012</v>
      </c>
      <c r="C715" t="s">
        <v>56</v>
      </c>
      <c r="D715" s="4">
        <v>392090</v>
      </c>
      <c r="E715" s="2">
        <v>270000</v>
      </c>
      <c r="F715" t="s">
        <v>30</v>
      </c>
      <c r="G715" t="s">
        <v>31</v>
      </c>
      <c r="H715">
        <v>4</v>
      </c>
      <c r="I715">
        <v>3</v>
      </c>
      <c r="J715">
        <v>1368</v>
      </c>
      <c r="K715" s="5">
        <v>1.0219580000000001E-2</v>
      </c>
      <c r="L715" t="s">
        <v>21</v>
      </c>
      <c r="M715" s="4">
        <v>-122090</v>
      </c>
      <c r="N715" s="3">
        <v>197.36840000000001</v>
      </c>
      <c r="O715" t="s">
        <v>33</v>
      </c>
      <c r="P715" t="s">
        <v>24</v>
      </c>
      <c r="Q715" t="s">
        <v>34</v>
      </c>
      <c r="R715" t="s">
        <v>55</v>
      </c>
      <c r="S715">
        <v>12</v>
      </c>
    </row>
    <row r="716" spans="1:19" x14ac:dyDescent="0.3">
      <c r="A716" s="1">
        <v>41263</v>
      </c>
      <c r="B716">
        <v>2012</v>
      </c>
      <c r="C716" t="s">
        <v>29</v>
      </c>
      <c r="D716" s="4">
        <v>176640</v>
      </c>
      <c r="E716" s="2">
        <v>76000</v>
      </c>
      <c r="F716" t="s">
        <v>36</v>
      </c>
      <c r="G716" t="s">
        <v>37</v>
      </c>
      <c r="H716">
        <v>6</v>
      </c>
      <c r="I716">
        <v>4</v>
      </c>
      <c r="J716">
        <v>2189</v>
      </c>
      <c r="K716" s="5">
        <v>1.0219580000000001E-2</v>
      </c>
      <c r="L716" t="s">
        <v>38</v>
      </c>
      <c r="M716" s="4">
        <v>-100640</v>
      </c>
      <c r="N716" s="3">
        <v>34.719000000000001</v>
      </c>
      <c r="O716" t="s">
        <v>33</v>
      </c>
      <c r="P716" t="s">
        <v>23</v>
      </c>
      <c r="Q716" t="s">
        <v>34</v>
      </c>
      <c r="R716" t="s">
        <v>55</v>
      </c>
      <c r="S716">
        <v>12</v>
      </c>
    </row>
    <row r="717" spans="1:19" x14ac:dyDescent="0.3">
      <c r="A717" s="1">
        <v>41265</v>
      </c>
      <c r="B717">
        <v>2012</v>
      </c>
      <c r="C717" t="s">
        <v>29</v>
      </c>
      <c r="D717" s="4">
        <v>130410</v>
      </c>
      <c r="E717" s="2">
        <v>129000</v>
      </c>
      <c r="F717" t="s">
        <v>19</v>
      </c>
      <c r="G717" t="s">
        <v>20</v>
      </c>
      <c r="H717">
        <v>3</v>
      </c>
      <c r="I717">
        <v>1</v>
      </c>
      <c r="J717">
        <v>1045</v>
      </c>
      <c r="K717" s="5">
        <v>1.0219580000000001E-2</v>
      </c>
      <c r="L717" t="s">
        <v>32</v>
      </c>
      <c r="M717" s="4">
        <v>-1410</v>
      </c>
      <c r="N717" s="3">
        <v>123.44499999999999</v>
      </c>
      <c r="O717" t="s">
        <v>33</v>
      </c>
      <c r="P717" t="s">
        <v>23</v>
      </c>
      <c r="Q717" t="s">
        <v>24</v>
      </c>
      <c r="R717" t="s">
        <v>55</v>
      </c>
      <c r="S717">
        <v>12</v>
      </c>
    </row>
    <row r="718" spans="1:19" x14ac:dyDescent="0.3">
      <c r="A718" s="1">
        <v>41266</v>
      </c>
      <c r="B718">
        <v>2012</v>
      </c>
      <c r="C718" t="s">
        <v>29</v>
      </c>
      <c r="D718" s="4">
        <v>202080</v>
      </c>
      <c r="E718" s="2">
        <v>185000</v>
      </c>
      <c r="F718" t="s">
        <v>30</v>
      </c>
      <c r="G718" t="s">
        <v>31</v>
      </c>
      <c r="H718">
        <v>4</v>
      </c>
      <c r="I718">
        <v>4</v>
      </c>
      <c r="J718">
        <v>1221</v>
      </c>
      <c r="K718" s="5">
        <v>1.0219580000000001E-2</v>
      </c>
      <c r="L718" t="s">
        <v>32</v>
      </c>
      <c r="M718" s="4">
        <v>-17080</v>
      </c>
      <c r="N718" s="3">
        <v>151.51519999999999</v>
      </c>
      <c r="O718" t="s">
        <v>33</v>
      </c>
      <c r="P718" t="s">
        <v>23</v>
      </c>
      <c r="Q718" t="s">
        <v>24</v>
      </c>
      <c r="R718" t="s">
        <v>55</v>
      </c>
      <c r="S718">
        <v>12</v>
      </c>
    </row>
    <row r="719" spans="1:19" x14ac:dyDescent="0.3">
      <c r="A719" s="1">
        <v>41270</v>
      </c>
      <c r="B719">
        <v>2012</v>
      </c>
      <c r="C719" t="s">
        <v>52</v>
      </c>
      <c r="D719" s="4">
        <v>283700</v>
      </c>
      <c r="E719" s="2">
        <v>365000</v>
      </c>
      <c r="F719" t="s">
        <v>36</v>
      </c>
      <c r="G719" t="s">
        <v>37</v>
      </c>
      <c r="H719">
        <v>6</v>
      </c>
      <c r="I719">
        <v>6</v>
      </c>
      <c r="J719">
        <v>2009</v>
      </c>
      <c r="K719" s="5">
        <v>1.0219580000000001E-2</v>
      </c>
      <c r="L719" t="s">
        <v>27</v>
      </c>
      <c r="M719" s="4">
        <v>81300</v>
      </c>
      <c r="N719" s="3">
        <v>181.6824</v>
      </c>
      <c r="O719" t="s">
        <v>22</v>
      </c>
      <c r="P719" t="s">
        <v>24</v>
      </c>
      <c r="Q719" t="s">
        <v>34</v>
      </c>
      <c r="R719" t="s">
        <v>55</v>
      </c>
      <c r="S719">
        <v>12</v>
      </c>
    </row>
    <row r="720" spans="1:19" x14ac:dyDescent="0.3">
      <c r="A720" s="1">
        <v>41271</v>
      </c>
      <c r="B720">
        <v>2012</v>
      </c>
      <c r="C720" t="s">
        <v>56</v>
      </c>
      <c r="D720" s="4">
        <v>451240</v>
      </c>
      <c r="E720" s="2">
        <v>532500</v>
      </c>
      <c r="F720" t="s">
        <v>19</v>
      </c>
      <c r="G720" t="s">
        <v>20</v>
      </c>
      <c r="H720">
        <v>3</v>
      </c>
      <c r="I720">
        <v>3</v>
      </c>
      <c r="J720">
        <v>1111.6589814177564</v>
      </c>
      <c r="K720" s="5">
        <v>1.0219580000000001E-2</v>
      </c>
      <c r="L720" t="s">
        <v>38</v>
      </c>
      <c r="M720" s="4">
        <v>81260</v>
      </c>
      <c r="N720" s="3">
        <v>479.0138</v>
      </c>
      <c r="O720" t="s">
        <v>22</v>
      </c>
      <c r="P720" t="s">
        <v>24</v>
      </c>
      <c r="Q720" t="s">
        <v>24</v>
      </c>
      <c r="R720" t="s">
        <v>55</v>
      </c>
      <c r="S720">
        <v>12</v>
      </c>
    </row>
    <row r="721" spans="1:19" x14ac:dyDescent="0.3">
      <c r="A721" s="1">
        <v>41273</v>
      </c>
      <c r="B721">
        <v>2012</v>
      </c>
      <c r="C721" t="s">
        <v>29</v>
      </c>
      <c r="D721" s="4">
        <v>95460</v>
      </c>
      <c r="E721" s="2">
        <v>50000</v>
      </c>
      <c r="F721" t="s">
        <v>19</v>
      </c>
      <c r="G721" t="s">
        <v>20</v>
      </c>
      <c r="H721">
        <v>3</v>
      </c>
      <c r="I721">
        <v>1</v>
      </c>
      <c r="J721">
        <v>1002</v>
      </c>
      <c r="K721" s="5">
        <v>1.0219580000000001E-2</v>
      </c>
      <c r="L721" t="s">
        <v>32</v>
      </c>
      <c r="M721" s="4">
        <v>-45460</v>
      </c>
      <c r="N721" s="3">
        <v>49.900199999999998</v>
      </c>
      <c r="O721" t="s">
        <v>33</v>
      </c>
      <c r="P721" t="s">
        <v>23</v>
      </c>
      <c r="Q721" t="s">
        <v>24</v>
      </c>
      <c r="R721" t="s">
        <v>55</v>
      </c>
      <c r="S721">
        <v>12</v>
      </c>
    </row>
    <row r="722" spans="1:19" x14ac:dyDescent="0.3">
      <c r="A722" s="1">
        <v>41277</v>
      </c>
      <c r="B722">
        <v>2013</v>
      </c>
      <c r="C722" t="s">
        <v>40</v>
      </c>
      <c r="D722" s="4">
        <v>151890</v>
      </c>
      <c r="E722" s="2">
        <v>92500</v>
      </c>
      <c r="F722" t="s">
        <v>30</v>
      </c>
      <c r="G722" t="s">
        <v>31</v>
      </c>
      <c r="H722">
        <v>4</v>
      </c>
      <c r="I722">
        <v>3</v>
      </c>
      <c r="J722">
        <v>1395</v>
      </c>
      <c r="K722" s="5">
        <v>1.020333E-2</v>
      </c>
      <c r="L722" t="s">
        <v>38</v>
      </c>
      <c r="M722" s="4">
        <v>-59390</v>
      </c>
      <c r="N722" s="3">
        <v>66.308199999999999</v>
      </c>
      <c r="O722" t="s">
        <v>33</v>
      </c>
      <c r="P722" t="s">
        <v>23</v>
      </c>
      <c r="Q722" t="s">
        <v>34</v>
      </c>
      <c r="R722" t="s">
        <v>25</v>
      </c>
      <c r="S722">
        <v>1</v>
      </c>
    </row>
    <row r="723" spans="1:19" x14ac:dyDescent="0.3">
      <c r="A723" s="1">
        <v>41278</v>
      </c>
      <c r="B723">
        <v>2013</v>
      </c>
      <c r="C723" t="s">
        <v>56</v>
      </c>
      <c r="D723" s="4">
        <v>740800</v>
      </c>
      <c r="E723" s="2">
        <v>920000</v>
      </c>
      <c r="F723" t="s">
        <v>19</v>
      </c>
      <c r="G723" t="s">
        <v>20</v>
      </c>
      <c r="H723">
        <v>3</v>
      </c>
      <c r="I723">
        <v>2</v>
      </c>
      <c r="J723">
        <v>1111.6589814177564</v>
      </c>
      <c r="K723" s="5">
        <v>1.020333E-2</v>
      </c>
      <c r="L723" t="s">
        <v>21</v>
      </c>
      <c r="M723" s="4">
        <v>179200</v>
      </c>
      <c r="N723" s="3">
        <v>827.59190000000001</v>
      </c>
      <c r="O723" t="s">
        <v>22</v>
      </c>
      <c r="P723" t="s">
        <v>28</v>
      </c>
      <c r="Q723" t="s">
        <v>24</v>
      </c>
      <c r="R723" t="s">
        <v>25</v>
      </c>
      <c r="S723">
        <v>1</v>
      </c>
    </row>
    <row r="724" spans="1:19" x14ac:dyDescent="0.3">
      <c r="A724" s="1">
        <v>41279</v>
      </c>
      <c r="B724">
        <v>2013</v>
      </c>
      <c r="C724" t="s">
        <v>52</v>
      </c>
      <c r="D724" s="4">
        <v>165300</v>
      </c>
      <c r="E724" s="2">
        <v>250000</v>
      </c>
      <c r="F724" t="s">
        <v>19</v>
      </c>
      <c r="G724" t="s">
        <v>20</v>
      </c>
      <c r="H724">
        <v>3</v>
      </c>
      <c r="I724">
        <v>2</v>
      </c>
      <c r="J724">
        <v>948</v>
      </c>
      <c r="K724" s="5">
        <v>1.020333E-2</v>
      </c>
      <c r="L724" t="s">
        <v>32</v>
      </c>
      <c r="M724" s="4">
        <v>84700</v>
      </c>
      <c r="N724" s="3">
        <v>263.7131</v>
      </c>
      <c r="O724" t="s">
        <v>22</v>
      </c>
      <c r="P724" t="s">
        <v>24</v>
      </c>
      <c r="Q724" t="s">
        <v>24</v>
      </c>
      <c r="R724" t="s">
        <v>25</v>
      </c>
      <c r="S724">
        <v>1</v>
      </c>
    </row>
    <row r="725" spans="1:19" x14ac:dyDescent="0.3">
      <c r="A725" s="1">
        <v>41280</v>
      </c>
      <c r="B725">
        <v>2013</v>
      </c>
      <c r="C725" t="s">
        <v>40</v>
      </c>
      <c r="D725" s="4">
        <v>164560</v>
      </c>
      <c r="E725" s="2">
        <v>65000</v>
      </c>
      <c r="F725" t="s">
        <v>30</v>
      </c>
      <c r="G725" t="s">
        <v>31</v>
      </c>
      <c r="H725">
        <v>4</v>
      </c>
      <c r="I725">
        <v>3</v>
      </c>
      <c r="J725">
        <v>1321</v>
      </c>
      <c r="K725" s="5">
        <v>1.020333E-2</v>
      </c>
      <c r="L725" t="s">
        <v>32</v>
      </c>
      <c r="M725" s="4">
        <v>-99560</v>
      </c>
      <c r="N725" s="3">
        <v>49.205100000000002</v>
      </c>
      <c r="O725" t="s">
        <v>33</v>
      </c>
      <c r="P725" t="s">
        <v>23</v>
      </c>
      <c r="Q725" t="s">
        <v>34</v>
      </c>
      <c r="R725" t="s">
        <v>25</v>
      </c>
      <c r="S725">
        <v>1</v>
      </c>
    </row>
    <row r="726" spans="1:19" x14ac:dyDescent="0.3">
      <c r="A726" s="1">
        <v>41284</v>
      </c>
      <c r="B726">
        <v>2013</v>
      </c>
      <c r="C726" t="s">
        <v>29</v>
      </c>
      <c r="D726" s="4">
        <v>84280</v>
      </c>
      <c r="E726" s="2">
        <v>100000</v>
      </c>
      <c r="F726" t="s">
        <v>19</v>
      </c>
      <c r="G726" t="s">
        <v>20</v>
      </c>
      <c r="H726">
        <v>3</v>
      </c>
      <c r="I726">
        <v>1</v>
      </c>
      <c r="J726">
        <v>1111.6589814177564</v>
      </c>
      <c r="K726" s="5">
        <v>1.020333E-2</v>
      </c>
      <c r="L726" t="s">
        <v>27</v>
      </c>
      <c r="M726" s="4">
        <v>15720</v>
      </c>
      <c r="N726" s="3">
        <v>89.955600000000004</v>
      </c>
      <c r="O726" t="s">
        <v>22</v>
      </c>
      <c r="P726" t="s">
        <v>23</v>
      </c>
      <c r="Q726" t="s">
        <v>24</v>
      </c>
      <c r="R726" t="s">
        <v>25</v>
      </c>
      <c r="S726">
        <v>1</v>
      </c>
    </row>
    <row r="727" spans="1:19" x14ac:dyDescent="0.3">
      <c r="A727" s="1">
        <v>41292</v>
      </c>
      <c r="B727">
        <v>2013</v>
      </c>
      <c r="C727" t="s">
        <v>29</v>
      </c>
      <c r="D727" s="4">
        <v>444584.20699999999</v>
      </c>
      <c r="E727" s="2">
        <v>165000</v>
      </c>
      <c r="F727" t="s">
        <v>36</v>
      </c>
      <c r="G727" t="s">
        <v>37</v>
      </c>
      <c r="H727">
        <v>6</v>
      </c>
      <c r="I727">
        <v>5</v>
      </c>
      <c r="J727">
        <v>1969</v>
      </c>
      <c r="K727" s="5">
        <v>1.020333E-2</v>
      </c>
      <c r="L727" t="s">
        <v>27</v>
      </c>
      <c r="M727" s="4">
        <v>-279584.20699999999</v>
      </c>
      <c r="N727" s="3">
        <v>83.798900000000003</v>
      </c>
      <c r="O727" t="s">
        <v>33</v>
      </c>
      <c r="P727" t="s">
        <v>23</v>
      </c>
      <c r="Q727" t="s">
        <v>34</v>
      </c>
      <c r="R727" t="s">
        <v>25</v>
      </c>
      <c r="S727">
        <v>1</v>
      </c>
    </row>
    <row r="728" spans="1:19" x14ac:dyDescent="0.3">
      <c r="A728" s="1">
        <v>41293</v>
      </c>
      <c r="B728">
        <v>2013</v>
      </c>
      <c r="C728" t="s">
        <v>52</v>
      </c>
      <c r="D728" s="4">
        <v>187400</v>
      </c>
      <c r="E728" s="2">
        <v>3000</v>
      </c>
      <c r="F728" t="s">
        <v>19</v>
      </c>
      <c r="G728" t="s">
        <v>20</v>
      </c>
      <c r="H728">
        <v>3</v>
      </c>
      <c r="I728">
        <v>3</v>
      </c>
      <c r="J728">
        <v>989</v>
      </c>
      <c r="K728" s="5">
        <v>1.020333E-2</v>
      </c>
      <c r="L728" t="s">
        <v>21</v>
      </c>
      <c r="M728" s="4">
        <v>-184400</v>
      </c>
      <c r="N728" s="3">
        <v>3.0333999999999999</v>
      </c>
      <c r="O728" t="s">
        <v>33</v>
      </c>
      <c r="P728" t="s">
        <v>23</v>
      </c>
      <c r="Q728" t="s">
        <v>24</v>
      </c>
      <c r="R728" t="s">
        <v>25</v>
      </c>
      <c r="S728">
        <v>1</v>
      </c>
    </row>
    <row r="729" spans="1:19" x14ac:dyDescent="0.3">
      <c r="A729" s="1">
        <v>41294</v>
      </c>
      <c r="B729">
        <v>2013</v>
      </c>
      <c r="C729" t="s">
        <v>18</v>
      </c>
      <c r="D729" s="4">
        <v>125750</v>
      </c>
      <c r="E729" s="2">
        <v>8500</v>
      </c>
      <c r="F729" t="s">
        <v>36</v>
      </c>
      <c r="G729" t="s">
        <v>37</v>
      </c>
      <c r="H729">
        <v>6</v>
      </c>
      <c r="I729">
        <v>4</v>
      </c>
      <c r="J729">
        <v>1970</v>
      </c>
      <c r="K729" s="5">
        <v>1.020333E-2</v>
      </c>
      <c r="L729" t="s">
        <v>38</v>
      </c>
      <c r="M729" s="4">
        <v>-117250</v>
      </c>
      <c r="N729" s="3">
        <v>4.3147000000000002</v>
      </c>
      <c r="O729" t="s">
        <v>33</v>
      </c>
      <c r="P729" t="s">
        <v>23</v>
      </c>
      <c r="Q729" t="s">
        <v>34</v>
      </c>
      <c r="R729" t="s">
        <v>25</v>
      </c>
      <c r="S729">
        <v>1</v>
      </c>
    </row>
    <row r="730" spans="1:19" x14ac:dyDescent="0.3">
      <c r="A730" s="1">
        <v>41295</v>
      </c>
      <c r="B730">
        <v>2013</v>
      </c>
      <c r="C730" t="s">
        <v>40</v>
      </c>
      <c r="D730" s="4">
        <v>91720</v>
      </c>
      <c r="E730" s="2">
        <v>14900</v>
      </c>
      <c r="F730" t="s">
        <v>36</v>
      </c>
      <c r="G730" t="s">
        <v>37</v>
      </c>
      <c r="H730">
        <v>6</v>
      </c>
      <c r="I730">
        <v>4</v>
      </c>
      <c r="J730">
        <v>1931</v>
      </c>
      <c r="K730" s="5">
        <v>1.020333E-2</v>
      </c>
      <c r="L730" t="s">
        <v>27</v>
      </c>
      <c r="M730" s="4">
        <v>-76820</v>
      </c>
      <c r="N730" s="3">
        <v>7.7161999999999997</v>
      </c>
      <c r="O730" t="s">
        <v>33</v>
      </c>
      <c r="P730" t="s">
        <v>23</v>
      </c>
      <c r="Q730" t="s">
        <v>34</v>
      </c>
      <c r="R730" t="s">
        <v>25</v>
      </c>
      <c r="S730">
        <v>1</v>
      </c>
    </row>
    <row r="731" spans="1:19" x14ac:dyDescent="0.3">
      <c r="A731" s="1">
        <v>41299</v>
      </c>
      <c r="B731">
        <v>2013</v>
      </c>
      <c r="C731" t="s">
        <v>26</v>
      </c>
      <c r="D731" s="4">
        <v>224210</v>
      </c>
      <c r="E731" s="2">
        <v>236700</v>
      </c>
      <c r="F731" t="s">
        <v>19</v>
      </c>
      <c r="G731" t="s">
        <v>20</v>
      </c>
      <c r="H731">
        <v>3</v>
      </c>
      <c r="I731">
        <v>1</v>
      </c>
      <c r="J731">
        <v>962</v>
      </c>
      <c r="K731" s="5">
        <v>1.020333E-2</v>
      </c>
      <c r="L731" t="s">
        <v>32</v>
      </c>
      <c r="M731" s="4">
        <v>12490</v>
      </c>
      <c r="N731" s="3">
        <v>246.04990000000001</v>
      </c>
      <c r="O731" t="s">
        <v>22</v>
      </c>
      <c r="P731" t="s">
        <v>24</v>
      </c>
      <c r="Q731" t="s">
        <v>24</v>
      </c>
      <c r="R731" t="s">
        <v>25</v>
      </c>
      <c r="S731">
        <v>1</v>
      </c>
    </row>
    <row r="732" spans="1:19" x14ac:dyDescent="0.3">
      <c r="A732" s="1">
        <v>41300</v>
      </c>
      <c r="B732">
        <v>2013</v>
      </c>
      <c r="C732" t="s">
        <v>52</v>
      </c>
      <c r="D732" s="4">
        <v>192800</v>
      </c>
      <c r="E732" s="2">
        <v>217000</v>
      </c>
      <c r="F732" t="s">
        <v>19</v>
      </c>
      <c r="G732" t="s">
        <v>20</v>
      </c>
      <c r="H732">
        <v>3</v>
      </c>
      <c r="I732">
        <v>2</v>
      </c>
      <c r="J732">
        <v>1032</v>
      </c>
      <c r="K732" s="5">
        <v>1.020333E-2</v>
      </c>
      <c r="L732" t="s">
        <v>32</v>
      </c>
      <c r="M732" s="4">
        <v>24200</v>
      </c>
      <c r="N732" s="3">
        <v>210.2713</v>
      </c>
      <c r="O732" t="s">
        <v>22</v>
      </c>
      <c r="P732" t="s">
        <v>24</v>
      </c>
      <c r="Q732" t="s">
        <v>24</v>
      </c>
      <c r="R732" t="s">
        <v>25</v>
      </c>
      <c r="S732">
        <v>1</v>
      </c>
    </row>
    <row r="733" spans="1:19" x14ac:dyDescent="0.3">
      <c r="A733" s="1">
        <v>41301</v>
      </c>
      <c r="B733">
        <v>2013</v>
      </c>
      <c r="C733" t="s">
        <v>40</v>
      </c>
      <c r="D733" s="4">
        <v>444584.20699999999</v>
      </c>
      <c r="E733" s="2">
        <v>133000</v>
      </c>
      <c r="F733" t="s">
        <v>30</v>
      </c>
      <c r="G733" t="s">
        <v>31</v>
      </c>
      <c r="H733">
        <v>4</v>
      </c>
      <c r="I733">
        <v>3</v>
      </c>
      <c r="J733">
        <v>1392</v>
      </c>
      <c r="K733" s="5">
        <v>1.020333E-2</v>
      </c>
      <c r="L733" t="s">
        <v>38</v>
      </c>
      <c r="M733" s="4">
        <v>-311584.20699999999</v>
      </c>
      <c r="N733" s="3">
        <v>95.546000000000006</v>
      </c>
      <c r="O733" t="s">
        <v>33</v>
      </c>
      <c r="P733" t="s">
        <v>23</v>
      </c>
      <c r="Q733" t="s">
        <v>34</v>
      </c>
      <c r="R733" t="s">
        <v>25</v>
      </c>
      <c r="S733">
        <v>1</v>
      </c>
    </row>
    <row r="734" spans="1:19" x14ac:dyDescent="0.3">
      <c r="A734" s="1">
        <v>41302</v>
      </c>
      <c r="B734">
        <v>2013</v>
      </c>
      <c r="C734" t="s">
        <v>18</v>
      </c>
      <c r="D734" s="4">
        <v>116220</v>
      </c>
      <c r="E734" s="2">
        <v>106500</v>
      </c>
      <c r="F734" t="s">
        <v>19</v>
      </c>
      <c r="G734" t="s">
        <v>20</v>
      </c>
      <c r="H734">
        <v>3</v>
      </c>
      <c r="I734">
        <v>2</v>
      </c>
      <c r="J734">
        <v>919</v>
      </c>
      <c r="K734" s="5">
        <v>1.020333E-2</v>
      </c>
      <c r="L734" t="s">
        <v>38</v>
      </c>
      <c r="M734" s="4">
        <v>-9720</v>
      </c>
      <c r="N734" s="3">
        <v>115.88679999999999</v>
      </c>
      <c r="O734" t="s">
        <v>33</v>
      </c>
      <c r="P734" t="s">
        <v>23</v>
      </c>
      <c r="Q734" t="s">
        <v>24</v>
      </c>
      <c r="R734" t="s">
        <v>25</v>
      </c>
      <c r="S734">
        <v>1</v>
      </c>
    </row>
    <row r="735" spans="1:19" x14ac:dyDescent="0.3">
      <c r="A735" s="1">
        <v>41305</v>
      </c>
      <c r="B735">
        <v>2013</v>
      </c>
      <c r="C735" t="s">
        <v>29</v>
      </c>
      <c r="D735" s="4">
        <v>175020</v>
      </c>
      <c r="E735" s="2">
        <v>145000</v>
      </c>
      <c r="F735" t="s">
        <v>36</v>
      </c>
      <c r="G735" t="s">
        <v>37</v>
      </c>
      <c r="H735">
        <v>6</v>
      </c>
      <c r="I735">
        <v>4</v>
      </c>
      <c r="J735">
        <v>2082</v>
      </c>
      <c r="K735" s="5">
        <v>1.020333E-2</v>
      </c>
      <c r="L735" t="s">
        <v>21</v>
      </c>
      <c r="M735" s="4">
        <v>-30020</v>
      </c>
      <c r="N735" s="3">
        <v>69.644599999999997</v>
      </c>
      <c r="O735" t="s">
        <v>33</v>
      </c>
      <c r="P735" t="s">
        <v>23</v>
      </c>
      <c r="Q735" t="s">
        <v>34</v>
      </c>
      <c r="R735" t="s">
        <v>25</v>
      </c>
      <c r="S735">
        <v>1</v>
      </c>
    </row>
    <row r="736" spans="1:19" x14ac:dyDescent="0.3">
      <c r="A736" s="1">
        <v>41308</v>
      </c>
      <c r="B736">
        <v>2013</v>
      </c>
      <c r="C736" t="s">
        <v>40</v>
      </c>
      <c r="D736" s="4">
        <v>444584.20699999999</v>
      </c>
      <c r="E736" s="2">
        <v>105000</v>
      </c>
      <c r="F736" t="s">
        <v>19</v>
      </c>
      <c r="G736" t="s">
        <v>20</v>
      </c>
      <c r="H736">
        <v>3</v>
      </c>
      <c r="I736">
        <v>3</v>
      </c>
      <c r="J736">
        <v>957</v>
      </c>
      <c r="K736" s="5">
        <v>1.020333E-2</v>
      </c>
      <c r="L736" t="s">
        <v>32</v>
      </c>
      <c r="M736" s="4">
        <v>-339584.20699999999</v>
      </c>
      <c r="N736" s="3">
        <v>109.7179</v>
      </c>
      <c r="O736" t="s">
        <v>33</v>
      </c>
      <c r="P736" t="s">
        <v>23</v>
      </c>
      <c r="Q736" t="s">
        <v>24</v>
      </c>
      <c r="R736" t="s">
        <v>41</v>
      </c>
      <c r="S736">
        <v>2</v>
      </c>
    </row>
    <row r="737" spans="1:19" x14ac:dyDescent="0.3">
      <c r="A737" s="1">
        <v>41312</v>
      </c>
      <c r="B737">
        <v>2013</v>
      </c>
      <c r="C737" t="s">
        <v>40</v>
      </c>
      <c r="D737" s="4">
        <v>235390</v>
      </c>
      <c r="E737" s="2">
        <v>130000</v>
      </c>
      <c r="F737" t="s">
        <v>42</v>
      </c>
      <c r="G737" t="s">
        <v>43</v>
      </c>
      <c r="H737">
        <v>8</v>
      </c>
      <c r="I737">
        <v>7</v>
      </c>
      <c r="J737">
        <v>1111.6589814177564</v>
      </c>
      <c r="K737" s="5">
        <v>1.020333E-2</v>
      </c>
      <c r="L737" t="s">
        <v>27</v>
      </c>
      <c r="M737" s="4">
        <v>-105390</v>
      </c>
      <c r="N737" s="3">
        <v>116.9423</v>
      </c>
      <c r="O737" t="s">
        <v>33</v>
      </c>
      <c r="P737" t="s">
        <v>23</v>
      </c>
      <c r="Q737" t="s">
        <v>24</v>
      </c>
      <c r="R737" t="s">
        <v>41</v>
      </c>
      <c r="S737">
        <v>2</v>
      </c>
    </row>
    <row r="738" spans="1:19" x14ac:dyDescent="0.3">
      <c r="A738" s="1">
        <v>41315</v>
      </c>
      <c r="B738">
        <v>2013</v>
      </c>
      <c r="C738" t="s">
        <v>52</v>
      </c>
      <c r="D738" s="4">
        <v>248700</v>
      </c>
      <c r="E738" s="2">
        <v>419000</v>
      </c>
      <c r="F738" t="s">
        <v>19</v>
      </c>
      <c r="G738" t="s">
        <v>20</v>
      </c>
      <c r="H738">
        <v>3</v>
      </c>
      <c r="I738">
        <v>3</v>
      </c>
      <c r="J738">
        <v>994</v>
      </c>
      <c r="K738" s="5">
        <v>1.020333E-2</v>
      </c>
      <c r="L738" t="s">
        <v>38</v>
      </c>
      <c r="M738" s="4">
        <v>170300</v>
      </c>
      <c r="N738" s="3">
        <v>421.5292</v>
      </c>
      <c r="O738" t="s">
        <v>22</v>
      </c>
      <c r="P738" t="s">
        <v>24</v>
      </c>
      <c r="Q738" t="s">
        <v>24</v>
      </c>
      <c r="R738" t="s">
        <v>41</v>
      </c>
      <c r="S738">
        <v>2</v>
      </c>
    </row>
    <row r="739" spans="1:19" x14ac:dyDescent="0.3">
      <c r="A739" s="1">
        <v>41320</v>
      </c>
      <c r="B739">
        <v>2013</v>
      </c>
      <c r="C739" t="s">
        <v>52</v>
      </c>
      <c r="D739" s="4">
        <v>181700</v>
      </c>
      <c r="E739" s="2">
        <v>216500</v>
      </c>
      <c r="F739" t="s">
        <v>19</v>
      </c>
      <c r="G739" t="s">
        <v>20</v>
      </c>
      <c r="H739">
        <v>3</v>
      </c>
      <c r="I739">
        <v>3</v>
      </c>
      <c r="J739">
        <v>969</v>
      </c>
      <c r="K739" s="5">
        <v>1.020333E-2</v>
      </c>
      <c r="L739" t="s">
        <v>27</v>
      </c>
      <c r="M739" s="4">
        <v>34800</v>
      </c>
      <c r="N739" s="3">
        <v>223.42619999999999</v>
      </c>
      <c r="O739" t="s">
        <v>22</v>
      </c>
      <c r="P739" t="s">
        <v>24</v>
      </c>
      <c r="Q739" t="s">
        <v>24</v>
      </c>
      <c r="R739" t="s">
        <v>41</v>
      </c>
      <c r="S739">
        <v>2</v>
      </c>
    </row>
    <row r="740" spans="1:19" x14ac:dyDescent="0.3">
      <c r="A740" s="1">
        <v>41322</v>
      </c>
      <c r="B740">
        <v>2013</v>
      </c>
      <c r="C740" t="s">
        <v>29</v>
      </c>
      <c r="D740" s="4">
        <v>160200</v>
      </c>
      <c r="E740" s="2">
        <v>115000</v>
      </c>
      <c r="F740" t="s">
        <v>30</v>
      </c>
      <c r="G740" t="s">
        <v>31</v>
      </c>
      <c r="H740">
        <v>4</v>
      </c>
      <c r="I740">
        <v>3</v>
      </c>
      <c r="J740">
        <v>1475</v>
      </c>
      <c r="K740" s="5">
        <v>1.020333E-2</v>
      </c>
      <c r="L740" t="s">
        <v>32</v>
      </c>
      <c r="M740" s="4">
        <v>-45200</v>
      </c>
      <c r="N740" s="3">
        <v>77.966099999999997</v>
      </c>
      <c r="O740" t="s">
        <v>33</v>
      </c>
      <c r="P740" t="s">
        <v>23</v>
      </c>
      <c r="Q740" t="s">
        <v>34</v>
      </c>
      <c r="R740" t="s">
        <v>41</v>
      </c>
      <c r="S740">
        <v>2</v>
      </c>
    </row>
    <row r="741" spans="1:19" x14ac:dyDescent="0.3">
      <c r="A741" s="1">
        <v>41323</v>
      </c>
      <c r="B741">
        <v>2013</v>
      </c>
      <c r="C741" t="s">
        <v>26</v>
      </c>
      <c r="D741" s="4">
        <v>314720</v>
      </c>
      <c r="E741" s="2">
        <v>310000</v>
      </c>
      <c r="F741" t="s">
        <v>19</v>
      </c>
      <c r="G741" t="s">
        <v>20</v>
      </c>
      <c r="H741">
        <v>3</v>
      </c>
      <c r="I741">
        <v>1</v>
      </c>
      <c r="J741">
        <v>951</v>
      </c>
      <c r="K741" s="5">
        <v>1.020333E-2</v>
      </c>
      <c r="L741" t="s">
        <v>27</v>
      </c>
      <c r="M741" s="4">
        <v>-4720</v>
      </c>
      <c r="N741" s="3">
        <v>325.97269999999997</v>
      </c>
      <c r="O741" t="s">
        <v>33</v>
      </c>
      <c r="P741" t="s">
        <v>24</v>
      </c>
      <c r="Q741" t="s">
        <v>24</v>
      </c>
      <c r="R741" t="s">
        <v>41</v>
      </c>
      <c r="S741">
        <v>2</v>
      </c>
    </row>
    <row r="742" spans="1:19" x14ac:dyDescent="0.3">
      <c r="A742" s="1">
        <v>41327</v>
      </c>
      <c r="B742">
        <v>2013</v>
      </c>
      <c r="C742" t="s">
        <v>18</v>
      </c>
      <c r="D742" s="4">
        <v>127650</v>
      </c>
      <c r="E742" s="2">
        <v>31077</v>
      </c>
      <c r="F742" t="s">
        <v>19</v>
      </c>
      <c r="G742" t="s">
        <v>20</v>
      </c>
      <c r="H742">
        <v>3</v>
      </c>
      <c r="I742">
        <v>3</v>
      </c>
      <c r="J742">
        <v>965</v>
      </c>
      <c r="K742" s="5">
        <v>1.020333E-2</v>
      </c>
      <c r="L742" t="s">
        <v>21</v>
      </c>
      <c r="M742" s="4">
        <v>-96573</v>
      </c>
      <c r="N742" s="3">
        <v>32.204099999999997</v>
      </c>
      <c r="O742" t="s">
        <v>33</v>
      </c>
      <c r="P742" t="s">
        <v>23</v>
      </c>
      <c r="Q742" t="s">
        <v>24</v>
      </c>
      <c r="R742" t="s">
        <v>41</v>
      </c>
      <c r="S742">
        <v>2</v>
      </c>
    </row>
    <row r="743" spans="1:19" x14ac:dyDescent="0.3">
      <c r="A743" s="1">
        <v>41329</v>
      </c>
      <c r="B743">
        <v>2013</v>
      </c>
      <c r="C743" t="s">
        <v>26</v>
      </c>
      <c r="D743" s="4">
        <v>472710</v>
      </c>
      <c r="E743" s="2">
        <v>601000</v>
      </c>
      <c r="F743" t="s">
        <v>19</v>
      </c>
      <c r="G743" t="s">
        <v>20</v>
      </c>
      <c r="H743">
        <v>3</v>
      </c>
      <c r="I743">
        <v>1</v>
      </c>
      <c r="J743">
        <v>1047</v>
      </c>
      <c r="K743" s="5">
        <v>1.020333E-2</v>
      </c>
      <c r="L743" t="s">
        <v>21</v>
      </c>
      <c r="M743" s="4">
        <v>128290</v>
      </c>
      <c r="N743" s="3">
        <v>574.02099999999996</v>
      </c>
      <c r="O743" t="s">
        <v>22</v>
      </c>
      <c r="P743" t="s">
        <v>28</v>
      </c>
      <c r="Q743" t="s">
        <v>24</v>
      </c>
      <c r="R743" t="s">
        <v>41</v>
      </c>
      <c r="S743">
        <v>2</v>
      </c>
    </row>
    <row r="744" spans="1:19" x14ac:dyDescent="0.3">
      <c r="A744" s="1">
        <v>41333</v>
      </c>
      <c r="B744">
        <v>2013</v>
      </c>
      <c r="C744" t="s">
        <v>29</v>
      </c>
      <c r="D744" s="4">
        <v>211200</v>
      </c>
      <c r="E744" s="2">
        <v>100000</v>
      </c>
      <c r="F744" t="s">
        <v>36</v>
      </c>
      <c r="G744" t="s">
        <v>37</v>
      </c>
      <c r="H744">
        <v>6</v>
      </c>
      <c r="I744">
        <v>6</v>
      </c>
      <c r="J744">
        <v>1111.6589814177564</v>
      </c>
      <c r="K744" s="5">
        <v>1.020333E-2</v>
      </c>
      <c r="L744" t="s">
        <v>27</v>
      </c>
      <c r="M744" s="4">
        <v>-111200</v>
      </c>
      <c r="N744" s="3">
        <v>89.955600000000004</v>
      </c>
      <c r="O744" t="s">
        <v>33</v>
      </c>
      <c r="P744" t="s">
        <v>23</v>
      </c>
      <c r="Q744" t="s">
        <v>24</v>
      </c>
      <c r="R744" t="s">
        <v>41</v>
      </c>
      <c r="S744">
        <v>2</v>
      </c>
    </row>
    <row r="745" spans="1:19" x14ac:dyDescent="0.3">
      <c r="A745" s="1">
        <v>41334</v>
      </c>
      <c r="B745">
        <v>2013</v>
      </c>
      <c r="C745" t="s">
        <v>18</v>
      </c>
      <c r="D745" s="4">
        <v>116770</v>
      </c>
      <c r="E745" s="2">
        <v>145900</v>
      </c>
      <c r="F745" t="s">
        <v>19</v>
      </c>
      <c r="G745" t="s">
        <v>20</v>
      </c>
      <c r="H745">
        <v>3</v>
      </c>
      <c r="I745">
        <v>1</v>
      </c>
      <c r="J745">
        <v>1045</v>
      </c>
      <c r="K745" s="5">
        <v>1.020333E-2</v>
      </c>
      <c r="L745" t="s">
        <v>27</v>
      </c>
      <c r="M745" s="4">
        <v>29130</v>
      </c>
      <c r="N745" s="3">
        <v>139.6172</v>
      </c>
      <c r="O745" t="s">
        <v>22</v>
      </c>
      <c r="P745" t="s">
        <v>23</v>
      </c>
      <c r="Q745" t="s">
        <v>24</v>
      </c>
      <c r="R745" t="s">
        <v>44</v>
      </c>
      <c r="S745">
        <v>3</v>
      </c>
    </row>
    <row r="746" spans="1:19" x14ac:dyDescent="0.3">
      <c r="A746" s="1">
        <v>41335</v>
      </c>
      <c r="B746">
        <v>2013</v>
      </c>
      <c r="C746" t="s">
        <v>29</v>
      </c>
      <c r="D746" s="4">
        <v>117690</v>
      </c>
      <c r="E746" s="2">
        <v>177000</v>
      </c>
      <c r="F746" t="s">
        <v>19</v>
      </c>
      <c r="G746" t="s">
        <v>20</v>
      </c>
      <c r="H746">
        <v>3</v>
      </c>
      <c r="I746">
        <v>2</v>
      </c>
      <c r="J746">
        <v>1017</v>
      </c>
      <c r="K746" s="5">
        <v>1.020333E-2</v>
      </c>
      <c r="L746" t="s">
        <v>21</v>
      </c>
      <c r="M746" s="4">
        <v>59310</v>
      </c>
      <c r="N746" s="3">
        <v>174.04130000000001</v>
      </c>
      <c r="O746" t="s">
        <v>22</v>
      </c>
      <c r="P746" t="s">
        <v>23</v>
      </c>
      <c r="Q746" t="s">
        <v>24</v>
      </c>
      <c r="R746" t="s">
        <v>44</v>
      </c>
      <c r="S746">
        <v>3</v>
      </c>
    </row>
    <row r="747" spans="1:19" x14ac:dyDescent="0.3">
      <c r="A747" s="1">
        <v>41337</v>
      </c>
      <c r="B747">
        <v>2013</v>
      </c>
      <c r="C747" t="s">
        <v>40</v>
      </c>
      <c r="D747" s="4">
        <v>138740</v>
      </c>
      <c r="E747" s="2">
        <v>4500</v>
      </c>
      <c r="F747" t="s">
        <v>19</v>
      </c>
      <c r="G747" t="s">
        <v>20</v>
      </c>
      <c r="H747">
        <v>3</v>
      </c>
      <c r="I747">
        <v>3</v>
      </c>
      <c r="J747">
        <v>910</v>
      </c>
      <c r="K747" s="5">
        <v>1.020333E-2</v>
      </c>
      <c r="L747" t="s">
        <v>21</v>
      </c>
      <c r="M747" s="4">
        <v>-134240</v>
      </c>
      <c r="N747" s="3">
        <v>4.9451000000000001</v>
      </c>
      <c r="O747" t="s">
        <v>33</v>
      </c>
      <c r="P747" t="s">
        <v>23</v>
      </c>
      <c r="Q747" t="s">
        <v>24</v>
      </c>
      <c r="R747" t="s">
        <v>44</v>
      </c>
      <c r="S747">
        <v>3</v>
      </c>
    </row>
    <row r="748" spans="1:19" x14ac:dyDescent="0.3">
      <c r="A748" s="1">
        <v>41342</v>
      </c>
      <c r="B748">
        <v>2013</v>
      </c>
      <c r="C748" t="s">
        <v>26</v>
      </c>
      <c r="D748" s="4">
        <v>407680</v>
      </c>
      <c r="E748" s="2">
        <v>597500</v>
      </c>
      <c r="F748" t="s">
        <v>19</v>
      </c>
      <c r="G748" t="s">
        <v>20</v>
      </c>
      <c r="H748">
        <v>3</v>
      </c>
      <c r="I748">
        <v>3</v>
      </c>
      <c r="J748">
        <v>1078</v>
      </c>
      <c r="K748" s="5">
        <v>1.020333E-2</v>
      </c>
      <c r="L748" t="s">
        <v>27</v>
      </c>
      <c r="M748" s="4">
        <v>189820</v>
      </c>
      <c r="N748" s="3">
        <v>554.2672</v>
      </c>
      <c r="O748" t="s">
        <v>22</v>
      </c>
      <c r="P748" t="s">
        <v>24</v>
      </c>
      <c r="Q748" t="s">
        <v>24</v>
      </c>
      <c r="R748" t="s">
        <v>44</v>
      </c>
      <c r="S748">
        <v>3</v>
      </c>
    </row>
    <row r="749" spans="1:19" x14ac:dyDescent="0.3">
      <c r="A749" s="1">
        <v>41347</v>
      </c>
      <c r="B749">
        <v>2013</v>
      </c>
      <c r="C749" t="s">
        <v>29</v>
      </c>
      <c r="D749" s="4">
        <v>208570</v>
      </c>
      <c r="E749" s="2">
        <v>170000</v>
      </c>
      <c r="F749" t="s">
        <v>19</v>
      </c>
      <c r="G749" t="s">
        <v>20</v>
      </c>
      <c r="H749">
        <v>3</v>
      </c>
      <c r="I749">
        <v>3</v>
      </c>
      <c r="J749">
        <v>1111.6589814177564</v>
      </c>
      <c r="K749" s="5">
        <v>1.020333E-2</v>
      </c>
      <c r="L749" t="s">
        <v>27</v>
      </c>
      <c r="M749" s="4">
        <v>-38570</v>
      </c>
      <c r="N749" s="3">
        <v>152.9246</v>
      </c>
      <c r="O749" t="s">
        <v>33</v>
      </c>
      <c r="P749" t="s">
        <v>23</v>
      </c>
      <c r="Q749" t="s">
        <v>24</v>
      </c>
      <c r="R749" t="s">
        <v>44</v>
      </c>
      <c r="S749">
        <v>3</v>
      </c>
    </row>
    <row r="750" spans="1:19" x14ac:dyDescent="0.3">
      <c r="A750" s="1">
        <v>41348</v>
      </c>
      <c r="B750">
        <v>2013</v>
      </c>
      <c r="C750" t="s">
        <v>56</v>
      </c>
      <c r="D750" s="4">
        <v>516410</v>
      </c>
      <c r="E750" s="2">
        <v>500050</v>
      </c>
      <c r="F750" t="s">
        <v>19</v>
      </c>
      <c r="G750" t="s">
        <v>20</v>
      </c>
      <c r="H750">
        <v>3</v>
      </c>
      <c r="I750">
        <v>3</v>
      </c>
      <c r="J750">
        <v>1095</v>
      </c>
      <c r="K750" s="5">
        <v>1.020333E-2</v>
      </c>
      <c r="L750" t="s">
        <v>32</v>
      </c>
      <c r="M750" s="4">
        <v>-16360</v>
      </c>
      <c r="N750" s="3">
        <v>456.66669999999999</v>
      </c>
      <c r="O750" t="s">
        <v>33</v>
      </c>
      <c r="P750" t="s">
        <v>24</v>
      </c>
      <c r="Q750" t="s">
        <v>24</v>
      </c>
      <c r="R750" t="s">
        <v>44</v>
      </c>
      <c r="S750">
        <v>3</v>
      </c>
    </row>
    <row r="751" spans="1:19" x14ac:dyDescent="0.3">
      <c r="A751" s="1">
        <v>41350</v>
      </c>
      <c r="B751">
        <v>2013</v>
      </c>
      <c r="C751" t="s">
        <v>29</v>
      </c>
      <c r="D751" s="4">
        <v>104140</v>
      </c>
      <c r="E751" s="2">
        <v>31000</v>
      </c>
      <c r="F751" t="s">
        <v>19</v>
      </c>
      <c r="G751" t="s">
        <v>20</v>
      </c>
      <c r="H751">
        <v>3</v>
      </c>
      <c r="I751">
        <v>2</v>
      </c>
      <c r="J751">
        <v>1061</v>
      </c>
      <c r="K751" s="5">
        <v>1.020333E-2</v>
      </c>
      <c r="L751" t="s">
        <v>27</v>
      </c>
      <c r="M751" s="4">
        <v>-73140</v>
      </c>
      <c r="N751" s="3">
        <v>29.217700000000001</v>
      </c>
      <c r="O751" t="s">
        <v>33</v>
      </c>
      <c r="P751" t="s">
        <v>23</v>
      </c>
      <c r="Q751" t="s">
        <v>24</v>
      </c>
      <c r="R751" t="s">
        <v>44</v>
      </c>
      <c r="S751">
        <v>3</v>
      </c>
    </row>
    <row r="752" spans="1:19" x14ac:dyDescent="0.3">
      <c r="A752" s="1">
        <v>41354</v>
      </c>
      <c r="B752">
        <v>2013</v>
      </c>
      <c r="C752" t="s">
        <v>56</v>
      </c>
      <c r="D752" s="4">
        <v>297420</v>
      </c>
      <c r="E752" s="2">
        <v>264500</v>
      </c>
      <c r="F752" t="s">
        <v>19</v>
      </c>
      <c r="G752" t="s">
        <v>20</v>
      </c>
      <c r="H752">
        <v>3</v>
      </c>
      <c r="I752">
        <v>3</v>
      </c>
      <c r="J752">
        <v>1027</v>
      </c>
      <c r="K752" s="5">
        <v>1.020333E-2</v>
      </c>
      <c r="L752" t="s">
        <v>38</v>
      </c>
      <c r="M752" s="4">
        <v>-32920</v>
      </c>
      <c r="N752" s="3">
        <v>257.54629999999997</v>
      </c>
      <c r="O752" t="s">
        <v>33</v>
      </c>
      <c r="P752" t="s">
        <v>24</v>
      </c>
      <c r="Q752" t="s">
        <v>24</v>
      </c>
      <c r="R752" t="s">
        <v>44</v>
      </c>
      <c r="S752">
        <v>3</v>
      </c>
    </row>
    <row r="753" spans="1:19" x14ac:dyDescent="0.3">
      <c r="A753" s="1">
        <v>41356</v>
      </c>
      <c r="B753">
        <v>2013</v>
      </c>
      <c r="C753" t="s">
        <v>29</v>
      </c>
      <c r="D753" s="4">
        <v>183090</v>
      </c>
      <c r="E753" s="2">
        <v>68990</v>
      </c>
      <c r="F753" t="s">
        <v>30</v>
      </c>
      <c r="G753" t="s">
        <v>31</v>
      </c>
      <c r="H753">
        <v>4</v>
      </c>
      <c r="I753">
        <v>4</v>
      </c>
      <c r="J753">
        <v>1429</v>
      </c>
      <c r="K753" s="5">
        <v>1.020333E-2</v>
      </c>
      <c r="L753" t="s">
        <v>32</v>
      </c>
      <c r="M753" s="4">
        <v>-114100</v>
      </c>
      <c r="N753" s="3">
        <v>48.278500000000001</v>
      </c>
      <c r="O753" t="s">
        <v>33</v>
      </c>
      <c r="P753" t="s">
        <v>23</v>
      </c>
      <c r="Q753" t="s">
        <v>34</v>
      </c>
      <c r="R753" t="s">
        <v>44</v>
      </c>
      <c r="S753">
        <v>3</v>
      </c>
    </row>
    <row r="754" spans="1:19" x14ac:dyDescent="0.3">
      <c r="A754" s="1">
        <v>41357</v>
      </c>
      <c r="B754">
        <v>2013</v>
      </c>
      <c r="C754" t="s">
        <v>18</v>
      </c>
      <c r="D754" s="4">
        <v>150540</v>
      </c>
      <c r="E754" s="2">
        <v>22236</v>
      </c>
      <c r="F754" t="s">
        <v>42</v>
      </c>
      <c r="G754" t="s">
        <v>43</v>
      </c>
      <c r="H754">
        <v>8</v>
      </c>
      <c r="I754">
        <v>8</v>
      </c>
      <c r="J754">
        <v>2678</v>
      </c>
      <c r="K754" s="5">
        <v>1.020333E-2</v>
      </c>
      <c r="L754" t="s">
        <v>21</v>
      </c>
      <c r="M754" s="4">
        <v>-128304</v>
      </c>
      <c r="N754" s="3">
        <v>8.3032000000000004</v>
      </c>
      <c r="O754" t="s">
        <v>33</v>
      </c>
      <c r="P754" t="s">
        <v>23</v>
      </c>
      <c r="Q754" t="s">
        <v>34</v>
      </c>
      <c r="R754" t="s">
        <v>44</v>
      </c>
      <c r="S754">
        <v>3</v>
      </c>
    </row>
    <row r="755" spans="1:19" x14ac:dyDescent="0.3">
      <c r="A755" s="1">
        <v>41361</v>
      </c>
      <c r="B755">
        <v>2013</v>
      </c>
      <c r="C755" t="s">
        <v>52</v>
      </c>
      <c r="D755" s="4">
        <v>253700</v>
      </c>
      <c r="E755" s="2">
        <v>315000</v>
      </c>
      <c r="F755" t="s">
        <v>19</v>
      </c>
      <c r="G755" t="s">
        <v>20</v>
      </c>
      <c r="H755">
        <v>3</v>
      </c>
      <c r="I755">
        <v>3</v>
      </c>
      <c r="J755">
        <v>1111.6589814177564</v>
      </c>
      <c r="K755" s="5">
        <v>1.020333E-2</v>
      </c>
      <c r="L755" t="s">
        <v>21</v>
      </c>
      <c r="M755" s="4">
        <v>61300</v>
      </c>
      <c r="N755" s="3">
        <v>283.3603</v>
      </c>
      <c r="O755" t="s">
        <v>22</v>
      </c>
      <c r="P755" t="s">
        <v>24</v>
      </c>
      <c r="Q755" t="s">
        <v>24</v>
      </c>
      <c r="R755" t="s">
        <v>44</v>
      </c>
      <c r="S755">
        <v>3</v>
      </c>
    </row>
    <row r="756" spans="1:19" x14ac:dyDescent="0.3">
      <c r="A756" s="1">
        <v>41364</v>
      </c>
      <c r="B756">
        <v>2013</v>
      </c>
      <c r="C756" t="s">
        <v>40</v>
      </c>
      <c r="D756" s="4">
        <v>134350</v>
      </c>
      <c r="E756" s="2">
        <v>178000</v>
      </c>
      <c r="F756" t="s">
        <v>30</v>
      </c>
      <c r="G756" t="s">
        <v>31</v>
      </c>
      <c r="H756">
        <v>4</v>
      </c>
      <c r="I756">
        <v>4</v>
      </c>
      <c r="J756">
        <v>1484</v>
      </c>
      <c r="K756" s="5">
        <v>1.020333E-2</v>
      </c>
      <c r="L756" t="s">
        <v>21</v>
      </c>
      <c r="M756" s="4">
        <v>43650</v>
      </c>
      <c r="N756" s="3">
        <v>119.9461</v>
      </c>
      <c r="O756" t="s">
        <v>22</v>
      </c>
      <c r="P756" t="s">
        <v>23</v>
      </c>
      <c r="Q756" t="s">
        <v>34</v>
      </c>
      <c r="R756" t="s">
        <v>44</v>
      </c>
      <c r="S756">
        <v>3</v>
      </c>
    </row>
    <row r="757" spans="1:19" x14ac:dyDescent="0.3">
      <c r="A757" s="1">
        <v>41369</v>
      </c>
      <c r="B757">
        <v>2013</v>
      </c>
      <c r="C757" t="s">
        <v>40</v>
      </c>
      <c r="D757" s="4">
        <v>444584.20699999999</v>
      </c>
      <c r="E757" s="2">
        <v>152300</v>
      </c>
      <c r="F757" t="s">
        <v>19</v>
      </c>
      <c r="G757" t="s">
        <v>20</v>
      </c>
      <c r="H757">
        <v>3</v>
      </c>
      <c r="I757">
        <v>3</v>
      </c>
      <c r="J757">
        <v>1017</v>
      </c>
      <c r="K757" s="5">
        <v>1.020333E-2</v>
      </c>
      <c r="L757" t="s">
        <v>27</v>
      </c>
      <c r="M757" s="4">
        <v>-292284.20699999999</v>
      </c>
      <c r="N757" s="3">
        <v>149.7542</v>
      </c>
      <c r="O757" t="s">
        <v>33</v>
      </c>
      <c r="P757" t="s">
        <v>23</v>
      </c>
      <c r="Q757" t="s">
        <v>24</v>
      </c>
      <c r="R757" t="s">
        <v>45</v>
      </c>
      <c r="S757">
        <v>4</v>
      </c>
    </row>
    <row r="758" spans="1:19" x14ac:dyDescent="0.3">
      <c r="A758" s="1">
        <v>41372</v>
      </c>
      <c r="B758">
        <v>2013</v>
      </c>
      <c r="C758" t="s">
        <v>18</v>
      </c>
      <c r="D758" s="4">
        <v>159310</v>
      </c>
      <c r="E758" s="2">
        <v>117500</v>
      </c>
      <c r="F758" t="s">
        <v>30</v>
      </c>
      <c r="G758" t="s">
        <v>31</v>
      </c>
      <c r="H758">
        <v>4</v>
      </c>
      <c r="I758">
        <v>4</v>
      </c>
      <c r="J758">
        <v>1326</v>
      </c>
      <c r="K758" s="5">
        <v>1.020333E-2</v>
      </c>
      <c r="L758" t="s">
        <v>21</v>
      </c>
      <c r="M758" s="4">
        <v>-41810</v>
      </c>
      <c r="N758" s="3">
        <v>88.612399999999994</v>
      </c>
      <c r="O758" t="s">
        <v>33</v>
      </c>
      <c r="P758" t="s">
        <v>23</v>
      </c>
      <c r="Q758" t="s">
        <v>34</v>
      </c>
      <c r="R758" t="s">
        <v>45</v>
      </c>
      <c r="S758">
        <v>4</v>
      </c>
    </row>
    <row r="759" spans="1:19" x14ac:dyDescent="0.3">
      <c r="A759" s="1">
        <v>41375</v>
      </c>
      <c r="B759">
        <v>2013</v>
      </c>
      <c r="C759" t="s">
        <v>29</v>
      </c>
      <c r="D759" s="4">
        <v>175820</v>
      </c>
      <c r="E759" s="2">
        <v>136000</v>
      </c>
      <c r="F759" t="s">
        <v>19</v>
      </c>
      <c r="G759" t="s">
        <v>20</v>
      </c>
      <c r="H759">
        <v>3</v>
      </c>
      <c r="I759">
        <v>2</v>
      </c>
      <c r="J759">
        <v>915</v>
      </c>
      <c r="K759" s="5">
        <v>1.020333E-2</v>
      </c>
      <c r="L759" t="s">
        <v>38</v>
      </c>
      <c r="M759" s="4">
        <v>-39820</v>
      </c>
      <c r="N759" s="3">
        <v>148.63390000000001</v>
      </c>
      <c r="O759" t="s">
        <v>33</v>
      </c>
      <c r="P759" t="s">
        <v>23</v>
      </c>
      <c r="Q759" t="s">
        <v>24</v>
      </c>
      <c r="R759" t="s">
        <v>45</v>
      </c>
      <c r="S759">
        <v>4</v>
      </c>
    </row>
    <row r="760" spans="1:19" x14ac:dyDescent="0.3">
      <c r="A760" s="1">
        <v>41376</v>
      </c>
      <c r="B760">
        <v>2013</v>
      </c>
      <c r="C760" t="s">
        <v>40</v>
      </c>
      <c r="D760" s="4">
        <v>444584.20699999999</v>
      </c>
      <c r="E760" s="2">
        <v>535000</v>
      </c>
      <c r="F760" t="s">
        <v>19</v>
      </c>
      <c r="G760" t="s">
        <v>20</v>
      </c>
      <c r="H760">
        <v>3</v>
      </c>
      <c r="I760">
        <v>2</v>
      </c>
      <c r="J760">
        <v>937</v>
      </c>
      <c r="K760" s="5">
        <v>1.020333E-2</v>
      </c>
      <c r="L760" t="s">
        <v>27</v>
      </c>
      <c r="M760" s="4">
        <v>90415.793000000005</v>
      </c>
      <c r="N760" s="3">
        <v>570.97119999999995</v>
      </c>
      <c r="O760" t="s">
        <v>22</v>
      </c>
      <c r="P760" t="s">
        <v>24</v>
      </c>
      <c r="Q760" t="s">
        <v>24</v>
      </c>
      <c r="R760" t="s">
        <v>45</v>
      </c>
      <c r="S760">
        <v>4</v>
      </c>
    </row>
    <row r="761" spans="1:19" x14ac:dyDescent="0.3">
      <c r="A761" s="1">
        <v>41377</v>
      </c>
      <c r="B761">
        <v>2013</v>
      </c>
      <c r="C761" t="s">
        <v>56</v>
      </c>
      <c r="D761" s="4">
        <v>1548630</v>
      </c>
      <c r="E761" s="2">
        <v>1695000</v>
      </c>
      <c r="F761" t="s">
        <v>19</v>
      </c>
      <c r="G761" t="s">
        <v>20</v>
      </c>
      <c r="H761">
        <v>3</v>
      </c>
      <c r="I761">
        <v>3</v>
      </c>
      <c r="J761">
        <v>1094</v>
      </c>
      <c r="K761" s="5">
        <v>1.020333E-2</v>
      </c>
      <c r="L761" t="s">
        <v>21</v>
      </c>
      <c r="M761" s="4">
        <v>146370</v>
      </c>
      <c r="N761" s="3">
        <v>1549.3601000000001</v>
      </c>
      <c r="O761" t="s">
        <v>22</v>
      </c>
      <c r="P761" t="s">
        <v>28</v>
      </c>
      <c r="Q761" t="s">
        <v>24</v>
      </c>
      <c r="R761" t="s">
        <v>45</v>
      </c>
      <c r="S761">
        <v>4</v>
      </c>
    </row>
    <row r="762" spans="1:19" x14ac:dyDescent="0.3">
      <c r="A762" s="1">
        <v>41378</v>
      </c>
      <c r="B762">
        <v>2013</v>
      </c>
      <c r="C762" t="s">
        <v>29</v>
      </c>
      <c r="D762" s="4">
        <v>106040</v>
      </c>
      <c r="E762" s="2">
        <v>63000</v>
      </c>
      <c r="F762" t="s">
        <v>19</v>
      </c>
      <c r="G762" t="s">
        <v>20</v>
      </c>
      <c r="H762">
        <v>3</v>
      </c>
      <c r="I762">
        <v>1</v>
      </c>
      <c r="J762">
        <v>999</v>
      </c>
      <c r="K762" s="5">
        <v>1.020333E-2</v>
      </c>
      <c r="L762" t="s">
        <v>38</v>
      </c>
      <c r="M762" s="4">
        <v>-43040</v>
      </c>
      <c r="N762" s="3">
        <v>63.063099999999999</v>
      </c>
      <c r="O762" t="s">
        <v>33</v>
      </c>
      <c r="P762" t="s">
        <v>23</v>
      </c>
      <c r="Q762" t="s">
        <v>24</v>
      </c>
      <c r="R762" t="s">
        <v>45</v>
      </c>
      <c r="S762">
        <v>4</v>
      </c>
    </row>
    <row r="763" spans="1:19" x14ac:dyDescent="0.3">
      <c r="A763" s="1">
        <v>41382</v>
      </c>
      <c r="B763">
        <v>2013</v>
      </c>
      <c r="C763" t="s">
        <v>18</v>
      </c>
      <c r="D763" s="4">
        <v>92670</v>
      </c>
      <c r="E763" s="2">
        <v>48000</v>
      </c>
      <c r="F763" t="s">
        <v>19</v>
      </c>
      <c r="G763" t="s">
        <v>20</v>
      </c>
      <c r="H763">
        <v>3</v>
      </c>
      <c r="I763">
        <v>2</v>
      </c>
      <c r="J763">
        <v>972</v>
      </c>
      <c r="K763" s="5">
        <v>1.020333E-2</v>
      </c>
      <c r="L763" t="s">
        <v>27</v>
      </c>
      <c r="M763" s="4">
        <v>-44670</v>
      </c>
      <c r="N763" s="3">
        <v>49.3827</v>
      </c>
      <c r="O763" t="s">
        <v>33</v>
      </c>
      <c r="P763" t="s">
        <v>23</v>
      </c>
      <c r="Q763" t="s">
        <v>24</v>
      </c>
      <c r="R763" t="s">
        <v>45</v>
      </c>
      <c r="S763">
        <v>4</v>
      </c>
    </row>
    <row r="764" spans="1:19" x14ac:dyDescent="0.3">
      <c r="A764" s="1">
        <v>41383</v>
      </c>
      <c r="B764">
        <v>2013</v>
      </c>
      <c r="C764" t="s">
        <v>18</v>
      </c>
      <c r="D764" s="4">
        <v>444584.20699999999</v>
      </c>
      <c r="E764" s="2">
        <v>2000</v>
      </c>
      <c r="F764" t="s">
        <v>30</v>
      </c>
      <c r="G764" t="s">
        <v>31</v>
      </c>
      <c r="H764">
        <v>4</v>
      </c>
      <c r="I764">
        <v>4</v>
      </c>
      <c r="J764">
        <v>1474</v>
      </c>
      <c r="K764" s="5">
        <v>1.020333E-2</v>
      </c>
      <c r="L764" t="s">
        <v>38</v>
      </c>
      <c r="M764" s="4">
        <v>-442584.20699999999</v>
      </c>
      <c r="N764" s="3">
        <v>1.3569</v>
      </c>
      <c r="O764" t="s">
        <v>33</v>
      </c>
      <c r="P764" t="s">
        <v>23</v>
      </c>
      <c r="Q764" t="s">
        <v>34</v>
      </c>
      <c r="R764" t="s">
        <v>45</v>
      </c>
      <c r="S764">
        <v>4</v>
      </c>
    </row>
    <row r="765" spans="1:19" x14ac:dyDescent="0.3">
      <c r="A765" s="1">
        <v>41384</v>
      </c>
      <c r="B765">
        <v>2013</v>
      </c>
      <c r="C765" t="s">
        <v>29</v>
      </c>
      <c r="D765" s="4">
        <v>170250</v>
      </c>
      <c r="E765" s="2">
        <v>120000</v>
      </c>
      <c r="F765" t="s">
        <v>30</v>
      </c>
      <c r="G765" t="s">
        <v>31</v>
      </c>
      <c r="H765">
        <v>4</v>
      </c>
      <c r="I765">
        <v>2</v>
      </c>
      <c r="J765">
        <v>1111.6589814177564</v>
      </c>
      <c r="K765" s="5">
        <v>1.020333E-2</v>
      </c>
      <c r="L765" t="s">
        <v>21</v>
      </c>
      <c r="M765" s="4">
        <v>-50250</v>
      </c>
      <c r="N765" s="3">
        <v>107.9468</v>
      </c>
      <c r="O765" t="s">
        <v>33</v>
      </c>
      <c r="P765" t="s">
        <v>23</v>
      </c>
      <c r="Q765" t="s">
        <v>24</v>
      </c>
      <c r="R765" t="s">
        <v>45</v>
      </c>
      <c r="S765">
        <v>4</v>
      </c>
    </row>
    <row r="766" spans="1:19" x14ac:dyDescent="0.3">
      <c r="A766" s="1">
        <v>41385</v>
      </c>
      <c r="B766">
        <v>2013</v>
      </c>
      <c r="C766" t="s">
        <v>29</v>
      </c>
      <c r="D766" s="4">
        <v>149570</v>
      </c>
      <c r="E766" s="2">
        <v>208000</v>
      </c>
      <c r="F766" t="s">
        <v>30</v>
      </c>
      <c r="G766" t="s">
        <v>31</v>
      </c>
      <c r="H766">
        <v>4</v>
      </c>
      <c r="I766">
        <v>3</v>
      </c>
      <c r="J766">
        <v>1111.6589814177564</v>
      </c>
      <c r="K766" s="5">
        <v>1.020333E-2</v>
      </c>
      <c r="L766" t="s">
        <v>21</v>
      </c>
      <c r="M766" s="4">
        <v>58430</v>
      </c>
      <c r="N766" s="3">
        <v>187.10769999999999</v>
      </c>
      <c r="O766" t="s">
        <v>22</v>
      </c>
      <c r="P766" t="s">
        <v>24</v>
      </c>
      <c r="Q766" t="s">
        <v>24</v>
      </c>
      <c r="R766" t="s">
        <v>45</v>
      </c>
      <c r="S766">
        <v>4</v>
      </c>
    </row>
    <row r="767" spans="1:19" x14ac:dyDescent="0.3">
      <c r="A767" s="1">
        <v>41389</v>
      </c>
      <c r="B767">
        <v>2013</v>
      </c>
      <c r="C767" t="s">
        <v>29</v>
      </c>
      <c r="D767" s="4">
        <v>444584.20699999999</v>
      </c>
      <c r="E767" s="2">
        <v>150000</v>
      </c>
      <c r="F767" t="s">
        <v>19</v>
      </c>
      <c r="G767" t="s">
        <v>20</v>
      </c>
      <c r="H767">
        <v>3</v>
      </c>
      <c r="I767">
        <v>2</v>
      </c>
      <c r="J767">
        <v>967</v>
      </c>
      <c r="K767" s="5">
        <v>1.020333E-2</v>
      </c>
      <c r="L767" t="s">
        <v>21</v>
      </c>
      <c r="M767" s="4">
        <v>-294584.20699999999</v>
      </c>
      <c r="N767" s="3">
        <v>155.1189</v>
      </c>
      <c r="O767" t="s">
        <v>33</v>
      </c>
      <c r="P767" t="s">
        <v>23</v>
      </c>
      <c r="Q767" t="s">
        <v>24</v>
      </c>
      <c r="R767" t="s">
        <v>45</v>
      </c>
      <c r="S767">
        <v>4</v>
      </c>
    </row>
    <row r="768" spans="1:19" x14ac:dyDescent="0.3">
      <c r="A768" s="1">
        <v>41390</v>
      </c>
      <c r="B768">
        <v>2013</v>
      </c>
      <c r="C768" t="s">
        <v>56</v>
      </c>
      <c r="D768" s="4">
        <v>444584.20699999999</v>
      </c>
      <c r="E768" s="2">
        <v>710000</v>
      </c>
      <c r="F768" t="s">
        <v>19</v>
      </c>
      <c r="G768" t="s">
        <v>20</v>
      </c>
      <c r="H768">
        <v>3</v>
      </c>
      <c r="I768">
        <v>3</v>
      </c>
      <c r="J768">
        <v>912</v>
      </c>
      <c r="K768" s="5">
        <v>1.020333E-2</v>
      </c>
      <c r="L768" t="s">
        <v>27</v>
      </c>
      <c r="M768" s="4">
        <v>265415.79300000001</v>
      </c>
      <c r="N768" s="3">
        <v>778.50879999999995</v>
      </c>
      <c r="O768" t="s">
        <v>22</v>
      </c>
      <c r="P768" t="s">
        <v>28</v>
      </c>
      <c r="Q768" t="s">
        <v>24</v>
      </c>
      <c r="R768" t="s">
        <v>45</v>
      </c>
      <c r="S768">
        <v>4</v>
      </c>
    </row>
    <row r="769" spans="1:19" x14ac:dyDescent="0.3">
      <c r="A769" s="1">
        <v>41392</v>
      </c>
      <c r="B769">
        <v>2013</v>
      </c>
      <c r="C769" t="s">
        <v>52</v>
      </c>
      <c r="D769" s="4">
        <v>444584.20699999999</v>
      </c>
      <c r="E769" s="2">
        <v>280000</v>
      </c>
      <c r="F769" t="s">
        <v>19</v>
      </c>
      <c r="G769" t="s">
        <v>20</v>
      </c>
      <c r="H769">
        <v>3</v>
      </c>
      <c r="I769">
        <v>3</v>
      </c>
      <c r="J769">
        <v>1051</v>
      </c>
      <c r="K769" s="5">
        <v>1.020333E-2</v>
      </c>
      <c r="L769" t="s">
        <v>38</v>
      </c>
      <c r="M769" s="4">
        <v>-164584.20699999999</v>
      </c>
      <c r="N769" s="3">
        <v>266.41289999999998</v>
      </c>
      <c r="O769" t="s">
        <v>33</v>
      </c>
      <c r="P769" t="s">
        <v>24</v>
      </c>
      <c r="Q769" t="s">
        <v>24</v>
      </c>
      <c r="R769" t="s">
        <v>45</v>
      </c>
      <c r="S769">
        <v>4</v>
      </c>
    </row>
    <row r="770" spans="1:19" x14ac:dyDescent="0.3">
      <c r="A770" s="1">
        <v>41393</v>
      </c>
      <c r="B770">
        <v>2013</v>
      </c>
      <c r="C770" t="s">
        <v>40</v>
      </c>
      <c r="D770" s="4">
        <v>444584.20699999999</v>
      </c>
      <c r="E770" s="2">
        <v>168000</v>
      </c>
      <c r="F770" t="s">
        <v>19</v>
      </c>
      <c r="G770" t="s">
        <v>20</v>
      </c>
      <c r="H770">
        <v>3</v>
      </c>
      <c r="I770">
        <v>3</v>
      </c>
      <c r="J770">
        <v>968</v>
      </c>
      <c r="K770" s="5">
        <v>1.020333E-2</v>
      </c>
      <c r="L770" t="s">
        <v>32</v>
      </c>
      <c r="M770" s="4">
        <v>-276584.20699999999</v>
      </c>
      <c r="N770" s="3">
        <v>173.55369999999999</v>
      </c>
      <c r="O770" t="s">
        <v>33</v>
      </c>
      <c r="P770" t="s">
        <v>23</v>
      </c>
      <c r="Q770" t="s">
        <v>24</v>
      </c>
      <c r="R770" t="s">
        <v>45</v>
      </c>
      <c r="S770">
        <v>4</v>
      </c>
    </row>
    <row r="771" spans="1:19" x14ac:dyDescent="0.3">
      <c r="A771" s="1">
        <v>41396</v>
      </c>
      <c r="B771">
        <v>2013</v>
      </c>
      <c r="C771" t="s">
        <v>26</v>
      </c>
      <c r="D771" s="4">
        <v>444584.20699999999</v>
      </c>
      <c r="E771" s="2">
        <v>382000</v>
      </c>
      <c r="F771" t="s">
        <v>19</v>
      </c>
      <c r="G771" t="s">
        <v>20</v>
      </c>
      <c r="H771">
        <v>3</v>
      </c>
      <c r="I771">
        <v>2</v>
      </c>
      <c r="J771">
        <v>944</v>
      </c>
      <c r="K771" s="5">
        <v>1.020333E-2</v>
      </c>
      <c r="L771" t="s">
        <v>38</v>
      </c>
      <c r="M771" s="4">
        <v>-62584.207000000002</v>
      </c>
      <c r="N771" s="3">
        <v>404.661</v>
      </c>
      <c r="O771" t="s">
        <v>33</v>
      </c>
      <c r="P771" t="s">
        <v>24</v>
      </c>
      <c r="Q771" t="s">
        <v>24</v>
      </c>
      <c r="R771" t="s">
        <v>47</v>
      </c>
      <c r="S771">
        <v>5</v>
      </c>
    </row>
    <row r="772" spans="1:19" x14ac:dyDescent="0.3">
      <c r="A772" s="1">
        <v>41397</v>
      </c>
      <c r="B772">
        <v>2013</v>
      </c>
      <c r="C772" t="s">
        <v>40</v>
      </c>
      <c r="D772" s="4">
        <v>137100</v>
      </c>
      <c r="E772" s="2">
        <v>30000</v>
      </c>
      <c r="F772" t="s">
        <v>19</v>
      </c>
      <c r="G772" t="s">
        <v>20</v>
      </c>
      <c r="H772">
        <v>3</v>
      </c>
      <c r="I772">
        <v>2</v>
      </c>
      <c r="J772">
        <v>911</v>
      </c>
      <c r="K772" s="5">
        <v>1.020333E-2</v>
      </c>
      <c r="L772" t="s">
        <v>32</v>
      </c>
      <c r="M772" s="4">
        <v>-107100</v>
      </c>
      <c r="N772" s="3">
        <v>32.930799999999998</v>
      </c>
      <c r="O772" t="s">
        <v>33</v>
      </c>
      <c r="P772" t="s">
        <v>23</v>
      </c>
      <c r="Q772" t="s">
        <v>24</v>
      </c>
      <c r="R772" t="s">
        <v>47</v>
      </c>
      <c r="S772">
        <v>5</v>
      </c>
    </row>
    <row r="773" spans="1:19" x14ac:dyDescent="0.3">
      <c r="A773" s="1">
        <v>41399</v>
      </c>
      <c r="B773">
        <v>2013</v>
      </c>
      <c r="C773" t="s">
        <v>26</v>
      </c>
      <c r="D773" s="4">
        <v>858340</v>
      </c>
      <c r="E773" s="2">
        <v>1299000</v>
      </c>
      <c r="F773" t="s">
        <v>19</v>
      </c>
      <c r="G773" t="s">
        <v>20</v>
      </c>
      <c r="H773">
        <v>3</v>
      </c>
      <c r="I773">
        <v>1</v>
      </c>
      <c r="J773">
        <v>992</v>
      </c>
      <c r="K773" s="5">
        <v>1.020333E-2</v>
      </c>
      <c r="L773" t="s">
        <v>38</v>
      </c>
      <c r="M773" s="4">
        <v>440660</v>
      </c>
      <c r="N773" s="3">
        <v>1309.4757999999999</v>
      </c>
      <c r="O773" t="s">
        <v>22</v>
      </c>
      <c r="P773" t="s">
        <v>28</v>
      </c>
      <c r="Q773" t="s">
        <v>24</v>
      </c>
      <c r="R773" t="s">
        <v>47</v>
      </c>
      <c r="S773">
        <v>5</v>
      </c>
    </row>
    <row r="774" spans="1:19" x14ac:dyDescent="0.3">
      <c r="A774" s="1">
        <v>41400</v>
      </c>
      <c r="B774">
        <v>2013</v>
      </c>
      <c r="C774" t="s">
        <v>56</v>
      </c>
      <c r="D774" s="4">
        <v>404980</v>
      </c>
      <c r="E774" s="2">
        <v>517500</v>
      </c>
      <c r="F774" t="s">
        <v>19</v>
      </c>
      <c r="G774" t="s">
        <v>20</v>
      </c>
      <c r="H774">
        <v>3</v>
      </c>
      <c r="I774">
        <v>2</v>
      </c>
      <c r="J774">
        <v>1009</v>
      </c>
      <c r="K774" s="5">
        <v>1.020333E-2</v>
      </c>
      <c r="L774" t="s">
        <v>21</v>
      </c>
      <c r="M774" s="4">
        <v>112520</v>
      </c>
      <c r="N774" s="3">
        <v>512.88400000000001</v>
      </c>
      <c r="O774" t="s">
        <v>22</v>
      </c>
      <c r="P774" t="s">
        <v>24</v>
      </c>
      <c r="Q774" t="s">
        <v>24</v>
      </c>
      <c r="R774" t="s">
        <v>47</v>
      </c>
      <c r="S774">
        <v>5</v>
      </c>
    </row>
    <row r="775" spans="1:19" x14ac:dyDescent="0.3">
      <c r="A775" s="1">
        <v>41404</v>
      </c>
      <c r="B775">
        <v>2013</v>
      </c>
      <c r="C775" t="s">
        <v>29</v>
      </c>
      <c r="D775" s="4">
        <v>171670</v>
      </c>
      <c r="E775" s="2">
        <v>100000</v>
      </c>
      <c r="F775" t="s">
        <v>36</v>
      </c>
      <c r="G775" t="s">
        <v>37</v>
      </c>
      <c r="H775">
        <v>6</v>
      </c>
      <c r="I775">
        <v>4</v>
      </c>
      <c r="J775">
        <v>2196</v>
      </c>
      <c r="K775" s="5">
        <v>1.020333E-2</v>
      </c>
      <c r="L775" t="s">
        <v>38</v>
      </c>
      <c r="M775" s="4">
        <v>-71670</v>
      </c>
      <c r="N775" s="3">
        <v>45.537300000000002</v>
      </c>
      <c r="O775" t="s">
        <v>33</v>
      </c>
      <c r="P775" t="s">
        <v>23</v>
      </c>
      <c r="Q775" t="s">
        <v>34</v>
      </c>
      <c r="R775" t="s">
        <v>47</v>
      </c>
      <c r="S775">
        <v>5</v>
      </c>
    </row>
    <row r="776" spans="1:19" x14ac:dyDescent="0.3">
      <c r="A776" s="1">
        <v>41406</v>
      </c>
      <c r="B776">
        <v>2013</v>
      </c>
      <c r="C776" t="s">
        <v>40</v>
      </c>
      <c r="D776" s="4">
        <v>235830</v>
      </c>
      <c r="E776" s="2">
        <v>240000</v>
      </c>
      <c r="F776" t="s">
        <v>19</v>
      </c>
      <c r="G776" t="s">
        <v>20</v>
      </c>
      <c r="H776">
        <v>3</v>
      </c>
      <c r="I776">
        <v>3</v>
      </c>
      <c r="J776">
        <v>997</v>
      </c>
      <c r="K776" s="5">
        <v>1.020333E-2</v>
      </c>
      <c r="L776" t="s">
        <v>27</v>
      </c>
      <c r="M776" s="4">
        <v>4170</v>
      </c>
      <c r="N776" s="3">
        <v>240.72219999999999</v>
      </c>
      <c r="O776" t="s">
        <v>22</v>
      </c>
      <c r="P776" t="s">
        <v>24</v>
      </c>
      <c r="Q776" t="s">
        <v>24</v>
      </c>
      <c r="R776" t="s">
        <v>47</v>
      </c>
      <c r="S776">
        <v>5</v>
      </c>
    </row>
    <row r="777" spans="1:19" x14ac:dyDescent="0.3">
      <c r="A777" s="1">
        <v>41407</v>
      </c>
      <c r="B777">
        <v>2013</v>
      </c>
      <c r="C777" t="s">
        <v>26</v>
      </c>
      <c r="D777" s="4">
        <v>318220</v>
      </c>
      <c r="E777" s="2">
        <v>426500</v>
      </c>
      <c r="F777" t="s">
        <v>19</v>
      </c>
      <c r="G777" t="s">
        <v>20</v>
      </c>
      <c r="H777">
        <v>3</v>
      </c>
      <c r="I777">
        <v>3</v>
      </c>
      <c r="J777">
        <v>1027</v>
      </c>
      <c r="K777" s="5">
        <v>1.020333E-2</v>
      </c>
      <c r="L777" t="s">
        <v>21</v>
      </c>
      <c r="M777" s="4">
        <v>108280</v>
      </c>
      <c r="N777" s="3">
        <v>415.28719999999998</v>
      </c>
      <c r="O777" t="s">
        <v>22</v>
      </c>
      <c r="P777" t="s">
        <v>24</v>
      </c>
      <c r="Q777" t="s">
        <v>24</v>
      </c>
      <c r="R777" t="s">
        <v>47</v>
      </c>
      <c r="S777">
        <v>5</v>
      </c>
    </row>
    <row r="778" spans="1:19" x14ac:dyDescent="0.3">
      <c r="A778" s="1">
        <v>41410</v>
      </c>
      <c r="B778">
        <v>2013</v>
      </c>
      <c r="C778" t="s">
        <v>29</v>
      </c>
      <c r="D778" s="4">
        <v>156230</v>
      </c>
      <c r="E778" s="2">
        <v>116000</v>
      </c>
      <c r="F778" t="s">
        <v>19</v>
      </c>
      <c r="G778" t="s">
        <v>20</v>
      </c>
      <c r="H778">
        <v>3</v>
      </c>
      <c r="I778">
        <v>2</v>
      </c>
      <c r="J778">
        <v>982</v>
      </c>
      <c r="K778" s="5">
        <v>1.020333E-2</v>
      </c>
      <c r="L778" t="s">
        <v>27</v>
      </c>
      <c r="M778" s="4">
        <v>-40230</v>
      </c>
      <c r="N778" s="3">
        <v>118.1263</v>
      </c>
      <c r="O778" t="s">
        <v>33</v>
      </c>
      <c r="P778" t="s">
        <v>23</v>
      </c>
      <c r="Q778" t="s">
        <v>24</v>
      </c>
      <c r="R778" t="s">
        <v>47</v>
      </c>
      <c r="S778">
        <v>5</v>
      </c>
    </row>
    <row r="779" spans="1:19" x14ac:dyDescent="0.3">
      <c r="A779" s="1">
        <v>41412</v>
      </c>
      <c r="B779">
        <v>2013</v>
      </c>
      <c r="C779" t="s">
        <v>52</v>
      </c>
      <c r="D779" s="4">
        <v>261200</v>
      </c>
      <c r="E779" s="2">
        <v>85000</v>
      </c>
      <c r="F779" t="s">
        <v>19</v>
      </c>
      <c r="G779" t="s">
        <v>20</v>
      </c>
      <c r="H779">
        <v>3</v>
      </c>
      <c r="I779">
        <v>2</v>
      </c>
      <c r="J779">
        <v>1056</v>
      </c>
      <c r="K779" s="5">
        <v>1.020333E-2</v>
      </c>
      <c r="L779" t="s">
        <v>38</v>
      </c>
      <c r="M779" s="4">
        <v>-176200</v>
      </c>
      <c r="N779" s="3">
        <v>80.492400000000004</v>
      </c>
      <c r="O779" t="s">
        <v>33</v>
      </c>
      <c r="P779" t="s">
        <v>23</v>
      </c>
      <c r="Q779" t="s">
        <v>24</v>
      </c>
      <c r="R779" t="s">
        <v>47</v>
      </c>
      <c r="S779">
        <v>5</v>
      </c>
    </row>
    <row r="780" spans="1:19" x14ac:dyDescent="0.3">
      <c r="A780" s="1">
        <v>41417</v>
      </c>
      <c r="B780">
        <v>2013</v>
      </c>
      <c r="C780" t="s">
        <v>18</v>
      </c>
      <c r="D780" s="4">
        <v>111580</v>
      </c>
      <c r="E780" s="2">
        <v>55000</v>
      </c>
      <c r="F780" t="s">
        <v>19</v>
      </c>
      <c r="G780" t="s">
        <v>20</v>
      </c>
      <c r="H780">
        <v>3</v>
      </c>
      <c r="I780">
        <v>2</v>
      </c>
      <c r="J780">
        <v>990</v>
      </c>
      <c r="K780" s="5">
        <v>1.020333E-2</v>
      </c>
      <c r="L780" t="s">
        <v>21</v>
      </c>
      <c r="M780" s="4">
        <v>-56580</v>
      </c>
      <c r="N780" s="3">
        <v>55.555599999999998</v>
      </c>
      <c r="O780" t="s">
        <v>33</v>
      </c>
      <c r="P780" t="s">
        <v>23</v>
      </c>
      <c r="Q780" t="s">
        <v>24</v>
      </c>
      <c r="R780" t="s">
        <v>47</v>
      </c>
      <c r="S780">
        <v>5</v>
      </c>
    </row>
    <row r="781" spans="1:19" x14ac:dyDescent="0.3">
      <c r="A781" s="1">
        <v>41420</v>
      </c>
      <c r="B781">
        <v>2013</v>
      </c>
      <c r="C781" t="s">
        <v>52</v>
      </c>
      <c r="D781" s="4">
        <v>444584.20699999999</v>
      </c>
      <c r="E781" s="2">
        <v>250000</v>
      </c>
      <c r="F781" t="s">
        <v>19</v>
      </c>
      <c r="G781" t="s">
        <v>20</v>
      </c>
      <c r="H781">
        <v>3</v>
      </c>
      <c r="I781">
        <v>1</v>
      </c>
      <c r="J781">
        <v>1016</v>
      </c>
      <c r="K781" s="5">
        <v>1.020333E-2</v>
      </c>
      <c r="L781" t="s">
        <v>32</v>
      </c>
      <c r="M781" s="4">
        <v>-194584.20699999999</v>
      </c>
      <c r="N781" s="3">
        <v>246.06299999999999</v>
      </c>
      <c r="O781" t="s">
        <v>33</v>
      </c>
      <c r="P781" t="s">
        <v>24</v>
      </c>
      <c r="Q781" t="s">
        <v>24</v>
      </c>
      <c r="R781" t="s">
        <v>47</v>
      </c>
      <c r="S781">
        <v>5</v>
      </c>
    </row>
    <row r="782" spans="1:19" x14ac:dyDescent="0.3">
      <c r="A782" s="1">
        <v>41425</v>
      </c>
      <c r="B782">
        <v>2013</v>
      </c>
      <c r="C782" t="s">
        <v>29</v>
      </c>
      <c r="D782" s="4">
        <v>192260</v>
      </c>
      <c r="E782" s="2">
        <v>235000</v>
      </c>
      <c r="F782" t="s">
        <v>19</v>
      </c>
      <c r="G782" t="s">
        <v>20</v>
      </c>
      <c r="H782">
        <v>3</v>
      </c>
      <c r="I782">
        <v>1</v>
      </c>
      <c r="J782">
        <v>1033</v>
      </c>
      <c r="K782" s="5">
        <v>1.020333E-2</v>
      </c>
      <c r="L782" t="s">
        <v>27</v>
      </c>
      <c r="M782" s="4">
        <v>42740</v>
      </c>
      <c r="N782" s="3">
        <v>227.49270000000001</v>
      </c>
      <c r="O782" t="s">
        <v>22</v>
      </c>
      <c r="P782" t="s">
        <v>24</v>
      </c>
      <c r="Q782" t="s">
        <v>24</v>
      </c>
      <c r="R782" t="s">
        <v>47</v>
      </c>
      <c r="S782">
        <v>5</v>
      </c>
    </row>
    <row r="783" spans="1:19" x14ac:dyDescent="0.3">
      <c r="A783" s="1">
        <v>41427</v>
      </c>
      <c r="B783">
        <v>2013</v>
      </c>
      <c r="C783" t="s">
        <v>56</v>
      </c>
      <c r="D783" s="4">
        <v>391050</v>
      </c>
      <c r="E783" s="2">
        <v>345000</v>
      </c>
      <c r="F783" t="s">
        <v>19</v>
      </c>
      <c r="G783" t="s">
        <v>20</v>
      </c>
      <c r="H783">
        <v>3</v>
      </c>
      <c r="I783">
        <v>2</v>
      </c>
      <c r="J783">
        <v>1100</v>
      </c>
      <c r="K783" s="5">
        <v>1.020333E-2</v>
      </c>
      <c r="L783" t="s">
        <v>38</v>
      </c>
      <c r="M783" s="4">
        <v>-46050</v>
      </c>
      <c r="N783" s="3">
        <v>313.63639999999998</v>
      </c>
      <c r="O783" t="s">
        <v>33</v>
      </c>
      <c r="P783" t="s">
        <v>24</v>
      </c>
      <c r="Q783" t="s">
        <v>24</v>
      </c>
      <c r="R783" t="s">
        <v>48</v>
      </c>
      <c r="S783">
        <v>6</v>
      </c>
    </row>
    <row r="784" spans="1:19" x14ac:dyDescent="0.3">
      <c r="A784" s="1">
        <v>41431</v>
      </c>
      <c r="B784">
        <v>2013</v>
      </c>
      <c r="C784" t="s">
        <v>40</v>
      </c>
      <c r="D784" s="4">
        <v>444584.20699999999</v>
      </c>
      <c r="E784" s="2">
        <v>565000</v>
      </c>
      <c r="F784" t="s">
        <v>19</v>
      </c>
      <c r="G784" t="s">
        <v>20</v>
      </c>
      <c r="H784">
        <v>3</v>
      </c>
      <c r="I784">
        <v>1</v>
      </c>
      <c r="J784">
        <v>1088</v>
      </c>
      <c r="K784" s="5">
        <v>1.020333E-2</v>
      </c>
      <c r="L784" t="s">
        <v>32</v>
      </c>
      <c r="M784" s="4">
        <v>120415.79300000001</v>
      </c>
      <c r="N784" s="3">
        <v>519.30150000000003</v>
      </c>
      <c r="O784" t="s">
        <v>22</v>
      </c>
      <c r="P784" t="s">
        <v>24</v>
      </c>
      <c r="Q784" t="s">
        <v>24</v>
      </c>
      <c r="R784" t="s">
        <v>48</v>
      </c>
      <c r="S784">
        <v>6</v>
      </c>
    </row>
    <row r="785" spans="1:19" x14ac:dyDescent="0.3">
      <c r="A785" s="1">
        <v>41432</v>
      </c>
      <c r="B785">
        <v>2013</v>
      </c>
      <c r="C785" t="s">
        <v>18</v>
      </c>
      <c r="D785" s="4">
        <v>84370</v>
      </c>
      <c r="E785" s="2">
        <v>30000</v>
      </c>
      <c r="F785" t="s">
        <v>19</v>
      </c>
      <c r="G785" t="s">
        <v>20</v>
      </c>
      <c r="H785">
        <v>3</v>
      </c>
      <c r="I785">
        <v>3</v>
      </c>
      <c r="J785">
        <v>1010</v>
      </c>
      <c r="K785" s="5">
        <v>1.020333E-2</v>
      </c>
      <c r="L785" t="s">
        <v>21</v>
      </c>
      <c r="M785" s="4">
        <v>-54370</v>
      </c>
      <c r="N785" s="3">
        <v>29.702999999999999</v>
      </c>
      <c r="O785" t="s">
        <v>33</v>
      </c>
      <c r="P785" t="s">
        <v>23</v>
      </c>
      <c r="Q785" t="s">
        <v>24</v>
      </c>
      <c r="R785" t="s">
        <v>48</v>
      </c>
      <c r="S785">
        <v>6</v>
      </c>
    </row>
    <row r="786" spans="1:19" x14ac:dyDescent="0.3">
      <c r="A786" s="1">
        <v>41438</v>
      </c>
      <c r="B786">
        <v>2013</v>
      </c>
      <c r="C786" t="s">
        <v>29</v>
      </c>
      <c r="D786" s="4">
        <v>121240</v>
      </c>
      <c r="E786" s="2">
        <v>95000</v>
      </c>
      <c r="F786" t="s">
        <v>30</v>
      </c>
      <c r="G786" t="s">
        <v>31</v>
      </c>
      <c r="H786">
        <v>4</v>
      </c>
      <c r="I786">
        <v>3</v>
      </c>
      <c r="J786">
        <v>1484</v>
      </c>
      <c r="K786" s="5">
        <v>1.020333E-2</v>
      </c>
      <c r="L786" t="s">
        <v>32</v>
      </c>
      <c r="M786" s="4">
        <v>-26240</v>
      </c>
      <c r="N786" s="3">
        <v>64.016199999999998</v>
      </c>
      <c r="O786" t="s">
        <v>33</v>
      </c>
      <c r="P786" t="s">
        <v>23</v>
      </c>
      <c r="Q786" t="s">
        <v>34</v>
      </c>
      <c r="R786" t="s">
        <v>48</v>
      </c>
      <c r="S786">
        <v>6</v>
      </c>
    </row>
    <row r="787" spans="1:19" x14ac:dyDescent="0.3">
      <c r="A787" s="1">
        <v>41439</v>
      </c>
      <c r="B787">
        <v>2013</v>
      </c>
      <c r="C787" t="s">
        <v>52</v>
      </c>
      <c r="D787" s="4">
        <v>177300</v>
      </c>
      <c r="E787" s="2">
        <v>172500</v>
      </c>
      <c r="F787" t="s">
        <v>19</v>
      </c>
      <c r="G787" t="s">
        <v>20</v>
      </c>
      <c r="H787">
        <v>3</v>
      </c>
      <c r="I787">
        <v>1</v>
      </c>
      <c r="J787">
        <v>976</v>
      </c>
      <c r="K787" s="5">
        <v>1.020333E-2</v>
      </c>
      <c r="L787" t="s">
        <v>27</v>
      </c>
      <c r="M787" s="4">
        <v>-4800</v>
      </c>
      <c r="N787" s="3">
        <v>176.74180000000001</v>
      </c>
      <c r="O787" t="s">
        <v>33</v>
      </c>
      <c r="P787" t="s">
        <v>23</v>
      </c>
      <c r="Q787" t="s">
        <v>24</v>
      </c>
      <c r="R787" t="s">
        <v>48</v>
      </c>
      <c r="S787">
        <v>6</v>
      </c>
    </row>
    <row r="788" spans="1:19" x14ac:dyDescent="0.3">
      <c r="A788" s="1">
        <v>41440</v>
      </c>
      <c r="B788">
        <v>2013</v>
      </c>
      <c r="C788" t="s">
        <v>56</v>
      </c>
      <c r="D788" s="4">
        <v>585650</v>
      </c>
      <c r="E788" s="2">
        <v>415000</v>
      </c>
      <c r="F788" t="s">
        <v>19</v>
      </c>
      <c r="G788" t="s">
        <v>20</v>
      </c>
      <c r="H788">
        <v>3</v>
      </c>
      <c r="I788">
        <v>2</v>
      </c>
      <c r="J788">
        <v>913</v>
      </c>
      <c r="K788" s="5">
        <v>1.020333E-2</v>
      </c>
      <c r="L788" t="s">
        <v>32</v>
      </c>
      <c r="M788" s="4">
        <v>-170650</v>
      </c>
      <c r="N788" s="3">
        <v>454.5455</v>
      </c>
      <c r="O788" t="s">
        <v>33</v>
      </c>
      <c r="P788" t="s">
        <v>24</v>
      </c>
      <c r="Q788" t="s">
        <v>24</v>
      </c>
      <c r="R788" t="s">
        <v>48</v>
      </c>
      <c r="S788">
        <v>6</v>
      </c>
    </row>
    <row r="789" spans="1:19" x14ac:dyDescent="0.3">
      <c r="A789" s="1">
        <v>41445</v>
      </c>
      <c r="B789">
        <v>2013</v>
      </c>
      <c r="C789" t="s">
        <v>29</v>
      </c>
      <c r="D789" s="4">
        <v>188610</v>
      </c>
      <c r="E789" s="2">
        <v>235000</v>
      </c>
      <c r="F789" t="s">
        <v>19</v>
      </c>
      <c r="G789" t="s">
        <v>20</v>
      </c>
      <c r="H789">
        <v>3</v>
      </c>
      <c r="I789">
        <v>3</v>
      </c>
      <c r="J789">
        <v>955</v>
      </c>
      <c r="K789" s="5">
        <v>1.020333E-2</v>
      </c>
      <c r="L789" t="s">
        <v>21</v>
      </c>
      <c r="M789" s="4">
        <v>46390</v>
      </c>
      <c r="N789" s="3">
        <v>246.07329999999999</v>
      </c>
      <c r="O789" t="s">
        <v>22</v>
      </c>
      <c r="P789" t="s">
        <v>24</v>
      </c>
      <c r="Q789" t="s">
        <v>24</v>
      </c>
      <c r="R789" t="s">
        <v>48</v>
      </c>
      <c r="S789">
        <v>6</v>
      </c>
    </row>
    <row r="790" spans="1:19" x14ac:dyDescent="0.3">
      <c r="A790" s="1">
        <v>41446</v>
      </c>
      <c r="B790">
        <v>2013</v>
      </c>
      <c r="C790" t="s">
        <v>29</v>
      </c>
      <c r="D790" s="4">
        <v>444584.20699999999</v>
      </c>
      <c r="E790" s="2">
        <v>36000</v>
      </c>
      <c r="F790" t="s">
        <v>30</v>
      </c>
      <c r="G790" t="s">
        <v>31</v>
      </c>
      <c r="H790">
        <v>4</v>
      </c>
      <c r="I790">
        <v>3</v>
      </c>
      <c r="J790">
        <v>1310</v>
      </c>
      <c r="K790" s="5">
        <v>1.020333E-2</v>
      </c>
      <c r="L790" t="s">
        <v>27</v>
      </c>
      <c r="M790" s="4">
        <v>-408584.20699999999</v>
      </c>
      <c r="N790" s="3">
        <v>27.480899999999998</v>
      </c>
      <c r="O790" t="s">
        <v>33</v>
      </c>
      <c r="P790" t="s">
        <v>23</v>
      </c>
      <c r="Q790" t="s">
        <v>34</v>
      </c>
      <c r="R790" t="s">
        <v>48</v>
      </c>
      <c r="S790">
        <v>6</v>
      </c>
    </row>
    <row r="791" spans="1:19" x14ac:dyDescent="0.3">
      <c r="A791" s="1">
        <v>41447</v>
      </c>
      <c r="B791">
        <v>2013</v>
      </c>
      <c r="C791" t="s">
        <v>29</v>
      </c>
      <c r="D791" s="4">
        <v>154100</v>
      </c>
      <c r="E791" s="2">
        <v>75000</v>
      </c>
      <c r="F791" t="s">
        <v>19</v>
      </c>
      <c r="G791" t="s">
        <v>20</v>
      </c>
      <c r="H791">
        <v>3</v>
      </c>
      <c r="I791">
        <v>2</v>
      </c>
      <c r="J791">
        <v>988</v>
      </c>
      <c r="K791" s="5">
        <v>1.020333E-2</v>
      </c>
      <c r="L791" t="s">
        <v>27</v>
      </c>
      <c r="M791" s="4">
        <v>-79100</v>
      </c>
      <c r="N791" s="3">
        <v>75.910899999999998</v>
      </c>
      <c r="O791" t="s">
        <v>33</v>
      </c>
      <c r="P791" t="s">
        <v>23</v>
      </c>
      <c r="Q791" t="s">
        <v>24</v>
      </c>
      <c r="R791" t="s">
        <v>48</v>
      </c>
      <c r="S791">
        <v>6</v>
      </c>
    </row>
    <row r="792" spans="1:19" x14ac:dyDescent="0.3">
      <c r="A792" s="1">
        <v>41449</v>
      </c>
      <c r="B792">
        <v>2013</v>
      </c>
      <c r="C792" t="s">
        <v>18</v>
      </c>
      <c r="D792" s="4">
        <v>444584.20699999999</v>
      </c>
      <c r="E792" s="2">
        <v>49000</v>
      </c>
      <c r="F792" t="s">
        <v>19</v>
      </c>
      <c r="G792" t="s">
        <v>20</v>
      </c>
      <c r="H792">
        <v>3</v>
      </c>
      <c r="I792">
        <v>3</v>
      </c>
      <c r="J792">
        <v>1098</v>
      </c>
      <c r="K792" s="5">
        <v>1.020333E-2</v>
      </c>
      <c r="L792" t="s">
        <v>38</v>
      </c>
      <c r="M792" s="4">
        <v>-395584.20699999999</v>
      </c>
      <c r="N792" s="3">
        <v>44.626600000000003</v>
      </c>
      <c r="O792" t="s">
        <v>33</v>
      </c>
      <c r="P792" t="s">
        <v>23</v>
      </c>
      <c r="Q792" t="s">
        <v>24</v>
      </c>
      <c r="R792" t="s">
        <v>48</v>
      </c>
      <c r="S792">
        <v>6</v>
      </c>
    </row>
    <row r="793" spans="1:19" x14ac:dyDescent="0.3">
      <c r="A793" s="1">
        <v>41453</v>
      </c>
      <c r="B793">
        <v>2013</v>
      </c>
      <c r="C793" t="s">
        <v>40</v>
      </c>
      <c r="D793" s="4">
        <v>280400</v>
      </c>
      <c r="E793" s="2">
        <v>424000</v>
      </c>
      <c r="F793" t="s">
        <v>19</v>
      </c>
      <c r="G793" t="s">
        <v>20</v>
      </c>
      <c r="H793">
        <v>3</v>
      </c>
      <c r="I793">
        <v>2</v>
      </c>
      <c r="J793">
        <v>916</v>
      </c>
      <c r="K793" s="5">
        <v>1.020333E-2</v>
      </c>
      <c r="L793" t="s">
        <v>21</v>
      </c>
      <c r="M793" s="4">
        <v>143600</v>
      </c>
      <c r="N793" s="3">
        <v>462.88209999999998</v>
      </c>
      <c r="O793" t="s">
        <v>22</v>
      </c>
      <c r="P793" t="s">
        <v>24</v>
      </c>
      <c r="Q793" t="s">
        <v>24</v>
      </c>
      <c r="R793" t="s">
        <v>48</v>
      </c>
      <c r="S793">
        <v>6</v>
      </c>
    </row>
    <row r="794" spans="1:19" x14ac:dyDescent="0.3">
      <c r="A794" s="1">
        <v>41454</v>
      </c>
      <c r="B794">
        <v>2013</v>
      </c>
      <c r="C794" t="s">
        <v>29</v>
      </c>
      <c r="D794" s="4">
        <v>255940</v>
      </c>
      <c r="E794" s="2">
        <v>125500</v>
      </c>
      <c r="F794" t="s">
        <v>19</v>
      </c>
      <c r="G794" t="s">
        <v>20</v>
      </c>
      <c r="H794">
        <v>3</v>
      </c>
      <c r="I794">
        <v>3</v>
      </c>
      <c r="J794">
        <v>978</v>
      </c>
      <c r="K794" s="5">
        <v>1.020333E-2</v>
      </c>
      <c r="L794" t="s">
        <v>32</v>
      </c>
      <c r="M794" s="4">
        <v>-130440</v>
      </c>
      <c r="N794" s="3">
        <v>128.32310000000001</v>
      </c>
      <c r="O794" t="s">
        <v>33</v>
      </c>
      <c r="P794" t="s">
        <v>23</v>
      </c>
      <c r="Q794" t="s">
        <v>24</v>
      </c>
      <c r="R794" t="s">
        <v>48</v>
      </c>
      <c r="S794">
        <v>6</v>
      </c>
    </row>
    <row r="795" spans="1:19" x14ac:dyDescent="0.3">
      <c r="A795" s="1">
        <v>41455</v>
      </c>
      <c r="B795">
        <v>2013</v>
      </c>
      <c r="C795" t="s">
        <v>56</v>
      </c>
      <c r="D795" s="4">
        <v>747850</v>
      </c>
      <c r="E795" s="2">
        <v>927500</v>
      </c>
      <c r="F795" t="s">
        <v>19</v>
      </c>
      <c r="G795" t="s">
        <v>20</v>
      </c>
      <c r="H795">
        <v>3</v>
      </c>
      <c r="I795">
        <v>2</v>
      </c>
      <c r="J795">
        <v>998</v>
      </c>
      <c r="K795" s="5">
        <v>1.020333E-2</v>
      </c>
      <c r="L795" t="s">
        <v>38</v>
      </c>
      <c r="M795" s="4">
        <v>179650</v>
      </c>
      <c r="N795" s="3">
        <v>929.3587</v>
      </c>
      <c r="O795" t="s">
        <v>22</v>
      </c>
      <c r="P795" t="s">
        <v>28</v>
      </c>
      <c r="Q795" t="s">
        <v>24</v>
      </c>
      <c r="R795" t="s">
        <v>48</v>
      </c>
      <c r="S795">
        <v>6</v>
      </c>
    </row>
    <row r="796" spans="1:19" x14ac:dyDescent="0.3">
      <c r="A796" s="1">
        <v>41460</v>
      </c>
      <c r="B796">
        <v>2013</v>
      </c>
      <c r="C796" t="s">
        <v>52</v>
      </c>
      <c r="D796" s="4">
        <v>239200</v>
      </c>
      <c r="E796" s="2">
        <v>282500</v>
      </c>
      <c r="F796" t="s">
        <v>19</v>
      </c>
      <c r="G796" t="s">
        <v>20</v>
      </c>
      <c r="H796">
        <v>3</v>
      </c>
      <c r="I796">
        <v>1</v>
      </c>
      <c r="J796">
        <v>1111.6589814177564</v>
      </c>
      <c r="K796" s="5">
        <v>1.020333E-2</v>
      </c>
      <c r="L796" t="s">
        <v>32</v>
      </c>
      <c r="M796" s="4">
        <v>43300</v>
      </c>
      <c r="N796" s="3">
        <v>254.12469999999999</v>
      </c>
      <c r="O796" t="s">
        <v>22</v>
      </c>
      <c r="P796" t="s">
        <v>24</v>
      </c>
      <c r="Q796" t="s">
        <v>24</v>
      </c>
      <c r="R796" t="s">
        <v>49</v>
      </c>
      <c r="S796">
        <v>7</v>
      </c>
    </row>
    <row r="797" spans="1:19" x14ac:dyDescent="0.3">
      <c r="A797" s="1">
        <v>41461</v>
      </c>
      <c r="B797">
        <v>2013</v>
      </c>
      <c r="C797" t="s">
        <v>18</v>
      </c>
      <c r="D797" s="4">
        <v>123730</v>
      </c>
      <c r="E797" s="2">
        <v>30000</v>
      </c>
      <c r="F797" t="s">
        <v>42</v>
      </c>
      <c r="G797" t="s">
        <v>43</v>
      </c>
      <c r="H797">
        <v>8</v>
      </c>
      <c r="I797">
        <v>7</v>
      </c>
      <c r="J797">
        <v>1111.6589814177564</v>
      </c>
      <c r="K797" s="5">
        <v>1.020333E-2</v>
      </c>
      <c r="L797" t="s">
        <v>21</v>
      </c>
      <c r="M797" s="4">
        <v>-93730</v>
      </c>
      <c r="N797" s="3">
        <v>26.986699999999999</v>
      </c>
      <c r="O797" t="s">
        <v>33</v>
      </c>
      <c r="P797" t="s">
        <v>23</v>
      </c>
      <c r="Q797" t="s">
        <v>24</v>
      </c>
      <c r="R797" t="s">
        <v>49</v>
      </c>
      <c r="S797">
        <v>7</v>
      </c>
    </row>
    <row r="798" spans="1:19" x14ac:dyDescent="0.3">
      <c r="A798" s="1">
        <v>41462</v>
      </c>
      <c r="B798">
        <v>2013</v>
      </c>
      <c r="C798" t="s">
        <v>29</v>
      </c>
      <c r="D798" s="4">
        <v>135570</v>
      </c>
      <c r="E798" s="2">
        <v>155000</v>
      </c>
      <c r="F798" t="s">
        <v>30</v>
      </c>
      <c r="G798" t="s">
        <v>31</v>
      </c>
      <c r="H798">
        <v>4</v>
      </c>
      <c r="I798">
        <v>2</v>
      </c>
      <c r="J798">
        <v>1354</v>
      </c>
      <c r="K798" s="5">
        <v>1.020333E-2</v>
      </c>
      <c r="L798" t="s">
        <v>32</v>
      </c>
      <c r="M798" s="4">
        <v>19430</v>
      </c>
      <c r="N798" s="3">
        <v>114.4756</v>
      </c>
      <c r="O798" t="s">
        <v>22</v>
      </c>
      <c r="P798" t="s">
        <v>23</v>
      </c>
      <c r="Q798" t="s">
        <v>34</v>
      </c>
      <c r="R798" t="s">
        <v>49</v>
      </c>
      <c r="S798">
        <v>7</v>
      </c>
    </row>
    <row r="799" spans="1:19" x14ac:dyDescent="0.3">
      <c r="A799" s="1">
        <v>41463</v>
      </c>
      <c r="B799">
        <v>2013</v>
      </c>
      <c r="C799" t="s">
        <v>18</v>
      </c>
      <c r="D799" s="4">
        <v>102210</v>
      </c>
      <c r="E799" s="2">
        <v>99900</v>
      </c>
      <c r="F799" t="s">
        <v>19</v>
      </c>
      <c r="G799" t="s">
        <v>20</v>
      </c>
      <c r="H799">
        <v>3</v>
      </c>
      <c r="I799">
        <v>1</v>
      </c>
      <c r="J799">
        <v>935</v>
      </c>
      <c r="K799" s="5">
        <v>1.020333E-2</v>
      </c>
      <c r="L799" t="s">
        <v>27</v>
      </c>
      <c r="M799" s="4">
        <v>-2310</v>
      </c>
      <c r="N799" s="3">
        <v>106.8449</v>
      </c>
      <c r="O799" t="s">
        <v>33</v>
      </c>
      <c r="P799" t="s">
        <v>23</v>
      </c>
      <c r="Q799" t="s">
        <v>24</v>
      </c>
      <c r="R799" t="s">
        <v>49</v>
      </c>
      <c r="S799">
        <v>7</v>
      </c>
    </row>
    <row r="800" spans="1:19" x14ac:dyDescent="0.3">
      <c r="A800" s="1">
        <v>41467</v>
      </c>
      <c r="B800">
        <v>2013</v>
      </c>
      <c r="C800" t="s">
        <v>26</v>
      </c>
      <c r="D800" s="4">
        <v>383180</v>
      </c>
      <c r="E800" s="2">
        <v>437500</v>
      </c>
      <c r="F800" t="s">
        <v>19</v>
      </c>
      <c r="G800" t="s">
        <v>20</v>
      </c>
      <c r="H800">
        <v>3</v>
      </c>
      <c r="I800">
        <v>3</v>
      </c>
      <c r="J800">
        <v>1032</v>
      </c>
      <c r="K800" s="5">
        <v>1.020333E-2</v>
      </c>
      <c r="L800" t="s">
        <v>32</v>
      </c>
      <c r="M800" s="4">
        <v>54320</v>
      </c>
      <c r="N800" s="3">
        <v>423.9341</v>
      </c>
      <c r="O800" t="s">
        <v>22</v>
      </c>
      <c r="P800" t="s">
        <v>24</v>
      </c>
      <c r="Q800" t="s">
        <v>24</v>
      </c>
      <c r="R800" t="s">
        <v>49</v>
      </c>
      <c r="S800">
        <v>7</v>
      </c>
    </row>
    <row r="801" spans="1:19" x14ac:dyDescent="0.3">
      <c r="A801" s="1">
        <v>41469</v>
      </c>
      <c r="B801">
        <v>2013</v>
      </c>
      <c r="C801" t="s">
        <v>40</v>
      </c>
      <c r="D801" s="4">
        <v>402220</v>
      </c>
      <c r="E801" s="2">
        <v>523000</v>
      </c>
      <c r="F801" t="s">
        <v>19</v>
      </c>
      <c r="G801" t="s">
        <v>20</v>
      </c>
      <c r="H801">
        <v>3</v>
      </c>
      <c r="I801">
        <v>1</v>
      </c>
      <c r="J801">
        <v>1070</v>
      </c>
      <c r="K801" s="5">
        <v>1.020333E-2</v>
      </c>
      <c r="L801" t="s">
        <v>27</v>
      </c>
      <c r="M801" s="4">
        <v>120780</v>
      </c>
      <c r="N801" s="3">
        <v>488.78500000000003</v>
      </c>
      <c r="O801" t="s">
        <v>22</v>
      </c>
      <c r="P801" t="s">
        <v>24</v>
      </c>
      <c r="Q801" t="s">
        <v>24</v>
      </c>
      <c r="R801" t="s">
        <v>49</v>
      </c>
      <c r="S801">
        <v>7</v>
      </c>
    </row>
    <row r="802" spans="1:19" x14ac:dyDescent="0.3">
      <c r="A802" s="1">
        <v>41470</v>
      </c>
      <c r="B802">
        <v>2013</v>
      </c>
      <c r="C802" t="s">
        <v>40</v>
      </c>
      <c r="D802" s="4">
        <v>249620</v>
      </c>
      <c r="E802" s="2">
        <v>315000</v>
      </c>
      <c r="F802" t="s">
        <v>19</v>
      </c>
      <c r="G802" t="s">
        <v>20</v>
      </c>
      <c r="H802">
        <v>3</v>
      </c>
      <c r="I802">
        <v>1</v>
      </c>
      <c r="J802">
        <v>1111.6589814177564</v>
      </c>
      <c r="K802" s="5">
        <v>1.020333E-2</v>
      </c>
      <c r="L802" t="s">
        <v>21</v>
      </c>
      <c r="M802" s="4">
        <v>65380</v>
      </c>
      <c r="N802" s="3">
        <v>283.3603</v>
      </c>
      <c r="O802" t="s">
        <v>22</v>
      </c>
      <c r="P802" t="s">
        <v>24</v>
      </c>
      <c r="Q802" t="s">
        <v>24</v>
      </c>
      <c r="R802" t="s">
        <v>49</v>
      </c>
      <c r="S802">
        <v>7</v>
      </c>
    </row>
    <row r="803" spans="1:19" x14ac:dyDescent="0.3">
      <c r="A803" s="1">
        <v>41473</v>
      </c>
      <c r="B803">
        <v>2013</v>
      </c>
      <c r="C803" t="s">
        <v>52</v>
      </c>
      <c r="D803" s="4">
        <v>247200</v>
      </c>
      <c r="E803" s="2">
        <v>375000</v>
      </c>
      <c r="F803" t="s">
        <v>19</v>
      </c>
      <c r="G803" t="s">
        <v>20</v>
      </c>
      <c r="H803">
        <v>3</v>
      </c>
      <c r="I803">
        <v>1</v>
      </c>
      <c r="J803">
        <v>1034</v>
      </c>
      <c r="K803" s="5">
        <v>1.020333E-2</v>
      </c>
      <c r="L803" t="s">
        <v>32</v>
      </c>
      <c r="M803" s="4">
        <v>127800</v>
      </c>
      <c r="N803" s="3">
        <v>362.66919999999999</v>
      </c>
      <c r="O803" t="s">
        <v>22</v>
      </c>
      <c r="P803" t="s">
        <v>24</v>
      </c>
      <c r="Q803" t="s">
        <v>24</v>
      </c>
      <c r="R803" t="s">
        <v>49</v>
      </c>
      <c r="S803">
        <v>7</v>
      </c>
    </row>
    <row r="804" spans="1:19" x14ac:dyDescent="0.3">
      <c r="A804" s="1">
        <v>41474</v>
      </c>
      <c r="B804">
        <v>2013</v>
      </c>
      <c r="C804" t="s">
        <v>18</v>
      </c>
      <c r="D804" s="4">
        <v>142990</v>
      </c>
      <c r="E804" s="2">
        <v>107000</v>
      </c>
      <c r="F804" t="s">
        <v>30</v>
      </c>
      <c r="G804" t="s">
        <v>31</v>
      </c>
      <c r="H804">
        <v>4</v>
      </c>
      <c r="I804">
        <v>2</v>
      </c>
      <c r="J804">
        <v>1321</v>
      </c>
      <c r="K804" s="5">
        <v>1.020333E-2</v>
      </c>
      <c r="L804" t="s">
        <v>32</v>
      </c>
      <c r="M804" s="4">
        <v>-35990</v>
      </c>
      <c r="N804" s="3">
        <v>80.999200000000002</v>
      </c>
      <c r="O804" t="s">
        <v>33</v>
      </c>
      <c r="P804" t="s">
        <v>23</v>
      </c>
      <c r="Q804" t="s">
        <v>34</v>
      </c>
      <c r="R804" t="s">
        <v>49</v>
      </c>
      <c r="S804">
        <v>7</v>
      </c>
    </row>
    <row r="805" spans="1:19" x14ac:dyDescent="0.3">
      <c r="A805" s="1">
        <v>41476</v>
      </c>
      <c r="B805">
        <v>2013</v>
      </c>
      <c r="C805" t="s">
        <v>56</v>
      </c>
      <c r="D805" s="4">
        <v>444584.20699999999</v>
      </c>
      <c r="E805" s="2">
        <v>420000</v>
      </c>
      <c r="F805" t="s">
        <v>19</v>
      </c>
      <c r="G805" t="s">
        <v>20</v>
      </c>
      <c r="H805">
        <v>3</v>
      </c>
      <c r="I805">
        <v>3</v>
      </c>
      <c r="J805">
        <v>1111.6589814177564</v>
      </c>
      <c r="K805" s="5">
        <v>1.020333E-2</v>
      </c>
      <c r="L805" t="s">
        <v>38</v>
      </c>
      <c r="M805" s="4">
        <v>-24584.206999999999</v>
      </c>
      <c r="N805" s="3">
        <v>377.81369999999998</v>
      </c>
      <c r="O805" t="s">
        <v>33</v>
      </c>
      <c r="P805" t="s">
        <v>24</v>
      </c>
      <c r="Q805" t="s">
        <v>24</v>
      </c>
      <c r="R805" t="s">
        <v>49</v>
      </c>
      <c r="S805">
        <v>7</v>
      </c>
    </row>
    <row r="806" spans="1:19" x14ac:dyDescent="0.3">
      <c r="A806" s="1">
        <v>41481</v>
      </c>
      <c r="B806">
        <v>2013</v>
      </c>
      <c r="C806" t="s">
        <v>40</v>
      </c>
      <c r="D806" s="4">
        <v>326280</v>
      </c>
      <c r="E806" s="2">
        <v>307000</v>
      </c>
      <c r="F806" t="s">
        <v>19</v>
      </c>
      <c r="G806" t="s">
        <v>20</v>
      </c>
      <c r="H806">
        <v>3</v>
      </c>
      <c r="I806">
        <v>3</v>
      </c>
      <c r="J806">
        <v>1111.6589814177564</v>
      </c>
      <c r="K806" s="5">
        <v>1.020333E-2</v>
      </c>
      <c r="L806" t="s">
        <v>27</v>
      </c>
      <c r="M806" s="4">
        <v>-19280</v>
      </c>
      <c r="N806" s="3">
        <v>276.16379999999998</v>
      </c>
      <c r="O806" t="s">
        <v>33</v>
      </c>
      <c r="P806" t="s">
        <v>24</v>
      </c>
      <c r="Q806" t="s">
        <v>24</v>
      </c>
      <c r="R806" t="s">
        <v>49</v>
      </c>
      <c r="S806">
        <v>7</v>
      </c>
    </row>
    <row r="807" spans="1:19" x14ac:dyDescent="0.3">
      <c r="A807" s="1">
        <v>41483</v>
      </c>
      <c r="B807">
        <v>2013</v>
      </c>
      <c r="C807" t="s">
        <v>18</v>
      </c>
      <c r="D807" s="4">
        <v>131180</v>
      </c>
      <c r="E807" s="2">
        <v>19105</v>
      </c>
      <c r="F807" t="s">
        <v>30</v>
      </c>
      <c r="G807" t="s">
        <v>31</v>
      </c>
      <c r="H807">
        <v>4</v>
      </c>
      <c r="I807">
        <v>4</v>
      </c>
      <c r="J807">
        <v>1438</v>
      </c>
      <c r="K807" s="5">
        <v>1.020333E-2</v>
      </c>
      <c r="L807" t="s">
        <v>27</v>
      </c>
      <c r="M807" s="4">
        <v>-112075</v>
      </c>
      <c r="N807" s="3">
        <v>13.2858</v>
      </c>
      <c r="O807" t="s">
        <v>33</v>
      </c>
      <c r="P807" t="s">
        <v>23</v>
      </c>
      <c r="Q807" t="s">
        <v>34</v>
      </c>
      <c r="R807" t="s">
        <v>49</v>
      </c>
      <c r="S807">
        <v>7</v>
      </c>
    </row>
    <row r="808" spans="1:19" x14ac:dyDescent="0.3">
      <c r="A808" s="1">
        <v>41487</v>
      </c>
      <c r="B808">
        <v>2013</v>
      </c>
      <c r="C808" t="s">
        <v>29</v>
      </c>
      <c r="D808" s="4">
        <v>109710</v>
      </c>
      <c r="E808" s="2">
        <v>10000</v>
      </c>
      <c r="F808" t="s">
        <v>19</v>
      </c>
      <c r="G808" t="s">
        <v>20</v>
      </c>
      <c r="H808">
        <v>3</v>
      </c>
      <c r="I808">
        <v>3</v>
      </c>
      <c r="J808">
        <v>921</v>
      </c>
      <c r="K808" s="5">
        <v>1.020333E-2</v>
      </c>
      <c r="L808" t="s">
        <v>21</v>
      </c>
      <c r="M808" s="4">
        <v>-99710</v>
      </c>
      <c r="N808" s="3">
        <v>10.857799999999999</v>
      </c>
      <c r="O808" t="s">
        <v>33</v>
      </c>
      <c r="P808" t="s">
        <v>23</v>
      </c>
      <c r="Q808" t="s">
        <v>24</v>
      </c>
      <c r="R808" t="s">
        <v>50</v>
      </c>
      <c r="S808">
        <v>8</v>
      </c>
    </row>
    <row r="809" spans="1:19" x14ac:dyDescent="0.3">
      <c r="A809" s="1">
        <v>41488</v>
      </c>
      <c r="B809">
        <v>2013</v>
      </c>
      <c r="C809" t="s">
        <v>18</v>
      </c>
      <c r="D809" s="4">
        <v>91710</v>
      </c>
      <c r="E809" s="2">
        <v>83000</v>
      </c>
      <c r="F809" t="s">
        <v>19</v>
      </c>
      <c r="G809" t="s">
        <v>20</v>
      </c>
      <c r="H809">
        <v>3</v>
      </c>
      <c r="I809">
        <v>2</v>
      </c>
      <c r="J809">
        <v>988</v>
      </c>
      <c r="K809" s="5">
        <v>1.020333E-2</v>
      </c>
      <c r="L809" t="s">
        <v>21</v>
      </c>
      <c r="M809" s="4">
        <v>-8710</v>
      </c>
      <c r="N809" s="3">
        <v>84.008099999999999</v>
      </c>
      <c r="O809" t="s">
        <v>33</v>
      </c>
      <c r="P809" t="s">
        <v>23</v>
      </c>
      <c r="Q809" t="s">
        <v>24</v>
      </c>
      <c r="R809" t="s">
        <v>50</v>
      </c>
      <c r="S809">
        <v>8</v>
      </c>
    </row>
    <row r="810" spans="1:19" x14ac:dyDescent="0.3">
      <c r="A810" s="1">
        <v>41489</v>
      </c>
      <c r="B810">
        <v>2013</v>
      </c>
      <c r="C810" t="s">
        <v>56</v>
      </c>
      <c r="D810" s="4">
        <v>631600</v>
      </c>
      <c r="E810" s="2">
        <v>605000</v>
      </c>
      <c r="F810" t="s">
        <v>19</v>
      </c>
      <c r="G810" t="s">
        <v>20</v>
      </c>
      <c r="H810">
        <v>3</v>
      </c>
      <c r="I810">
        <v>1</v>
      </c>
      <c r="J810">
        <v>1068</v>
      </c>
      <c r="K810" s="5">
        <v>1.020333E-2</v>
      </c>
      <c r="L810" t="s">
        <v>38</v>
      </c>
      <c r="M810" s="4">
        <v>-26600</v>
      </c>
      <c r="N810" s="3">
        <v>566.47940000000006</v>
      </c>
      <c r="O810" t="s">
        <v>33</v>
      </c>
      <c r="P810" t="s">
        <v>28</v>
      </c>
      <c r="Q810" t="s">
        <v>24</v>
      </c>
      <c r="R810" t="s">
        <v>50</v>
      </c>
      <c r="S810">
        <v>8</v>
      </c>
    </row>
    <row r="811" spans="1:19" x14ac:dyDescent="0.3">
      <c r="A811" s="1">
        <v>41490</v>
      </c>
      <c r="B811">
        <v>2013</v>
      </c>
      <c r="C811" t="s">
        <v>56</v>
      </c>
      <c r="D811" s="4">
        <v>444584.20699999999</v>
      </c>
      <c r="E811" s="2">
        <v>435000</v>
      </c>
      <c r="F811" t="s">
        <v>19</v>
      </c>
      <c r="G811" t="s">
        <v>20</v>
      </c>
      <c r="H811">
        <v>3</v>
      </c>
      <c r="I811">
        <v>2</v>
      </c>
      <c r="J811">
        <v>1013</v>
      </c>
      <c r="K811" s="5">
        <v>1.020333E-2</v>
      </c>
      <c r="L811" t="s">
        <v>38</v>
      </c>
      <c r="M811" s="4">
        <v>-9584.2070000000003</v>
      </c>
      <c r="N811" s="3">
        <v>429.41759999999999</v>
      </c>
      <c r="O811" t="s">
        <v>33</v>
      </c>
      <c r="P811" t="s">
        <v>24</v>
      </c>
      <c r="Q811" t="s">
        <v>24</v>
      </c>
      <c r="R811" t="s">
        <v>50</v>
      </c>
      <c r="S811">
        <v>8</v>
      </c>
    </row>
    <row r="812" spans="1:19" x14ac:dyDescent="0.3">
      <c r="A812" s="1">
        <v>41491</v>
      </c>
      <c r="B812">
        <v>2013</v>
      </c>
      <c r="C812" t="s">
        <v>29</v>
      </c>
      <c r="D812" s="4">
        <v>174970</v>
      </c>
      <c r="E812" s="2">
        <v>55000</v>
      </c>
      <c r="F812" t="s">
        <v>36</v>
      </c>
      <c r="G812" t="s">
        <v>37</v>
      </c>
      <c r="H812">
        <v>6</v>
      </c>
      <c r="I812">
        <v>5</v>
      </c>
      <c r="J812">
        <v>1867</v>
      </c>
      <c r="K812" s="5">
        <v>1.020333E-2</v>
      </c>
      <c r="L812" t="s">
        <v>27</v>
      </c>
      <c r="M812" s="4">
        <v>-119970</v>
      </c>
      <c r="N812" s="3">
        <v>29.459</v>
      </c>
      <c r="O812" t="s">
        <v>33</v>
      </c>
      <c r="P812" t="s">
        <v>23</v>
      </c>
      <c r="Q812" t="s">
        <v>34</v>
      </c>
      <c r="R812" t="s">
        <v>50</v>
      </c>
      <c r="S812">
        <v>8</v>
      </c>
    </row>
    <row r="813" spans="1:19" x14ac:dyDescent="0.3">
      <c r="A813" s="1">
        <v>41494</v>
      </c>
      <c r="B813">
        <v>2013</v>
      </c>
      <c r="C813" t="s">
        <v>52</v>
      </c>
      <c r="D813" s="4">
        <v>130000</v>
      </c>
      <c r="E813" s="2">
        <v>92000</v>
      </c>
      <c r="F813" t="s">
        <v>19</v>
      </c>
      <c r="G813" t="s">
        <v>20</v>
      </c>
      <c r="H813">
        <v>3</v>
      </c>
      <c r="I813">
        <v>3</v>
      </c>
      <c r="J813">
        <v>1019</v>
      </c>
      <c r="K813" s="5">
        <v>1.020333E-2</v>
      </c>
      <c r="L813" t="s">
        <v>32</v>
      </c>
      <c r="M813" s="4">
        <v>-38000</v>
      </c>
      <c r="N813" s="3">
        <v>90.284599999999998</v>
      </c>
      <c r="O813" t="s">
        <v>33</v>
      </c>
      <c r="P813" t="s">
        <v>23</v>
      </c>
      <c r="Q813" t="s">
        <v>24</v>
      </c>
      <c r="R813" t="s">
        <v>50</v>
      </c>
      <c r="S813">
        <v>8</v>
      </c>
    </row>
    <row r="814" spans="1:19" x14ac:dyDescent="0.3">
      <c r="A814" s="1">
        <v>41495</v>
      </c>
      <c r="B814">
        <v>2013</v>
      </c>
      <c r="C814" t="s">
        <v>26</v>
      </c>
      <c r="D814" s="4">
        <v>21980</v>
      </c>
      <c r="E814" s="2">
        <v>801000</v>
      </c>
      <c r="F814" t="s">
        <v>19</v>
      </c>
      <c r="G814" t="s">
        <v>20</v>
      </c>
      <c r="H814">
        <v>3</v>
      </c>
      <c r="I814">
        <v>3</v>
      </c>
      <c r="J814">
        <v>1096</v>
      </c>
      <c r="K814" s="5">
        <v>1.020333E-2</v>
      </c>
      <c r="L814" t="s">
        <v>38</v>
      </c>
      <c r="M814" s="4">
        <v>779020</v>
      </c>
      <c r="N814" s="3">
        <v>730.83939999999996</v>
      </c>
      <c r="O814" t="s">
        <v>22</v>
      </c>
      <c r="P814" t="s">
        <v>28</v>
      </c>
      <c r="Q814" t="s">
        <v>24</v>
      </c>
      <c r="R814" t="s">
        <v>50</v>
      </c>
      <c r="S814">
        <v>8</v>
      </c>
    </row>
    <row r="815" spans="1:19" x14ac:dyDescent="0.3">
      <c r="A815" s="1">
        <v>41497</v>
      </c>
      <c r="B815">
        <v>2013</v>
      </c>
      <c r="C815" t="s">
        <v>56</v>
      </c>
      <c r="D815" s="4">
        <v>700800</v>
      </c>
      <c r="E815" s="2">
        <v>725000</v>
      </c>
      <c r="F815" t="s">
        <v>19</v>
      </c>
      <c r="G815" t="s">
        <v>20</v>
      </c>
      <c r="H815">
        <v>3</v>
      </c>
      <c r="I815">
        <v>2</v>
      </c>
      <c r="J815">
        <v>937</v>
      </c>
      <c r="K815" s="5">
        <v>1.020333E-2</v>
      </c>
      <c r="L815" t="s">
        <v>21</v>
      </c>
      <c r="M815" s="4">
        <v>24200</v>
      </c>
      <c r="N815" s="3">
        <v>773.74599999999998</v>
      </c>
      <c r="O815" t="s">
        <v>22</v>
      </c>
      <c r="P815" t="s">
        <v>28</v>
      </c>
      <c r="Q815" t="s">
        <v>24</v>
      </c>
      <c r="R815" t="s">
        <v>50</v>
      </c>
      <c r="S815">
        <v>8</v>
      </c>
    </row>
    <row r="816" spans="1:19" x14ac:dyDescent="0.3">
      <c r="A816" s="1">
        <v>41498</v>
      </c>
      <c r="B816">
        <v>2013</v>
      </c>
      <c r="C816" t="s">
        <v>18</v>
      </c>
      <c r="D816" s="4">
        <v>121700</v>
      </c>
      <c r="E816" s="2">
        <v>61000</v>
      </c>
      <c r="F816" t="s">
        <v>19</v>
      </c>
      <c r="G816" t="s">
        <v>20</v>
      </c>
      <c r="H816">
        <v>3</v>
      </c>
      <c r="I816">
        <v>3</v>
      </c>
      <c r="J816">
        <v>945</v>
      </c>
      <c r="K816" s="5">
        <v>1.020333E-2</v>
      </c>
      <c r="L816" t="s">
        <v>27</v>
      </c>
      <c r="M816" s="4">
        <v>-60700</v>
      </c>
      <c r="N816" s="3">
        <v>64.550299999999993</v>
      </c>
      <c r="O816" t="s">
        <v>33</v>
      </c>
      <c r="P816" t="s">
        <v>23</v>
      </c>
      <c r="Q816" t="s">
        <v>24</v>
      </c>
      <c r="R816" t="s">
        <v>50</v>
      </c>
      <c r="S816">
        <v>8</v>
      </c>
    </row>
    <row r="817" spans="1:19" x14ac:dyDescent="0.3">
      <c r="A817" s="1">
        <v>41502</v>
      </c>
      <c r="B817">
        <v>2013</v>
      </c>
      <c r="C817" t="s">
        <v>52</v>
      </c>
      <c r="D817" s="4">
        <v>240800</v>
      </c>
      <c r="E817" s="2">
        <v>400000</v>
      </c>
      <c r="F817" t="s">
        <v>19</v>
      </c>
      <c r="G817" t="s">
        <v>20</v>
      </c>
      <c r="H817">
        <v>3</v>
      </c>
      <c r="I817">
        <v>1</v>
      </c>
      <c r="J817">
        <v>1007</v>
      </c>
      <c r="K817" s="5">
        <v>1.020333E-2</v>
      </c>
      <c r="L817" t="s">
        <v>27</v>
      </c>
      <c r="M817" s="4">
        <v>159200</v>
      </c>
      <c r="N817" s="3">
        <v>397.21949999999998</v>
      </c>
      <c r="O817" t="s">
        <v>22</v>
      </c>
      <c r="P817" t="s">
        <v>24</v>
      </c>
      <c r="Q817" t="s">
        <v>24</v>
      </c>
      <c r="R817" t="s">
        <v>50</v>
      </c>
      <c r="S817">
        <v>8</v>
      </c>
    </row>
    <row r="818" spans="1:19" x14ac:dyDescent="0.3">
      <c r="A818" s="1">
        <v>41503</v>
      </c>
      <c r="B818">
        <v>2013</v>
      </c>
      <c r="C818" t="s">
        <v>26</v>
      </c>
      <c r="D818" s="4">
        <v>350350</v>
      </c>
      <c r="E818" s="2">
        <v>511500</v>
      </c>
      <c r="F818" t="s">
        <v>19</v>
      </c>
      <c r="G818" t="s">
        <v>20</v>
      </c>
      <c r="H818">
        <v>3</v>
      </c>
      <c r="I818">
        <v>1</v>
      </c>
      <c r="J818">
        <v>1004</v>
      </c>
      <c r="K818" s="5">
        <v>1.020333E-2</v>
      </c>
      <c r="L818" t="s">
        <v>21</v>
      </c>
      <c r="M818" s="4">
        <v>161150</v>
      </c>
      <c r="N818" s="3">
        <v>509.4622</v>
      </c>
      <c r="O818" t="s">
        <v>22</v>
      </c>
      <c r="P818" t="s">
        <v>24</v>
      </c>
      <c r="Q818" t="s">
        <v>24</v>
      </c>
      <c r="R818" t="s">
        <v>50</v>
      </c>
      <c r="S818">
        <v>8</v>
      </c>
    </row>
    <row r="819" spans="1:19" x14ac:dyDescent="0.3">
      <c r="A819" s="1">
        <v>41504</v>
      </c>
      <c r="B819">
        <v>2013</v>
      </c>
      <c r="C819" t="s">
        <v>29</v>
      </c>
      <c r="D819" s="4">
        <v>170490</v>
      </c>
      <c r="E819" s="2">
        <v>40500</v>
      </c>
      <c r="F819" t="s">
        <v>30</v>
      </c>
      <c r="G819" t="s">
        <v>31</v>
      </c>
      <c r="H819">
        <v>4</v>
      </c>
      <c r="I819">
        <v>2</v>
      </c>
      <c r="J819">
        <v>1241</v>
      </c>
      <c r="K819" s="5">
        <v>1.020333E-2</v>
      </c>
      <c r="L819" t="s">
        <v>32</v>
      </c>
      <c r="M819" s="4">
        <v>-129990</v>
      </c>
      <c r="N819" s="3">
        <v>32.634999999999998</v>
      </c>
      <c r="O819" t="s">
        <v>33</v>
      </c>
      <c r="P819" t="s">
        <v>23</v>
      </c>
      <c r="Q819" t="s">
        <v>24</v>
      </c>
      <c r="R819" t="s">
        <v>50</v>
      </c>
      <c r="S819">
        <v>8</v>
      </c>
    </row>
    <row r="820" spans="1:19" x14ac:dyDescent="0.3">
      <c r="A820" s="1">
        <v>41508</v>
      </c>
      <c r="B820">
        <v>2013</v>
      </c>
      <c r="C820" t="s">
        <v>18</v>
      </c>
      <c r="D820" s="4">
        <v>109740</v>
      </c>
      <c r="E820" s="2">
        <v>25010</v>
      </c>
      <c r="F820" t="s">
        <v>30</v>
      </c>
      <c r="G820" t="s">
        <v>31</v>
      </c>
      <c r="H820">
        <v>4</v>
      </c>
      <c r="I820">
        <v>3</v>
      </c>
      <c r="J820">
        <v>1475</v>
      </c>
      <c r="K820" s="5">
        <v>1.020333E-2</v>
      </c>
      <c r="L820" t="s">
        <v>21</v>
      </c>
      <c r="M820" s="4">
        <v>-84730</v>
      </c>
      <c r="N820" s="3">
        <v>16.9559</v>
      </c>
      <c r="O820" t="s">
        <v>33</v>
      </c>
      <c r="P820" t="s">
        <v>23</v>
      </c>
      <c r="Q820" t="s">
        <v>34</v>
      </c>
      <c r="R820" t="s">
        <v>50</v>
      </c>
      <c r="S820">
        <v>8</v>
      </c>
    </row>
    <row r="821" spans="1:19" x14ac:dyDescent="0.3">
      <c r="A821" s="1">
        <v>41509</v>
      </c>
      <c r="B821">
        <v>2013</v>
      </c>
      <c r="C821" t="s">
        <v>56</v>
      </c>
      <c r="D821" s="4">
        <v>410430</v>
      </c>
      <c r="E821" s="2">
        <v>29000</v>
      </c>
      <c r="F821" t="s">
        <v>19</v>
      </c>
      <c r="G821" t="s">
        <v>20</v>
      </c>
      <c r="H821">
        <v>3</v>
      </c>
      <c r="I821">
        <v>2</v>
      </c>
      <c r="J821">
        <v>952</v>
      </c>
      <c r="K821" s="5">
        <v>1.020333E-2</v>
      </c>
      <c r="L821" t="s">
        <v>27</v>
      </c>
      <c r="M821" s="4">
        <v>-381430</v>
      </c>
      <c r="N821" s="3">
        <v>30.462199999999999</v>
      </c>
      <c r="O821" t="s">
        <v>33</v>
      </c>
      <c r="P821" t="s">
        <v>23</v>
      </c>
      <c r="Q821" t="s">
        <v>24</v>
      </c>
      <c r="R821" t="s">
        <v>50</v>
      </c>
      <c r="S821">
        <v>8</v>
      </c>
    </row>
    <row r="822" spans="1:19" x14ac:dyDescent="0.3">
      <c r="A822" s="1">
        <v>41511</v>
      </c>
      <c r="B822">
        <v>2013</v>
      </c>
      <c r="C822" t="s">
        <v>52</v>
      </c>
      <c r="D822" s="4">
        <v>211100</v>
      </c>
      <c r="E822" s="2">
        <v>245000</v>
      </c>
      <c r="F822" t="s">
        <v>19</v>
      </c>
      <c r="G822" t="s">
        <v>20</v>
      </c>
      <c r="H822">
        <v>3</v>
      </c>
      <c r="I822">
        <v>3</v>
      </c>
      <c r="J822">
        <v>1071</v>
      </c>
      <c r="K822" s="5">
        <v>1.020333E-2</v>
      </c>
      <c r="L822" t="s">
        <v>32</v>
      </c>
      <c r="M822" s="4">
        <v>33900</v>
      </c>
      <c r="N822" s="3">
        <v>228.75819999999999</v>
      </c>
      <c r="O822" t="s">
        <v>22</v>
      </c>
      <c r="P822" t="s">
        <v>24</v>
      </c>
      <c r="Q822" t="s">
        <v>24</v>
      </c>
      <c r="R822" t="s">
        <v>50</v>
      </c>
      <c r="S822">
        <v>8</v>
      </c>
    </row>
    <row r="823" spans="1:19" x14ac:dyDescent="0.3">
      <c r="A823" s="1">
        <v>41512</v>
      </c>
      <c r="B823">
        <v>2013</v>
      </c>
      <c r="C823" t="s">
        <v>40</v>
      </c>
      <c r="D823" s="4">
        <v>564680</v>
      </c>
      <c r="E823" s="2">
        <v>755000</v>
      </c>
      <c r="F823" t="s">
        <v>19</v>
      </c>
      <c r="G823" t="s">
        <v>20</v>
      </c>
      <c r="H823">
        <v>3</v>
      </c>
      <c r="I823">
        <v>3</v>
      </c>
      <c r="J823">
        <v>998</v>
      </c>
      <c r="K823" s="5">
        <v>1.020333E-2</v>
      </c>
      <c r="L823" t="s">
        <v>38</v>
      </c>
      <c r="M823" s="4">
        <v>190320</v>
      </c>
      <c r="N823" s="3">
        <v>756.51300000000003</v>
      </c>
      <c r="O823" t="s">
        <v>22</v>
      </c>
      <c r="P823" t="s">
        <v>28</v>
      </c>
      <c r="Q823" t="s">
        <v>24</v>
      </c>
      <c r="R823" t="s">
        <v>50</v>
      </c>
      <c r="S823">
        <v>8</v>
      </c>
    </row>
    <row r="824" spans="1:19" x14ac:dyDescent="0.3">
      <c r="A824" s="1">
        <v>41515</v>
      </c>
      <c r="B824">
        <v>2013</v>
      </c>
      <c r="C824" t="s">
        <v>29</v>
      </c>
      <c r="D824" s="4">
        <v>444584.20699999999</v>
      </c>
      <c r="E824" s="2">
        <v>21000</v>
      </c>
      <c r="F824" t="s">
        <v>30</v>
      </c>
      <c r="G824" t="s">
        <v>31</v>
      </c>
      <c r="H824">
        <v>4</v>
      </c>
      <c r="I824">
        <v>3</v>
      </c>
      <c r="J824">
        <v>1340</v>
      </c>
      <c r="K824" s="5">
        <v>1.020333E-2</v>
      </c>
      <c r="L824" t="s">
        <v>27</v>
      </c>
      <c r="M824" s="4">
        <v>-423584.20699999999</v>
      </c>
      <c r="N824" s="3">
        <v>15.6716</v>
      </c>
      <c r="O824" t="s">
        <v>33</v>
      </c>
      <c r="P824" t="s">
        <v>23</v>
      </c>
      <c r="Q824" t="s">
        <v>34</v>
      </c>
      <c r="R824" t="s">
        <v>50</v>
      </c>
      <c r="S824">
        <v>8</v>
      </c>
    </row>
    <row r="825" spans="1:19" x14ac:dyDescent="0.3">
      <c r="A825" s="1">
        <v>41516</v>
      </c>
      <c r="B825">
        <v>2013</v>
      </c>
      <c r="C825" t="s">
        <v>56</v>
      </c>
      <c r="D825" s="4">
        <v>554730</v>
      </c>
      <c r="E825" s="2">
        <v>600000</v>
      </c>
      <c r="F825" t="s">
        <v>19</v>
      </c>
      <c r="G825" t="s">
        <v>20</v>
      </c>
      <c r="H825">
        <v>3</v>
      </c>
      <c r="I825">
        <v>1</v>
      </c>
      <c r="J825">
        <v>967</v>
      </c>
      <c r="K825" s="5">
        <v>1.020333E-2</v>
      </c>
      <c r="L825" t="s">
        <v>21</v>
      </c>
      <c r="M825" s="4">
        <v>45270</v>
      </c>
      <c r="N825" s="3">
        <v>620.47569999999996</v>
      </c>
      <c r="O825" t="s">
        <v>22</v>
      </c>
      <c r="P825" t="s">
        <v>28</v>
      </c>
      <c r="Q825" t="s">
        <v>24</v>
      </c>
      <c r="R825" t="s">
        <v>50</v>
      </c>
      <c r="S825">
        <v>8</v>
      </c>
    </row>
    <row r="826" spans="1:19" x14ac:dyDescent="0.3">
      <c r="A826" s="1">
        <v>41517</v>
      </c>
      <c r="B826">
        <v>2013</v>
      </c>
      <c r="C826" t="s">
        <v>18</v>
      </c>
      <c r="D826" s="4">
        <v>111550</v>
      </c>
      <c r="E826" s="2">
        <v>105000</v>
      </c>
      <c r="F826" t="s">
        <v>19</v>
      </c>
      <c r="G826" t="s">
        <v>20</v>
      </c>
      <c r="H826">
        <v>3</v>
      </c>
      <c r="I826">
        <v>2</v>
      </c>
      <c r="J826">
        <v>1007</v>
      </c>
      <c r="K826" s="5">
        <v>1.020333E-2</v>
      </c>
      <c r="L826" t="s">
        <v>32</v>
      </c>
      <c r="M826" s="4">
        <v>-6550</v>
      </c>
      <c r="N826" s="3">
        <v>104.2701</v>
      </c>
      <c r="O826" t="s">
        <v>33</v>
      </c>
      <c r="P826" t="s">
        <v>23</v>
      </c>
      <c r="Q826" t="s">
        <v>24</v>
      </c>
      <c r="R826" t="s">
        <v>50</v>
      </c>
      <c r="S826">
        <v>8</v>
      </c>
    </row>
    <row r="827" spans="1:19" x14ac:dyDescent="0.3">
      <c r="A827" s="1">
        <v>41518</v>
      </c>
      <c r="B827">
        <v>2013</v>
      </c>
      <c r="C827" t="s">
        <v>56</v>
      </c>
      <c r="D827" s="4">
        <v>473220</v>
      </c>
      <c r="E827" s="2">
        <v>480000</v>
      </c>
      <c r="F827" t="s">
        <v>19</v>
      </c>
      <c r="G827" t="s">
        <v>20</v>
      </c>
      <c r="H827">
        <v>3</v>
      </c>
      <c r="I827">
        <v>1</v>
      </c>
      <c r="J827">
        <v>1096</v>
      </c>
      <c r="K827" s="5">
        <v>1.020333E-2</v>
      </c>
      <c r="L827" t="s">
        <v>32</v>
      </c>
      <c r="M827" s="4">
        <v>6780</v>
      </c>
      <c r="N827" s="3">
        <v>437.95620000000002</v>
      </c>
      <c r="O827" t="s">
        <v>22</v>
      </c>
      <c r="P827" t="s">
        <v>24</v>
      </c>
      <c r="Q827" t="s">
        <v>24</v>
      </c>
      <c r="R827" t="s">
        <v>51</v>
      </c>
      <c r="S827">
        <v>9</v>
      </c>
    </row>
    <row r="828" spans="1:19" x14ac:dyDescent="0.3">
      <c r="A828" s="1">
        <v>41524</v>
      </c>
      <c r="B828">
        <v>2013</v>
      </c>
      <c r="C828" t="s">
        <v>18</v>
      </c>
      <c r="D828" s="4">
        <v>444584.20699999999</v>
      </c>
      <c r="E828" s="2">
        <v>36000</v>
      </c>
      <c r="F828" t="s">
        <v>19</v>
      </c>
      <c r="G828" t="s">
        <v>20</v>
      </c>
      <c r="H828">
        <v>3</v>
      </c>
      <c r="I828">
        <v>2</v>
      </c>
      <c r="J828">
        <v>900</v>
      </c>
      <c r="K828" s="5">
        <v>1.020333E-2</v>
      </c>
      <c r="L828" t="s">
        <v>32</v>
      </c>
      <c r="M828" s="4">
        <v>-408584.20699999999</v>
      </c>
      <c r="N828" s="3">
        <v>40</v>
      </c>
      <c r="O828" t="s">
        <v>33</v>
      </c>
      <c r="P828" t="s">
        <v>23</v>
      </c>
      <c r="Q828" t="s">
        <v>24</v>
      </c>
      <c r="R828" t="s">
        <v>51</v>
      </c>
      <c r="S828">
        <v>9</v>
      </c>
    </row>
    <row r="829" spans="1:19" x14ac:dyDescent="0.3">
      <c r="A829" s="1">
        <v>41525</v>
      </c>
      <c r="B829">
        <v>2013</v>
      </c>
      <c r="C829" t="s">
        <v>40</v>
      </c>
      <c r="D829" s="4">
        <v>204330</v>
      </c>
      <c r="E829" s="2">
        <v>135000</v>
      </c>
      <c r="F829" t="s">
        <v>36</v>
      </c>
      <c r="G829" t="s">
        <v>37</v>
      </c>
      <c r="H829">
        <v>6</v>
      </c>
      <c r="I829">
        <v>5</v>
      </c>
      <c r="J829">
        <v>2157</v>
      </c>
      <c r="K829" s="5">
        <v>1.020333E-2</v>
      </c>
      <c r="L829" t="s">
        <v>21</v>
      </c>
      <c r="M829" s="4">
        <v>-69330</v>
      </c>
      <c r="N829" s="3">
        <v>62.5869</v>
      </c>
      <c r="O829" t="s">
        <v>33</v>
      </c>
      <c r="P829" t="s">
        <v>23</v>
      </c>
      <c r="Q829" t="s">
        <v>34</v>
      </c>
      <c r="R829" t="s">
        <v>51</v>
      </c>
      <c r="S829">
        <v>9</v>
      </c>
    </row>
    <row r="830" spans="1:19" x14ac:dyDescent="0.3">
      <c r="A830" s="1">
        <v>41526</v>
      </c>
      <c r="B830">
        <v>2013</v>
      </c>
      <c r="C830" t="s">
        <v>18</v>
      </c>
      <c r="D830" s="4">
        <v>206640</v>
      </c>
      <c r="E830" s="2">
        <v>220000</v>
      </c>
      <c r="F830" t="s">
        <v>19</v>
      </c>
      <c r="G830" t="s">
        <v>20</v>
      </c>
      <c r="H830">
        <v>3</v>
      </c>
      <c r="I830">
        <v>1</v>
      </c>
      <c r="J830">
        <v>1036</v>
      </c>
      <c r="K830" s="5">
        <v>1.020333E-2</v>
      </c>
      <c r="L830" t="s">
        <v>38</v>
      </c>
      <c r="M830" s="4">
        <v>13360</v>
      </c>
      <c r="N830" s="3">
        <v>212.3552</v>
      </c>
      <c r="O830" t="s">
        <v>22</v>
      </c>
      <c r="P830" t="s">
        <v>24</v>
      </c>
      <c r="Q830" t="s">
        <v>24</v>
      </c>
      <c r="R830" t="s">
        <v>51</v>
      </c>
      <c r="S830">
        <v>9</v>
      </c>
    </row>
    <row r="831" spans="1:19" x14ac:dyDescent="0.3">
      <c r="A831" s="1">
        <v>41530</v>
      </c>
      <c r="B831">
        <v>2013</v>
      </c>
      <c r="C831" t="s">
        <v>52</v>
      </c>
      <c r="D831" s="4">
        <v>444584.20699999999</v>
      </c>
      <c r="E831" s="2">
        <v>363000</v>
      </c>
      <c r="F831" t="s">
        <v>19</v>
      </c>
      <c r="G831" t="s">
        <v>20</v>
      </c>
      <c r="H831">
        <v>3</v>
      </c>
      <c r="I831">
        <v>1</v>
      </c>
      <c r="J831">
        <v>956</v>
      </c>
      <c r="K831" s="5">
        <v>1.020333E-2</v>
      </c>
      <c r="L831" t="s">
        <v>38</v>
      </c>
      <c r="M831" s="4">
        <v>-81584.206999999995</v>
      </c>
      <c r="N831" s="3">
        <v>379.70710000000003</v>
      </c>
      <c r="O831" t="s">
        <v>33</v>
      </c>
      <c r="P831" t="s">
        <v>24</v>
      </c>
      <c r="Q831" t="s">
        <v>24</v>
      </c>
      <c r="R831" t="s">
        <v>51</v>
      </c>
      <c r="S831">
        <v>9</v>
      </c>
    </row>
    <row r="832" spans="1:19" x14ac:dyDescent="0.3">
      <c r="A832" s="1">
        <v>41531</v>
      </c>
      <c r="B832">
        <v>2013</v>
      </c>
      <c r="C832" t="s">
        <v>18</v>
      </c>
      <c r="D832" s="4">
        <v>444584.20699999999</v>
      </c>
      <c r="E832" s="2">
        <v>10000</v>
      </c>
      <c r="F832" t="s">
        <v>30</v>
      </c>
      <c r="G832" t="s">
        <v>31</v>
      </c>
      <c r="H832">
        <v>4</v>
      </c>
      <c r="I832">
        <v>3</v>
      </c>
      <c r="J832">
        <v>1111.6589814177564</v>
      </c>
      <c r="K832" s="5">
        <v>1.020333E-2</v>
      </c>
      <c r="L832" t="s">
        <v>32</v>
      </c>
      <c r="M832" s="4">
        <v>-434584.20699999999</v>
      </c>
      <c r="N832" s="3">
        <v>8.9955999999999996</v>
      </c>
      <c r="O832" t="s">
        <v>33</v>
      </c>
      <c r="P832" t="s">
        <v>23</v>
      </c>
      <c r="Q832" t="s">
        <v>24</v>
      </c>
      <c r="R832" t="s">
        <v>51</v>
      </c>
      <c r="S832">
        <v>9</v>
      </c>
    </row>
    <row r="833" spans="1:19" x14ac:dyDescent="0.3">
      <c r="A833" s="1">
        <v>41532</v>
      </c>
      <c r="B833">
        <v>2013</v>
      </c>
      <c r="C833" t="s">
        <v>56</v>
      </c>
      <c r="D833" s="4">
        <v>378670</v>
      </c>
      <c r="E833" s="2">
        <v>360000</v>
      </c>
      <c r="F833" t="s">
        <v>19</v>
      </c>
      <c r="G833" t="s">
        <v>20</v>
      </c>
      <c r="H833">
        <v>3</v>
      </c>
      <c r="I833">
        <v>1</v>
      </c>
      <c r="J833">
        <v>986</v>
      </c>
      <c r="K833" s="5">
        <v>1.020333E-2</v>
      </c>
      <c r="L833" t="s">
        <v>38</v>
      </c>
      <c r="M833" s="4">
        <v>-18670</v>
      </c>
      <c r="N833" s="3">
        <v>365.11160000000001</v>
      </c>
      <c r="O833" t="s">
        <v>33</v>
      </c>
      <c r="P833" t="s">
        <v>24</v>
      </c>
      <c r="Q833" t="s">
        <v>24</v>
      </c>
      <c r="R833" t="s">
        <v>51</v>
      </c>
      <c r="S833">
        <v>9</v>
      </c>
    </row>
    <row r="834" spans="1:19" x14ac:dyDescent="0.3">
      <c r="A834" s="1">
        <v>41533</v>
      </c>
      <c r="B834">
        <v>2013</v>
      </c>
      <c r="C834" t="s">
        <v>56</v>
      </c>
      <c r="D834" s="4">
        <v>608170</v>
      </c>
      <c r="E834" s="2">
        <v>750000</v>
      </c>
      <c r="F834" t="s">
        <v>19</v>
      </c>
      <c r="G834" t="s">
        <v>20</v>
      </c>
      <c r="H834">
        <v>3</v>
      </c>
      <c r="I834">
        <v>1</v>
      </c>
      <c r="J834">
        <v>1111.6589814177564</v>
      </c>
      <c r="K834" s="5">
        <v>1.020333E-2</v>
      </c>
      <c r="L834" t="s">
        <v>27</v>
      </c>
      <c r="M834" s="4">
        <v>141830</v>
      </c>
      <c r="N834" s="3">
        <v>674.66729999999995</v>
      </c>
      <c r="O834" t="s">
        <v>22</v>
      </c>
      <c r="P834" t="s">
        <v>28</v>
      </c>
      <c r="Q834" t="s">
        <v>24</v>
      </c>
      <c r="R834" t="s">
        <v>51</v>
      </c>
      <c r="S834">
        <v>9</v>
      </c>
    </row>
    <row r="835" spans="1:19" x14ac:dyDescent="0.3">
      <c r="A835" s="1">
        <v>41536</v>
      </c>
      <c r="B835">
        <v>2013</v>
      </c>
      <c r="C835" t="s">
        <v>26</v>
      </c>
      <c r="D835" s="4">
        <v>255080</v>
      </c>
      <c r="E835" s="2">
        <v>302500</v>
      </c>
      <c r="F835" t="s">
        <v>19</v>
      </c>
      <c r="G835" t="s">
        <v>20</v>
      </c>
      <c r="H835">
        <v>3</v>
      </c>
      <c r="I835">
        <v>2</v>
      </c>
      <c r="J835">
        <v>1020</v>
      </c>
      <c r="K835" s="5">
        <v>1.020333E-2</v>
      </c>
      <c r="L835" t="s">
        <v>38</v>
      </c>
      <c r="M835" s="4">
        <v>47420</v>
      </c>
      <c r="N835" s="3">
        <v>296.5686</v>
      </c>
      <c r="O835" t="s">
        <v>22</v>
      </c>
      <c r="P835" t="s">
        <v>24</v>
      </c>
      <c r="Q835" t="s">
        <v>24</v>
      </c>
      <c r="R835" t="s">
        <v>51</v>
      </c>
      <c r="S835">
        <v>9</v>
      </c>
    </row>
    <row r="836" spans="1:19" x14ac:dyDescent="0.3">
      <c r="A836" s="1">
        <v>41537</v>
      </c>
      <c r="B836">
        <v>2013</v>
      </c>
      <c r="C836" t="s">
        <v>52</v>
      </c>
      <c r="D836" s="4">
        <v>269500</v>
      </c>
      <c r="E836" s="2">
        <v>365000</v>
      </c>
      <c r="F836" t="s">
        <v>19</v>
      </c>
      <c r="G836" t="s">
        <v>20</v>
      </c>
      <c r="H836">
        <v>3</v>
      </c>
      <c r="I836">
        <v>1</v>
      </c>
      <c r="J836">
        <v>978</v>
      </c>
      <c r="K836" s="5">
        <v>1.020333E-2</v>
      </c>
      <c r="L836" t="s">
        <v>38</v>
      </c>
      <c r="M836" s="4">
        <v>95500</v>
      </c>
      <c r="N836" s="3">
        <v>373.2106</v>
      </c>
      <c r="O836" t="s">
        <v>22</v>
      </c>
      <c r="P836" t="s">
        <v>24</v>
      </c>
      <c r="Q836" t="s">
        <v>24</v>
      </c>
      <c r="R836" t="s">
        <v>51</v>
      </c>
      <c r="S836">
        <v>9</v>
      </c>
    </row>
    <row r="837" spans="1:19" x14ac:dyDescent="0.3">
      <c r="A837" s="1">
        <v>41540</v>
      </c>
      <c r="B837">
        <v>2013</v>
      </c>
      <c r="C837" t="s">
        <v>56</v>
      </c>
      <c r="D837" s="4">
        <v>323760</v>
      </c>
      <c r="E837" s="2">
        <v>440000</v>
      </c>
      <c r="F837" t="s">
        <v>19</v>
      </c>
      <c r="G837" t="s">
        <v>20</v>
      </c>
      <c r="H837">
        <v>3</v>
      </c>
      <c r="I837">
        <v>3</v>
      </c>
      <c r="J837">
        <v>1070</v>
      </c>
      <c r="K837" s="5">
        <v>1.020333E-2</v>
      </c>
      <c r="L837" t="s">
        <v>32</v>
      </c>
      <c r="M837" s="4">
        <v>116240</v>
      </c>
      <c r="N837" s="3">
        <v>411.21499999999997</v>
      </c>
      <c r="O837" t="s">
        <v>22</v>
      </c>
      <c r="P837" t="s">
        <v>24</v>
      </c>
      <c r="Q837" t="s">
        <v>24</v>
      </c>
      <c r="R837" t="s">
        <v>51</v>
      </c>
      <c r="S837">
        <v>9</v>
      </c>
    </row>
    <row r="838" spans="1:19" x14ac:dyDescent="0.3">
      <c r="A838" s="1">
        <v>41543</v>
      </c>
      <c r="B838">
        <v>2013</v>
      </c>
      <c r="C838" t="s">
        <v>52</v>
      </c>
      <c r="D838" s="4">
        <v>311000</v>
      </c>
      <c r="E838" s="2">
        <v>390000</v>
      </c>
      <c r="F838" t="s">
        <v>19</v>
      </c>
      <c r="G838" t="s">
        <v>20</v>
      </c>
      <c r="H838">
        <v>3</v>
      </c>
      <c r="I838">
        <v>2</v>
      </c>
      <c r="J838">
        <v>1060</v>
      </c>
      <c r="K838" s="5">
        <v>1.020333E-2</v>
      </c>
      <c r="L838" t="s">
        <v>38</v>
      </c>
      <c r="M838" s="4">
        <v>79000</v>
      </c>
      <c r="N838" s="3">
        <v>367.92450000000002</v>
      </c>
      <c r="O838" t="s">
        <v>22</v>
      </c>
      <c r="P838" t="s">
        <v>24</v>
      </c>
      <c r="Q838" t="s">
        <v>24</v>
      </c>
      <c r="R838" t="s">
        <v>51</v>
      </c>
      <c r="S838">
        <v>9</v>
      </c>
    </row>
    <row r="839" spans="1:19" x14ac:dyDescent="0.3">
      <c r="A839" s="1">
        <v>41544</v>
      </c>
      <c r="B839">
        <v>2013</v>
      </c>
      <c r="C839" t="s">
        <v>29</v>
      </c>
      <c r="D839" s="4">
        <v>159830</v>
      </c>
      <c r="E839" s="2">
        <v>76100</v>
      </c>
      <c r="F839" t="s">
        <v>30</v>
      </c>
      <c r="G839" t="s">
        <v>31</v>
      </c>
      <c r="H839">
        <v>4</v>
      </c>
      <c r="I839">
        <v>2</v>
      </c>
      <c r="J839">
        <v>1336</v>
      </c>
      <c r="K839" s="5">
        <v>1.020333E-2</v>
      </c>
      <c r="L839" t="s">
        <v>32</v>
      </c>
      <c r="M839" s="4">
        <v>-83730</v>
      </c>
      <c r="N839" s="3">
        <v>56.961100000000002</v>
      </c>
      <c r="O839" t="s">
        <v>33</v>
      </c>
      <c r="P839" t="s">
        <v>23</v>
      </c>
      <c r="Q839" t="s">
        <v>34</v>
      </c>
      <c r="R839" t="s">
        <v>51</v>
      </c>
      <c r="S839">
        <v>9</v>
      </c>
    </row>
    <row r="840" spans="1:19" x14ac:dyDescent="0.3">
      <c r="A840" s="1">
        <v>41545</v>
      </c>
      <c r="B840">
        <v>2013</v>
      </c>
      <c r="C840" t="s">
        <v>18</v>
      </c>
      <c r="D840" s="4">
        <v>137300</v>
      </c>
      <c r="E840" s="2">
        <v>75000</v>
      </c>
      <c r="F840" t="s">
        <v>36</v>
      </c>
      <c r="G840" t="s">
        <v>37</v>
      </c>
      <c r="H840">
        <v>6</v>
      </c>
      <c r="I840">
        <v>6</v>
      </c>
      <c r="J840">
        <v>1949</v>
      </c>
      <c r="K840" s="5">
        <v>1.020333E-2</v>
      </c>
      <c r="L840" t="s">
        <v>21</v>
      </c>
      <c r="M840" s="4">
        <v>-62300</v>
      </c>
      <c r="N840" s="3">
        <v>38.481299999999997</v>
      </c>
      <c r="O840" t="s">
        <v>33</v>
      </c>
      <c r="P840" t="s">
        <v>23</v>
      </c>
      <c r="Q840" t="s">
        <v>34</v>
      </c>
      <c r="R840" t="s">
        <v>51</v>
      </c>
      <c r="S840">
        <v>9</v>
      </c>
    </row>
    <row r="841" spans="1:19" x14ac:dyDescent="0.3">
      <c r="A841" s="1">
        <v>41546</v>
      </c>
      <c r="B841">
        <v>2013</v>
      </c>
      <c r="C841" t="s">
        <v>52</v>
      </c>
      <c r="D841" s="4">
        <v>125500</v>
      </c>
      <c r="E841" s="2">
        <v>118000</v>
      </c>
      <c r="F841" t="s">
        <v>19</v>
      </c>
      <c r="G841" t="s">
        <v>20</v>
      </c>
      <c r="H841">
        <v>3</v>
      </c>
      <c r="I841">
        <v>2</v>
      </c>
      <c r="J841">
        <v>975</v>
      </c>
      <c r="K841" s="5">
        <v>1.020333E-2</v>
      </c>
      <c r="L841" t="s">
        <v>27</v>
      </c>
      <c r="M841" s="4">
        <v>-7500</v>
      </c>
      <c r="N841" s="3">
        <v>121.0256</v>
      </c>
      <c r="O841" t="s">
        <v>33</v>
      </c>
      <c r="P841" t="s">
        <v>23</v>
      </c>
      <c r="Q841" t="s">
        <v>24</v>
      </c>
      <c r="R841" t="s">
        <v>51</v>
      </c>
      <c r="S841">
        <v>9</v>
      </c>
    </row>
    <row r="842" spans="1:19" x14ac:dyDescent="0.3">
      <c r="A842" s="1">
        <v>41547</v>
      </c>
      <c r="B842">
        <v>2013</v>
      </c>
      <c r="C842" t="s">
        <v>40</v>
      </c>
      <c r="D842" s="4">
        <v>444584.20699999999</v>
      </c>
      <c r="E842" s="2">
        <v>50000</v>
      </c>
      <c r="F842" t="s">
        <v>19</v>
      </c>
      <c r="G842" t="s">
        <v>20</v>
      </c>
      <c r="H842">
        <v>3</v>
      </c>
      <c r="I842">
        <v>3</v>
      </c>
      <c r="J842">
        <v>964</v>
      </c>
      <c r="K842" s="5">
        <v>1.020333E-2</v>
      </c>
      <c r="L842" t="s">
        <v>38</v>
      </c>
      <c r="M842" s="4">
        <v>-394584.20699999999</v>
      </c>
      <c r="N842" s="3">
        <v>51.867199999999997</v>
      </c>
      <c r="O842" t="s">
        <v>33</v>
      </c>
      <c r="P842" t="s">
        <v>23</v>
      </c>
      <c r="Q842" t="s">
        <v>24</v>
      </c>
      <c r="R842" t="s">
        <v>51</v>
      </c>
      <c r="S842">
        <v>9</v>
      </c>
    </row>
    <row r="843" spans="1:19" x14ac:dyDescent="0.3">
      <c r="A843" s="1">
        <v>41550</v>
      </c>
      <c r="B843">
        <v>2013</v>
      </c>
      <c r="C843" t="s">
        <v>18</v>
      </c>
      <c r="D843" s="4">
        <v>148240</v>
      </c>
      <c r="E843" s="2">
        <v>145000</v>
      </c>
      <c r="F843" t="s">
        <v>19</v>
      </c>
      <c r="G843" t="s">
        <v>20</v>
      </c>
      <c r="H843">
        <v>3</v>
      </c>
      <c r="I843">
        <v>2</v>
      </c>
      <c r="J843">
        <v>1111.6589814177564</v>
      </c>
      <c r="K843" s="5">
        <v>1.020333E-2</v>
      </c>
      <c r="L843" t="s">
        <v>21</v>
      </c>
      <c r="M843" s="4">
        <v>-3240</v>
      </c>
      <c r="N843" s="3">
        <v>130.4357</v>
      </c>
      <c r="O843" t="s">
        <v>33</v>
      </c>
      <c r="P843" t="s">
        <v>23</v>
      </c>
      <c r="Q843" t="s">
        <v>24</v>
      </c>
      <c r="R843" t="s">
        <v>53</v>
      </c>
      <c r="S843">
        <v>10</v>
      </c>
    </row>
    <row r="844" spans="1:19" x14ac:dyDescent="0.3">
      <c r="A844" s="1">
        <v>41551</v>
      </c>
      <c r="B844">
        <v>2013</v>
      </c>
      <c r="C844" t="s">
        <v>29</v>
      </c>
      <c r="D844" s="4">
        <v>125050</v>
      </c>
      <c r="E844" s="2">
        <v>120000</v>
      </c>
      <c r="F844" t="s">
        <v>19</v>
      </c>
      <c r="G844" t="s">
        <v>20</v>
      </c>
      <c r="H844">
        <v>3</v>
      </c>
      <c r="I844">
        <v>2</v>
      </c>
      <c r="J844">
        <v>1077</v>
      </c>
      <c r="K844" s="5">
        <v>1.020333E-2</v>
      </c>
      <c r="L844" t="s">
        <v>21</v>
      </c>
      <c r="M844" s="4">
        <v>-5050</v>
      </c>
      <c r="N844" s="3">
        <v>111.42059999999999</v>
      </c>
      <c r="O844" t="s">
        <v>33</v>
      </c>
      <c r="P844" t="s">
        <v>23</v>
      </c>
      <c r="Q844" t="s">
        <v>24</v>
      </c>
      <c r="R844" t="s">
        <v>53</v>
      </c>
      <c r="S844">
        <v>10</v>
      </c>
    </row>
    <row r="845" spans="1:19" x14ac:dyDescent="0.3">
      <c r="A845" s="1">
        <v>41552</v>
      </c>
      <c r="B845">
        <v>2013</v>
      </c>
      <c r="C845" t="s">
        <v>40</v>
      </c>
      <c r="D845" s="4">
        <v>307160</v>
      </c>
      <c r="E845" s="2">
        <v>205000</v>
      </c>
      <c r="F845" t="s">
        <v>19</v>
      </c>
      <c r="G845" t="s">
        <v>20</v>
      </c>
      <c r="H845">
        <v>3</v>
      </c>
      <c r="I845">
        <v>1</v>
      </c>
      <c r="J845">
        <v>934</v>
      </c>
      <c r="K845" s="5">
        <v>1.020333E-2</v>
      </c>
      <c r="L845" t="s">
        <v>38</v>
      </c>
      <c r="M845" s="4">
        <v>-102160</v>
      </c>
      <c r="N845" s="3">
        <v>219.48609999999999</v>
      </c>
      <c r="O845" t="s">
        <v>33</v>
      </c>
      <c r="P845" t="s">
        <v>24</v>
      </c>
      <c r="Q845" t="s">
        <v>24</v>
      </c>
      <c r="R845" t="s">
        <v>53</v>
      </c>
      <c r="S845">
        <v>10</v>
      </c>
    </row>
    <row r="846" spans="1:19" x14ac:dyDescent="0.3">
      <c r="A846" s="1">
        <v>41553</v>
      </c>
      <c r="B846">
        <v>2013</v>
      </c>
      <c r="C846" t="s">
        <v>26</v>
      </c>
      <c r="D846" s="4">
        <v>289870</v>
      </c>
      <c r="E846" s="2">
        <v>420000</v>
      </c>
      <c r="F846" t="s">
        <v>19</v>
      </c>
      <c r="G846" t="s">
        <v>20</v>
      </c>
      <c r="H846">
        <v>3</v>
      </c>
      <c r="I846">
        <v>1</v>
      </c>
      <c r="J846">
        <v>937</v>
      </c>
      <c r="K846" s="5">
        <v>1.020333E-2</v>
      </c>
      <c r="L846" t="s">
        <v>27</v>
      </c>
      <c r="M846" s="4">
        <v>130130</v>
      </c>
      <c r="N846" s="3">
        <v>448.23910000000001</v>
      </c>
      <c r="O846" t="s">
        <v>22</v>
      </c>
      <c r="P846" t="s">
        <v>24</v>
      </c>
      <c r="Q846" t="s">
        <v>24</v>
      </c>
      <c r="R846" t="s">
        <v>53</v>
      </c>
      <c r="S846">
        <v>10</v>
      </c>
    </row>
    <row r="847" spans="1:19" x14ac:dyDescent="0.3">
      <c r="A847" s="1">
        <v>41559</v>
      </c>
      <c r="B847">
        <v>2013</v>
      </c>
      <c r="C847" t="s">
        <v>39</v>
      </c>
      <c r="D847" s="4">
        <v>257390</v>
      </c>
      <c r="E847" s="2">
        <v>423000</v>
      </c>
      <c r="F847" t="s">
        <v>19</v>
      </c>
      <c r="G847" t="s">
        <v>20</v>
      </c>
      <c r="H847">
        <v>3</v>
      </c>
      <c r="I847">
        <v>2</v>
      </c>
      <c r="J847">
        <v>1093</v>
      </c>
      <c r="K847" s="5">
        <v>1.020333E-2</v>
      </c>
      <c r="L847" t="s">
        <v>38</v>
      </c>
      <c r="M847" s="4">
        <v>165610</v>
      </c>
      <c r="N847" s="3">
        <v>387.00819999999999</v>
      </c>
      <c r="O847" t="s">
        <v>22</v>
      </c>
      <c r="P847" t="s">
        <v>24</v>
      </c>
      <c r="Q847" t="s">
        <v>24</v>
      </c>
      <c r="R847" t="s">
        <v>53</v>
      </c>
      <c r="S847">
        <v>10</v>
      </c>
    </row>
    <row r="848" spans="1:19" x14ac:dyDescent="0.3">
      <c r="A848" s="1">
        <v>41560</v>
      </c>
      <c r="B848">
        <v>2013</v>
      </c>
      <c r="C848" t="s">
        <v>29</v>
      </c>
      <c r="D848" s="4">
        <v>173990</v>
      </c>
      <c r="E848" s="2">
        <v>140000</v>
      </c>
      <c r="F848" t="s">
        <v>36</v>
      </c>
      <c r="G848" t="s">
        <v>37</v>
      </c>
      <c r="H848">
        <v>6</v>
      </c>
      <c r="I848">
        <v>6</v>
      </c>
      <c r="J848">
        <v>2029</v>
      </c>
      <c r="K848" s="5">
        <v>1.020333E-2</v>
      </c>
      <c r="L848" t="s">
        <v>32</v>
      </c>
      <c r="M848" s="4">
        <v>-33990</v>
      </c>
      <c r="N848" s="3">
        <v>68.999499999999998</v>
      </c>
      <c r="O848" t="s">
        <v>33</v>
      </c>
      <c r="P848" t="s">
        <v>23</v>
      </c>
      <c r="Q848" t="s">
        <v>34</v>
      </c>
      <c r="R848" t="s">
        <v>53</v>
      </c>
      <c r="S848">
        <v>10</v>
      </c>
    </row>
    <row r="849" spans="1:19" x14ac:dyDescent="0.3">
      <c r="A849" s="1">
        <v>41561</v>
      </c>
      <c r="B849">
        <v>2013</v>
      </c>
      <c r="C849" t="s">
        <v>39</v>
      </c>
      <c r="D849" s="4">
        <v>1349530</v>
      </c>
      <c r="E849" s="2">
        <v>2275000</v>
      </c>
      <c r="F849" t="s">
        <v>19</v>
      </c>
      <c r="G849" t="s">
        <v>20</v>
      </c>
      <c r="H849">
        <v>3</v>
      </c>
      <c r="I849">
        <v>3</v>
      </c>
      <c r="J849">
        <v>1094</v>
      </c>
      <c r="K849" s="5">
        <v>1.020333E-2</v>
      </c>
      <c r="L849" t="s">
        <v>32</v>
      </c>
      <c r="M849" s="4">
        <v>925470</v>
      </c>
      <c r="N849" s="3">
        <v>2079.5246999999999</v>
      </c>
      <c r="O849" t="s">
        <v>22</v>
      </c>
      <c r="P849" t="s">
        <v>28</v>
      </c>
      <c r="Q849" t="s">
        <v>24</v>
      </c>
      <c r="R849" t="s">
        <v>53</v>
      </c>
      <c r="S849">
        <v>10</v>
      </c>
    </row>
    <row r="850" spans="1:19" x14ac:dyDescent="0.3">
      <c r="A850" s="1">
        <v>41564</v>
      </c>
      <c r="B850">
        <v>2013</v>
      </c>
      <c r="C850" t="s">
        <v>29</v>
      </c>
      <c r="D850" s="4">
        <v>168350</v>
      </c>
      <c r="E850" s="2">
        <v>270000</v>
      </c>
      <c r="F850" t="s">
        <v>36</v>
      </c>
      <c r="G850" t="s">
        <v>37</v>
      </c>
      <c r="H850">
        <v>6</v>
      </c>
      <c r="I850">
        <v>4</v>
      </c>
      <c r="J850">
        <v>2066</v>
      </c>
      <c r="K850" s="5">
        <v>1.020333E-2</v>
      </c>
      <c r="L850" t="s">
        <v>38</v>
      </c>
      <c r="M850" s="4">
        <v>101650</v>
      </c>
      <c r="N850" s="3">
        <v>130.68729999999999</v>
      </c>
      <c r="O850" t="s">
        <v>22</v>
      </c>
      <c r="P850" t="s">
        <v>24</v>
      </c>
      <c r="Q850" t="s">
        <v>34</v>
      </c>
      <c r="R850" t="s">
        <v>53</v>
      </c>
      <c r="S850">
        <v>10</v>
      </c>
    </row>
    <row r="851" spans="1:19" x14ac:dyDescent="0.3">
      <c r="A851" s="1">
        <v>41566</v>
      </c>
      <c r="B851">
        <v>2013</v>
      </c>
      <c r="C851" t="s">
        <v>56</v>
      </c>
      <c r="D851" s="4">
        <v>507650</v>
      </c>
      <c r="E851" s="2">
        <v>480000</v>
      </c>
      <c r="F851" t="s">
        <v>30</v>
      </c>
      <c r="G851" t="s">
        <v>31</v>
      </c>
      <c r="H851">
        <v>4</v>
      </c>
      <c r="I851">
        <v>2</v>
      </c>
      <c r="J851">
        <v>1111.6589814177564</v>
      </c>
      <c r="K851" s="5">
        <v>1.020333E-2</v>
      </c>
      <c r="L851" t="s">
        <v>27</v>
      </c>
      <c r="M851" s="4">
        <v>-27650</v>
      </c>
      <c r="N851" s="3">
        <v>431.78710000000001</v>
      </c>
      <c r="O851" t="s">
        <v>33</v>
      </c>
      <c r="P851" t="s">
        <v>24</v>
      </c>
      <c r="Q851" t="s">
        <v>24</v>
      </c>
      <c r="R851" t="s">
        <v>53</v>
      </c>
      <c r="S851">
        <v>10</v>
      </c>
    </row>
    <row r="852" spans="1:19" x14ac:dyDescent="0.3">
      <c r="A852" s="1">
        <v>41568</v>
      </c>
      <c r="B852">
        <v>2013</v>
      </c>
      <c r="C852" t="s">
        <v>40</v>
      </c>
      <c r="D852" s="4">
        <v>380800</v>
      </c>
      <c r="E852" s="2">
        <v>425000</v>
      </c>
      <c r="F852" t="s">
        <v>19</v>
      </c>
      <c r="G852" t="s">
        <v>20</v>
      </c>
      <c r="H852">
        <v>3</v>
      </c>
      <c r="I852">
        <v>3</v>
      </c>
      <c r="J852">
        <v>927</v>
      </c>
      <c r="K852" s="5">
        <v>1.020333E-2</v>
      </c>
      <c r="L852" t="s">
        <v>32</v>
      </c>
      <c r="M852" s="4">
        <v>44200</v>
      </c>
      <c r="N852" s="3">
        <v>458.46820000000002</v>
      </c>
      <c r="O852" t="s">
        <v>22</v>
      </c>
      <c r="P852" t="s">
        <v>24</v>
      </c>
      <c r="Q852" t="s">
        <v>24</v>
      </c>
      <c r="R852" t="s">
        <v>53</v>
      </c>
      <c r="S852">
        <v>10</v>
      </c>
    </row>
    <row r="853" spans="1:19" x14ac:dyDescent="0.3">
      <c r="A853" s="1">
        <v>41572</v>
      </c>
      <c r="B853">
        <v>2013</v>
      </c>
      <c r="C853" t="s">
        <v>56</v>
      </c>
      <c r="D853" s="4">
        <v>443860</v>
      </c>
      <c r="E853" s="2">
        <v>300000</v>
      </c>
      <c r="F853" t="s">
        <v>19</v>
      </c>
      <c r="G853" t="s">
        <v>20</v>
      </c>
      <c r="H853">
        <v>3</v>
      </c>
      <c r="I853">
        <v>1</v>
      </c>
      <c r="J853">
        <v>1061</v>
      </c>
      <c r="K853" s="5">
        <v>1.020333E-2</v>
      </c>
      <c r="L853" t="s">
        <v>32</v>
      </c>
      <c r="M853" s="4">
        <v>-143860</v>
      </c>
      <c r="N853" s="3">
        <v>282.75209999999998</v>
      </c>
      <c r="O853" t="s">
        <v>33</v>
      </c>
      <c r="P853" t="s">
        <v>24</v>
      </c>
      <c r="Q853" t="s">
        <v>24</v>
      </c>
      <c r="R853" t="s">
        <v>53</v>
      </c>
      <c r="S853">
        <v>10</v>
      </c>
    </row>
    <row r="854" spans="1:19" x14ac:dyDescent="0.3">
      <c r="A854" s="1">
        <v>41575</v>
      </c>
      <c r="B854">
        <v>2013</v>
      </c>
      <c r="C854" t="s">
        <v>26</v>
      </c>
      <c r="D854" s="4">
        <v>404460</v>
      </c>
      <c r="E854" s="2">
        <v>495000</v>
      </c>
      <c r="F854" t="s">
        <v>19</v>
      </c>
      <c r="G854" t="s">
        <v>20</v>
      </c>
      <c r="H854">
        <v>3</v>
      </c>
      <c r="I854">
        <v>3</v>
      </c>
      <c r="J854">
        <v>1050</v>
      </c>
      <c r="K854" s="5">
        <v>1.020333E-2</v>
      </c>
      <c r="L854" t="s">
        <v>38</v>
      </c>
      <c r="M854" s="4">
        <v>90540</v>
      </c>
      <c r="N854" s="3">
        <v>471.42860000000002</v>
      </c>
      <c r="O854" t="s">
        <v>22</v>
      </c>
      <c r="P854" t="s">
        <v>24</v>
      </c>
      <c r="Q854" t="s">
        <v>24</v>
      </c>
      <c r="R854" t="s">
        <v>53</v>
      </c>
      <c r="S854">
        <v>10</v>
      </c>
    </row>
    <row r="855" spans="1:19" x14ac:dyDescent="0.3">
      <c r="A855" s="1">
        <v>41578</v>
      </c>
      <c r="B855">
        <v>2013</v>
      </c>
      <c r="C855" t="s">
        <v>56</v>
      </c>
      <c r="D855" s="4">
        <v>370410</v>
      </c>
      <c r="E855" s="2">
        <v>500000</v>
      </c>
      <c r="F855" t="s">
        <v>19</v>
      </c>
      <c r="G855" t="s">
        <v>20</v>
      </c>
      <c r="H855">
        <v>3</v>
      </c>
      <c r="I855">
        <v>2</v>
      </c>
      <c r="J855">
        <v>1052</v>
      </c>
      <c r="K855" s="5">
        <v>1.020333E-2</v>
      </c>
      <c r="L855" t="s">
        <v>38</v>
      </c>
      <c r="M855" s="4">
        <v>129590</v>
      </c>
      <c r="N855" s="3">
        <v>475.28519999999997</v>
      </c>
      <c r="O855" t="s">
        <v>22</v>
      </c>
      <c r="P855" t="s">
        <v>24</v>
      </c>
      <c r="Q855" t="s">
        <v>24</v>
      </c>
      <c r="R855" t="s">
        <v>53</v>
      </c>
      <c r="S855">
        <v>10</v>
      </c>
    </row>
    <row r="856" spans="1:19" x14ac:dyDescent="0.3">
      <c r="A856" s="1">
        <v>41579</v>
      </c>
      <c r="B856">
        <v>2013</v>
      </c>
      <c r="C856" t="s">
        <v>29</v>
      </c>
      <c r="D856" s="4">
        <v>244220</v>
      </c>
      <c r="E856" s="2">
        <v>89000</v>
      </c>
      <c r="F856" t="s">
        <v>30</v>
      </c>
      <c r="G856" t="s">
        <v>31</v>
      </c>
      <c r="H856">
        <v>4</v>
      </c>
      <c r="I856">
        <v>4</v>
      </c>
      <c r="J856">
        <v>1328</v>
      </c>
      <c r="K856" s="5">
        <v>1.020333E-2</v>
      </c>
      <c r="L856" t="s">
        <v>38</v>
      </c>
      <c r="M856" s="4">
        <v>-155220</v>
      </c>
      <c r="N856" s="3">
        <v>67.018100000000004</v>
      </c>
      <c r="O856" t="s">
        <v>33</v>
      </c>
      <c r="P856" t="s">
        <v>23</v>
      </c>
      <c r="Q856" t="s">
        <v>34</v>
      </c>
      <c r="R856" t="s">
        <v>54</v>
      </c>
      <c r="S856">
        <v>11</v>
      </c>
    </row>
    <row r="857" spans="1:19" x14ac:dyDescent="0.3">
      <c r="A857" s="1">
        <v>41580</v>
      </c>
      <c r="B857">
        <v>2013</v>
      </c>
      <c r="C857" t="s">
        <v>56</v>
      </c>
      <c r="D857" s="4">
        <v>280460</v>
      </c>
      <c r="E857" s="2">
        <v>130000</v>
      </c>
      <c r="F857" t="s">
        <v>30</v>
      </c>
      <c r="G857" t="s">
        <v>31</v>
      </c>
      <c r="H857">
        <v>4</v>
      </c>
      <c r="I857">
        <v>3</v>
      </c>
      <c r="J857">
        <v>1111.6589814177564</v>
      </c>
      <c r="K857" s="5">
        <v>1.020333E-2</v>
      </c>
      <c r="L857" t="s">
        <v>21</v>
      </c>
      <c r="M857" s="4">
        <v>-150460</v>
      </c>
      <c r="N857" s="3">
        <v>116.9423</v>
      </c>
      <c r="O857" t="s">
        <v>33</v>
      </c>
      <c r="P857" t="s">
        <v>23</v>
      </c>
      <c r="Q857" t="s">
        <v>24</v>
      </c>
      <c r="R857" t="s">
        <v>54</v>
      </c>
      <c r="S857">
        <v>11</v>
      </c>
    </row>
    <row r="858" spans="1:19" x14ac:dyDescent="0.3">
      <c r="A858" s="1">
        <v>41581</v>
      </c>
      <c r="B858">
        <v>2013</v>
      </c>
      <c r="C858" t="s">
        <v>29</v>
      </c>
      <c r="D858" s="4">
        <v>444584.20699999999</v>
      </c>
      <c r="E858" s="2">
        <v>35750</v>
      </c>
      <c r="F858" t="s">
        <v>19</v>
      </c>
      <c r="G858" t="s">
        <v>20</v>
      </c>
      <c r="H858">
        <v>3</v>
      </c>
      <c r="I858">
        <v>2</v>
      </c>
      <c r="J858">
        <v>1018</v>
      </c>
      <c r="K858" s="5">
        <v>1.020333E-2</v>
      </c>
      <c r="L858" t="s">
        <v>32</v>
      </c>
      <c r="M858" s="4">
        <v>-408834.20699999999</v>
      </c>
      <c r="N858" s="3">
        <v>35.117899999999999</v>
      </c>
      <c r="O858" t="s">
        <v>33</v>
      </c>
      <c r="P858" t="s">
        <v>23</v>
      </c>
      <c r="Q858" t="s">
        <v>24</v>
      </c>
      <c r="R858" t="s">
        <v>54</v>
      </c>
      <c r="S858">
        <v>11</v>
      </c>
    </row>
    <row r="859" spans="1:19" x14ac:dyDescent="0.3">
      <c r="A859" s="1">
        <v>41582</v>
      </c>
      <c r="B859">
        <v>2013</v>
      </c>
      <c r="C859" t="s">
        <v>18</v>
      </c>
      <c r="D859" s="4">
        <v>111490</v>
      </c>
      <c r="E859" s="2">
        <v>25000</v>
      </c>
      <c r="F859" t="s">
        <v>19</v>
      </c>
      <c r="G859" t="s">
        <v>20</v>
      </c>
      <c r="H859">
        <v>3</v>
      </c>
      <c r="I859">
        <v>1</v>
      </c>
      <c r="J859">
        <v>1027</v>
      </c>
      <c r="K859" s="5">
        <v>1.020333E-2</v>
      </c>
      <c r="L859" t="s">
        <v>32</v>
      </c>
      <c r="M859" s="4">
        <v>-86490</v>
      </c>
      <c r="N859" s="3">
        <v>24.342700000000001</v>
      </c>
      <c r="O859" t="s">
        <v>33</v>
      </c>
      <c r="P859" t="s">
        <v>23</v>
      </c>
      <c r="Q859" t="s">
        <v>24</v>
      </c>
      <c r="R859" t="s">
        <v>54</v>
      </c>
      <c r="S859">
        <v>11</v>
      </c>
    </row>
    <row r="860" spans="1:19" x14ac:dyDescent="0.3">
      <c r="A860" s="1">
        <v>41587</v>
      </c>
      <c r="B860">
        <v>2013</v>
      </c>
      <c r="C860" t="s">
        <v>29</v>
      </c>
      <c r="D860" s="4">
        <v>173190</v>
      </c>
      <c r="E860" s="2">
        <v>165000</v>
      </c>
      <c r="F860" t="s">
        <v>30</v>
      </c>
      <c r="G860" t="s">
        <v>31</v>
      </c>
      <c r="H860">
        <v>4</v>
      </c>
      <c r="I860">
        <v>2</v>
      </c>
      <c r="J860">
        <v>1382</v>
      </c>
      <c r="K860" s="5">
        <v>1.020333E-2</v>
      </c>
      <c r="L860" t="s">
        <v>27</v>
      </c>
      <c r="M860" s="4">
        <v>-8190</v>
      </c>
      <c r="N860" s="3">
        <v>119.3922</v>
      </c>
      <c r="O860" t="s">
        <v>33</v>
      </c>
      <c r="P860" t="s">
        <v>23</v>
      </c>
      <c r="Q860" t="s">
        <v>34</v>
      </c>
      <c r="R860" t="s">
        <v>54</v>
      </c>
      <c r="S860">
        <v>11</v>
      </c>
    </row>
    <row r="861" spans="1:19" x14ac:dyDescent="0.3">
      <c r="A861" s="1">
        <v>41588</v>
      </c>
      <c r="B861">
        <v>2013</v>
      </c>
      <c r="C861" t="s">
        <v>56</v>
      </c>
      <c r="D861" s="4">
        <v>575890</v>
      </c>
      <c r="E861" s="2">
        <v>350000</v>
      </c>
      <c r="F861" t="s">
        <v>36</v>
      </c>
      <c r="G861" t="s">
        <v>37</v>
      </c>
      <c r="H861">
        <v>6</v>
      </c>
      <c r="I861">
        <v>5</v>
      </c>
      <c r="J861">
        <v>1923</v>
      </c>
      <c r="K861" s="5">
        <v>1.020333E-2</v>
      </c>
      <c r="L861" t="s">
        <v>32</v>
      </c>
      <c r="M861" s="4">
        <v>-225890</v>
      </c>
      <c r="N861" s="3">
        <v>182.00729999999999</v>
      </c>
      <c r="O861" t="s">
        <v>33</v>
      </c>
      <c r="P861" t="s">
        <v>24</v>
      </c>
      <c r="Q861" t="s">
        <v>34</v>
      </c>
      <c r="R861" t="s">
        <v>54</v>
      </c>
      <c r="S861">
        <v>11</v>
      </c>
    </row>
    <row r="862" spans="1:19" x14ac:dyDescent="0.3">
      <c r="A862" s="1">
        <v>41592</v>
      </c>
      <c r="B862">
        <v>2013</v>
      </c>
      <c r="C862" t="s">
        <v>18</v>
      </c>
      <c r="D862" s="4">
        <v>444584.20699999999</v>
      </c>
      <c r="E862" s="2">
        <v>192500</v>
      </c>
      <c r="F862" t="s">
        <v>19</v>
      </c>
      <c r="G862" t="s">
        <v>20</v>
      </c>
      <c r="H862">
        <v>3</v>
      </c>
      <c r="I862">
        <v>1</v>
      </c>
      <c r="J862">
        <v>937</v>
      </c>
      <c r="K862" s="5">
        <v>1.020333E-2</v>
      </c>
      <c r="L862" t="s">
        <v>32</v>
      </c>
      <c r="M862" s="4">
        <v>-252084.20699999999</v>
      </c>
      <c r="N862" s="3">
        <v>205.44290000000001</v>
      </c>
      <c r="O862" t="s">
        <v>33</v>
      </c>
      <c r="P862" t="s">
        <v>23</v>
      </c>
      <c r="Q862" t="s">
        <v>24</v>
      </c>
      <c r="R862" t="s">
        <v>54</v>
      </c>
      <c r="S862">
        <v>11</v>
      </c>
    </row>
    <row r="863" spans="1:19" x14ac:dyDescent="0.3">
      <c r="A863" s="1">
        <v>41593</v>
      </c>
      <c r="B863">
        <v>2013</v>
      </c>
      <c r="C863" t="s">
        <v>35</v>
      </c>
      <c r="D863" s="4">
        <v>1259300</v>
      </c>
      <c r="E863" s="2">
        <v>2500000</v>
      </c>
      <c r="F863" t="s">
        <v>19</v>
      </c>
      <c r="G863" t="s">
        <v>20</v>
      </c>
      <c r="H863">
        <v>3</v>
      </c>
      <c r="I863">
        <v>1</v>
      </c>
      <c r="J863">
        <v>1111.6589814177564</v>
      </c>
      <c r="K863" s="5">
        <v>1.020333E-2</v>
      </c>
      <c r="L863" t="s">
        <v>21</v>
      </c>
      <c r="M863" s="4">
        <v>1240700</v>
      </c>
      <c r="N863" s="3">
        <v>2248.8910999999998</v>
      </c>
      <c r="O863" t="s">
        <v>22</v>
      </c>
      <c r="P863" t="s">
        <v>28</v>
      </c>
      <c r="Q863" t="s">
        <v>24</v>
      </c>
      <c r="R863" t="s">
        <v>54</v>
      </c>
      <c r="S863">
        <v>11</v>
      </c>
    </row>
    <row r="864" spans="1:19" x14ac:dyDescent="0.3">
      <c r="A864" s="1">
        <v>41594</v>
      </c>
      <c r="B864">
        <v>2013</v>
      </c>
      <c r="C864" t="s">
        <v>18</v>
      </c>
      <c r="D864" s="4">
        <v>138180</v>
      </c>
      <c r="E864" s="2">
        <v>173000</v>
      </c>
      <c r="F864" t="s">
        <v>19</v>
      </c>
      <c r="G864" t="s">
        <v>20</v>
      </c>
      <c r="H864">
        <v>3</v>
      </c>
      <c r="I864">
        <v>1</v>
      </c>
      <c r="J864">
        <v>1013</v>
      </c>
      <c r="K864" s="5">
        <v>1.020333E-2</v>
      </c>
      <c r="L864" t="s">
        <v>32</v>
      </c>
      <c r="M864" s="4">
        <v>34820</v>
      </c>
      <c r="N864" s="3">
        <v>170.7799</v>
      </c>
      <c r="O864" t="s">
        <v>22</v>
      </c>
      <c r="P864" t="s">
        <v>23</v>
      </c>
      <c r="Q864" t="s">
        <v>24</v>
      </c>
      <c r="R864" t="s">
        <v>54</v>
      </c>
      <c r="S864">
        <v>11</v>
      </c>
    </row>
    <row r="865" spans="1:19" x14ac:dyDescent="0.3">
      <c r="A865" s="1">
        <v>41595</v>
      </c>
      <c r="B865">
        <v>2013</v>
      </c>
      <c r="C865" t="s">
        <v>40</v>
      </c>
      <c r="D865" s="4">
        <v>444584.20699999999</v>
      </c>
      <c r="E865" s="2">
        <v>160000</v>
      </c>
      <c r="F865" t="s">
        <v>30</v>
      </c>
      <c r="G865" t="s">
        <v>31</v>
      </c>
      <c r="H865">
        <v>4</v>
      </c>
      <c r="I865">
        <v>4</v>
      </c>
      <c r="J865">
        <v>1466</v>
      </c>
      <c r="K865" s="5">
        <v>1.020333E-2</v>
      </c>
      <c r="L865" t="s">
        <v>21</v>
      </c>
      <c r="M865" s="4">
        <v>-284584.20699999999</v>
      </c>
      <c r="N865" s="3">
        <v>109.1405</v>
      </c>
      <c r="O865" t="s">
        <v>33</v>
      </c>
      <c r="P865" t="s">
        <v>23</v>
      </c>
      <c r="Q865" t="s">
        <v>34</v>
      </c>
      <c r="R865" t="s">
        <v>54</v>
      </c>
      <c r="S865">
        <v>11</v>
      </c>
    </row>
    <row r="866" spans="1:19" x14ac:dyDescent="0.3">
      <c r="A866" s="1">
        <v>41596</v>
      </c>
      <c r="B866">
        <v>2013</v>
      </c>
      <c r="C866" t="s">
        <v>18</v>
      </c>
      <c r="D866" s="4">
        <v>125920</v>
      </c>
      <c r="E866" s="2">
        <v>105000</v>
      </c>
      <c r="F866" t="s">
        <v>19</v>
      </c>
      <c r="G866" t="s">
        <v>20</v>
      </c>
      <c r="H866">
        <v>3</v>
      </c>
      <c r="I866">
        <v>2</v>
      </c>
      <c r="J866">
        <v>956</v>
      </c>
      <c r="K866" s="5">
        <v>1.020333E-2</v>
      </c>
      <c r="L866" t="s">
        <v>38</v>
      </c>
      <c r="M866" s="4">
        <v>-20920</v>
      </c>
      <c r="N866" s="3">
        <v>109.8326</v>
      </c>
      <c r="O866" t="s">
        <v>33</v>
      </c>
      <c r="P866" t="s">
        <v>23</v>
      </c>
      <c r="Q866" t="s">
        <v>24</v>
      </c>
      <c r="R866" t="s">
        <v>54</v>
      </c>
      <c r="S866">
        <v>11</v>
      </c>
    </row>
    <row r="867" spans="1:19" x14ac:dyDescent="0.3">
      <c r="A867" s="1">
        <v>41599</v>
      </c>
      <c r="B867">
        <v>2013</v>
      </c>
      <c r="C867" t="s">
        <v>35</v>
      </c>
      <c r="D867" s="4">
        <v>408450</v>
      </c>
      <c r="E867" s="2">
        <v>400000</v>
      </c>
      <c r="F867" t="s">
        <v>30</v>
      </c>
      <c r="G867" t="s">
        <v>31</v>
      </c>
      <c r="H867">
        <v>4</v>
      </c>
      <c r="I867">
        <v>3</v>
      </c>
      <c r="J867">
        <v>1214</v>
      </c>
      <c r="K867" s="5">
        <v>1.020333E-2</v>
      </c>
      <c r="L867" t="s">
        <v>38</v>
      </c>
      <c r="M867" s="4">
        <v>-8450</v>
      </c>
      <c r="N867" s="3">
        <v>329.48930000000001</v>
      </c>
      <c r="O867" t="s">
        <v>33</v>
      </c>
      <c r="P867" t="s">
        <v>24</v>
      </c>
      <c r="Q867" t="s">
        <v>24</v>
      </c>
      <c r="R867" t="s">
        <v>54</v>
      </c>
      <c r="S867">
        <v>11</v>
      </c>
    </row>
    <row r="868" spans="1:19" x14ac:dyDescent="0.3">
      <c r="A868" s="1">
        <v>41600</v>
      </c>
      <c r="B868">
        <v>2013</v>
      </c>
      <c r="C868" t="s">
        <v>35</v>
      </c>
      <c r="D868" s="4">
        <v>746550</v>
      </c>
      <c r="E868" s="2">
        <v>2500000</v>
      </c>
      <c r="F868" t="s">
        <v>19</v>
      </c>
      <c r="G868" t="s">
        <v>20</v>
      </c>
      <c r="H868">
        <v>3</v>
      </c>
      <c r="I868">
        <v>1</v>
      </c>
      <c r="J868">
        <v>990</v>
      </c>
      <c r="K868" s="5">
        <v>1.020333E-2</v>
      </c>
      <c r="L868" t="s">
        <v>27</v>
      </c>
      <c r="M868" s="4">
        <v>1753450</v>
      </c>
      <c r="N868" s="3">
        <v>2525.2525000000001</v>
      </c>
      <c r="O868" t="s">
        <v>22</v>
      </c>
      <c r="P868" t="s">
        <v>28</v>
      </c>
      <c r="Q868" t="s">
        <v>24</v>
      </c>
      <c r="R868" t="s">
        <v>54</v>
      </c>
      <c r="S868">
        <v>11</v>
      </c>
    </row>
    <row r="869" spans="1:19" x14ac:dyDescent="0.3">
      <c r="A869" s="1">
        <v>41601</v>
      </c>
      <c r="B869">
        <v>2013</v>
      </c>
      <c r="C869" t="s">
        <v>18</v>
      </c>
      <c r="D869" s="4">
        <v>444584.20699999999</v>
      </c>
      <c r="E869" s="2">
        <v>55000</v>
      </c>
      <c r="F869" t="s">
        <v>19</v>
      </c>
      <c r="G869" t="s">
        <v>20</v>
      </c>
      <c r="H869">
        <v>3</v>
      </c>
      <c r="I869">
        <v>1</v>
      </c>
      <c r="J869">
        <v>1049</v>
      </c>
      <c r="K869" s="5">
        <v>1.020333E-2</v>
      </c>
      <c r="L869" t="s">
        <v>32</v>
      </c>
      <c r="M869" s="4">
        <v>-389584.20699999999</v>
      </c>
      <c r="N869" s="3">
        <v>52.430900000000001</v>
      </c>
      <c r="O869" t="s">
        <v>33</v>
      </c>
      <c r="P869" t="s">
        <v>23</v>
      </c>
      <c r="Q869" t="s">
        <v>24</v>
      </c>
      <c r="R869" t="s">
        <v>54</v>
      </c>
      <c r="S869">
        <v>11</v>
      </c>
    </row>
    <row r="870" spans="1:19" x14ac:dyDescent="0.3">
      <c r="A870" s="1">
        <v>41606</v>
      </c>
      <c r="B870">
        <v>2013</v>
      </c>
      <c r="C870" t="s">
        <v>29</v>
      </c>
      <c r="D870" s="4">
        <v>121050</v>
      </c>
      <c r="E870" s="2">
        <v>41655</v>
      </c>
      <c r="F870" t="s">
        <v>30</v>
      </c>
      <c r="G870" t="s">
        <v>31</v>
      </c>
      <c r="H870">
        <v>4</v>
      </c>
      <c r="I870">
        <v>3</v>
      </c>
      <c r="J870">
        <v>1205</v>
      </c>
      <c r="K870" s="5">
        <v>1.020333E-2</v>
      </c>
      <c r="L870" t="s">
        <v>32</v>
      </c>
      <c r="M870" s="4">
        <v>-79395</v>
      </c>
      <c r="N870" s="3">
        <v>34.5685</v>
      </c>
      <c r="O870" t="s">
        <v>33</v>
      </c>
      <c r="P870" t="s">
        <v>23</v>
      </c>
      <c r="Q870" t="s">
        <v>24</v>
      </c>
      <c r="R870" t="s">
        <v>54</v>
      </c>
      <c r="S870">
        <v>11</v>
      </c>
    </row>
    <row r="871" spans="1:19" x14ac:dyDescent="0.3">
      <c r="A871" s="1">
        <v>41607</v>
      </c>
      <c r="B871">
        <v>2013</v>
      </c>
      <c r="C871" t="s">
        <v>26</v>
      </c>
      <c r="D871" s="4">
        <v>335160</v>
      </c>
      <c r="E871" s="2">
        <v>230000</v>
      </c>
      <c r="F871" t="s">
        <v>30</v>
      </c>
      <c r="G871" t="s">
        <v>31</v>
      </c>
      <c r="H871">
        <v>4</v>
      </c>
      <c r="I871">
        <v>4</v>
      </c>
      <c r="J871">
        <v>1421</v>
      </c>
      <c r="K871" s="5">
        <v>1.020333E-2</v>
      </c>
      <c r="L871" t="s">
        <v>38</v>
      </c>
      <c r="M871" s="4">
        <v>-105160</v>
      </c>
      <c r="N871" s="3">
        <v>161.8578</v>
      </c>
      <c r="O871" t="s">
        <v>33</v>
      </c>
      <c r="P871" t="s">
        <v>24</v>
      </c>
      <c r="Q871" t="s">
        <v>34</v>
      </c>
      <c r="R871" t="s">
        <v>54</v>
      </c>
      <c r="S871">
        <v>11</v>
      </c>
    </row>
    <row r="872" spans="1:19" x14ac:dyDescent="0.3">
      <c r="A872" s="1">
        <v>41608</v>
      </c>
      <c r="B872">
        <v>2013</v>
      </c>
      <c r="C872" t="s">
        <v>39</v>
      </c>
      <c r="D872" s="4">
        <v>444584.20699999999</v>
      </c>
      <c r="E872" s="2">
        <v>348000</v>
      </c>
      <c r="F872" t="s">
        <v>19</v>
      </c>
      <c r="G872" t="s">
        <v>20</v>
      </c>
      <c r="H872">
        <v>3</v>
      </c>
      <c r="I872">
        <v>2</v>
      </c>
      <c r="J872">
        <v>968</v>
      </c>
      <c r="K872" s="5">
        <v>1.020333E-2</v>
      </c>
      <c r="L872" t="s">
        <v>21</v>
      </c>
      <c r="M872" s="4">
        <v>-96584.206999999995</v>
      </c>
      <c r="N872" s="3">
        <v>359.50409999999999</v>
      </c>
      <c r="O872" t="s">
        <v>33</v>
      </c>
      <c r="P872" t="s">
        <v>24</v>
      </c>
      <c r="Q872" t="s">
        <v>24</v>
      </c>
      <c r="R872" t="s">
        <v>54</v>
      </c>
      <c r="S872">
        <v>11</v>
      </c>
    </row>
    <row r="873" spans="1:19" x14ac:dyDescent="0.3">
      <c r="A873" s="1">
        <v>41609</v>
      </c>
      <c r="B873">
        <v>2013</v>
      </c>
      <c r="C873" t="s">
        <v>29</v>
      </c>
      <c r="D873" s="4">
        <v>137620</v>
      </c>
      <c r="E873" s="2">
        <v>150000</v>
      </c>
      <c r="F873" t="s">
        <v>19</v>
      </c>
      <c r="G873" t="s">
        <v>20</v>
      </c>
      <c r="H873">
        <v>3</v>
      </c>
      <c r="I873">
        <v>3</v>
      </c>
      <c r="J873">
        <v>1025</v>
      </c>
      <c r="K873" s="5">
        <v>1.020333E-2</v>
      </c>
      <c r="L873" t="s">
        <v>21</v>
      </c>
      <c r="M873" s="4">
        <v>12380</v>
      </c>
      <c r="N873" s="3">
        <v>146.3415</v>
      </c>
      <c r="O873" t="s">
        <v>22</v>
      </c>
      <c r="P873" t="s">
        <v>23</v>
      </c>
      <c r="Q873" t="s">
        <v>24</v>
      </c>
      <c r="R873" t="s">
        <v>55</v>
      </c>
      <c r="S873">
        <v>12</v>
      </c>
    </row>
    <row r="874" spans="1:19" x14ac:dyDescent="0.3">
      <c r="A874" s="1">
        <v>41610</v>
      </c>
      <c r="B874">
        <v>2013</v>
      </c>
      <c r="C874" t="s">
        <v>56</v>
      </c>
      <c r="D874" s="4">
        <v>666040</v>
      </c>
      <c r="E874" s="2">
        <v>810000</v>
      </c>
      <c r="F874" t="s">
        <v>19</v>
      </c>
      <c r="G874" t="s">
        <v>20</v>
      </c>
      <c r="H874">
        <v>3</v>
      </c>
      <c r="I874">
        <v>1</v>
      </c>
      <c r="J874">
        <v>1111.6589814177564</v>
      </c>
      <c r="K874" s="5">
        <v>1.020333E-2</v>
      </c>
      <c r="L874" t="s">
        <v>38</v>
      </c>
      <c r="M874" s="4">
        <v>143960</v>
      </c>
      <c r="N874" s="3">
        <v>728.64070000000004</v>
      </c>
      <c r="O874" t="s">
        <v>22</v>
      </c>
      <c r="P874" t="s">
        <v>28</v>
      </c>
      <c r="Q874" t="s">
        <v>24</v>
      </c>
      <c r="R874" t="s">
        <v>55</v>
      </c>
      <c r="S874">
        <v>12</v>
      </c>
    </row>
    <row r="875" spans="1:19" x14ac:dyDescent="0.3">
      <c r="A875" s="1">
        <v>41613</v>
      </c>
      <c r="B875">
        <v>2013</v>
      </c>
      <c r="C875" t="s">
        <v>35</v>
      </c>
      <c r="D875" s="4">
        <v>611100</v>
      </c>
      <c r="E875" s="2">
        <v>800000</v>
      </c>
      <c r="F875" t="s">
        <v>19</v>
      </c>
      <c r="G875" t="s">
        <v>20</v>
      </c>
      <c r="H875">
        <v>3</v>
      </c>
      <c r="I875">
        <v>3</v>
      </c>
      <c r="J875">
        <v>949</v>
      </c>
      <c r="K875" s="5">
        <v>1.020333E-2</v>
      </c>
      <c r="L875" t="s">
        <v>27</v>
      </c>
      <c r="M875" s="4">
        <v>188900</v>
      </c>
      <c r="N875" s="3">
        <v>842.99260000000004</v>
      </c>
      <c r="O875" t="s">
        <v>22</v>
      </c>
      <c r="P875" t="s">
        <v>28</v>
      </c>
      <c r="Q875" t="s">
        <v>24</v>
      </c>
      <c r="R875" t="s">
        <v>55</v>
      </c>
      <c r="S875">
        <v>12</v>
      </c>
    </row>
    <row r="876" spans="1:19" x14ac:dyDescent="0.3">
      <c r="A876" s="1">
        <v>41614</v>
      </c>
      <c r="B876">
        <v>2013</v>
      </c>
      <c r="C876" t="s">
        <v>29</v>
      </c>
      <c r="D876" s="4">
        <v>149890</v>
      </c>
      <c r="E876" s="2">
        <v>68000</v>
      </c>
      <c r="F876" t="s">
        <v>19</v>
      </c>
      <c r="G876" t="s">
        <v>20</v>
      </c>
      <c r="H876">
        <v>3</v>
      </c>
      <c r="I876">
        <v>3</v>
      </c>
      <c r="J876">
        <v>966</v>
      </c>
      <c r="K876" s="5">
        <v>1.020333E-2</v>
      </c>
      <c r="L876" t="s">
        <v>32</v>
      </c>
      <c r="M876" s="4">
        <v>-81890</v>
      </c>
      <c r="N876" s="3">
        <v>70.3934</v>
      </c>
      <c r="O876" t="s">
        <v>33</v>
      </c>
      <c r="P876" t="s">
        <v>23</v>
      </c>
      <c r="Q876" t="s">
        <v>24</v>
      </c>
      <c r="R876" t="s">
        <v>55</v>
      </c>
      <c r="S876">
        <v>12</v>
      </c>
    </row>
    <row r="877" spans="1:19" x14ac:dyDescent="0.3">
      <c r="A877" s="1">
        <v>41615</v>
      </c>
      <c r="B877">
        <v>2013</v>
      </c>
      <c r="C877" t="s">
        <v>29</v>
      </c>
      <c r="D877" s="4">
        <v>198960</v>
      </c>
      <c r="E877" s="2">
        <v>100000</v>
      </c>
      <c r="F877" t="s">
        <v>19</v>
      </c>
      <c r="G877" t="s">
        <v>20</v>
      </c>
      <c r="H877">
        <v>3</v>
      </c>
      <c r="I877">
        <v>2</v>
      </c>
      <c r="J877">
        <v>1074</v>
      </c>
      <c r="K877" s="5">
        <v>1.020333E-2</v>
      </c>
      <c r="L877" t="s">
        <v>32</v>
      </c>
      <c r="M877" s="4">
        <v>-98960</v>
      </c>
      <c r="N877" s="3">
        <v>93.109899999999996</v>
      </c>
      <c r="O877" t="s">
        <v>33</v>
      </c>
      <c r="P877" t="s">
        <v>23</v>
      </c>
      <c r="Q877" t="s">
        <v>24</v>
      </c>
      <c r="R877" t="s">
        <v>55</v>
      </c>
      <c r="S877">
        <v>12</v>
      </c>
    </row>
    <row r="878" spans="1:19" x14ac:dyDescent="0.3">
      <c r="A878" s="1">
        <v>41617</v>
      </c>
      <c r="B878">
        <v>2013</v>
      </c>
      <c r="C878" t="s">
        <v>56</v>
      </c>
      <c r="D878" s="4">
        <v>424060</v>
      </c>
      <c r="E878" s="2">
        <v>580000</v>
      </c>
      <c r="F878" t="s">
        <v>19</v>
      </c>
      <c r="G878" t="s">
        <v>20</v>
      </c>
      <c r="H878">
        <v>3</v>
      </c>
      <c r="I878">
        <v>3</v>
      </c>
      <c r="J878">
        <v>1025</v>
      </c>
      <c r="K878" s="5">
        <v>1.020333E-2</v>
      </c>
      <c r="L878" t="s">
        <v>27</v>
      </c>
      <c r="M878" s="4">
        <v>155940</v>
      </c>
      <c r="N878" s="3">
        <v>565.8537</v>
      </c>
      <c r="O878" t="s">
        <v>22</v>
      </c>
      <c r="P878" t="s">
        <v>24</v>
      </c>
      <c r="Q878" t="s">
        <v>24</v>
      </c>
      <c r="R878" t="s">
        <v>55</v>
      </c>
      <c r="S878">
        <v>12</v>
      </c>
    </row>
    <row r="879" spans="1:19" x14ac:dyDescent="0.3">
      <c r="A879" s="1">
        <v>41622</v>
      </c>
      <c r="B879">
        <v>2013</v>
      </c>
      <c r="C879" t="s">
        <v>29</v>
      </c>
      <c r="D879" s="4">
        <v>138380</v>
      </c>
      <c r="E879" s="2">
        <v>115000</v>
      </c>
      <c r="F879" t="s">
        <v>30</v>
      </c>
      <c r="G879" t="s">
        <v>31</v>
      </c>
      <c r="H879">
        <v>4</v>
      </c>
      <c r="I879">
        <v>2</v>
      </c>
      <c r="J879">
        <v>1469</v>
      </c>
      <c r="K879" s="5">
        <v>1.020333E-2</v>
      </c>
      <c r="L879" t="s">
        <v>32</v>
      </c>
      <c r="M879" s="4">
        <v>-23380</v>
      </c>
      <c r="N879" s="3">
        <v>78.284499999999994</v>
      </c>
      <c r="O879" t="s">
        <v>33</v>
      </c>
      <c r="P879" t="s">
        <v>23</v>
      </c>
      <c r="Q879" t="s">
        <v>34</v>
      </c>
      <c r="R879" t="s">
        <v>55</v>
      </c>
      <c r="S879">
        <v>12</v>
      </c>
    </row>
    <row r="880" spans="1:19" x14ac:dyDescent="0.3">
      <c r="A880" s="1">
        <v>41623</v>
      </c>
      <c r="B880">
        <v>2013</v>
      </c>
      <c r="C880" t="s">
        <v>40</v>
      </c>
      <c r="D880" s="4">
        <v>1043350</v>
      </c>
      <c r="E880" s="2">
        <v>1501000</v>
      </c>
      <c r="F880" t="s">
        <v>19</v>
      </c>
      <c r="G880" t="s">
        <v>20</v>
      </c>
      <c r="H880">
        <v>3</v>
      </c>
      <c r="I880">
        <v>3</v>
      </c>
      <c r="J880">
        <v>1065</v>
      </c>
      <c r="K880" s="5">
        <v>1.020333E-2</v>
      </c>
      <c r="L880" t="s">
        <v>38</v>
      </c>
      <c r="M880" s="4">
        <v>457650</v>
      </c>
      <c r="N880" s="3">
        <v>1409.3896999999999</v>
      </c>
      <c r="O880" t="s">
        <v>22</v>
      </c>
      <c r="P880" t="s">
        <v>28</v>
      </c>
      <c r="Q880" t="s">
        <v>24</v>
      </c>
      <c r="R880" t="s">
        <v>55</v>
      </c>
      <c r="S880">
        <v>12</v>
      </c>
    </row>
    <row r="881" spans="1:19" x14ac:dyDescent="0.3">
      <c r="A881" s="1">
        <v>41624</v>
      </c>
      <c r="B881">
        <v>2013</v>
      </c>
      <c r="C881" t="s">
        <v>35</v>
      </c>
      <c r="D881" s="4">
        <v>522480</v>
      </c>
      <c r="E881" s="2">
        <v>710000</v>
      </c>
      <c r="F881" t="s">
        <v>19</v>
      </c>
      <c r="G881" t="s">
        <v>20</v>
      </c>
      <c r="H881">
        <v>3</v>
      </c>
      <c r="I881">
        <v>3</v>
      </c>
      <c r="J881">
        <v>1049</v>
      </c>
      <c r="K881" s="5">
        <v>1.020333E-2</v>
      </c>
      <c r="L881" t="s">
        <v>27</v>
      </c>
      <c r="M881" s="4">
        <v>187520</v>
      </c>
      <c r="N881" s="3">
        <v>676.83510000000001</v>
      </c>
      <c r="O881" t="s">
        <v>22</v>
      </c>
      <c r="P881" t="s">
        <v>28</v>
      </c>
      <c r="Q881" t="s">
        <v>24</v>
      </c>
      <c r="R881" t="s">
        <v>55</v>
      </c>
      <c r="S881">
        <v>12</v>
      </c>
    </row>
    <row r="882" spans="1:19" x14ac:dyDescent="0.3">
      <c r="A882" s="1">
        <v>41627</v>
      </c>
      <c r="B882">
        <v>2013</v>
      </c>
      <c r="C882" t="s">
        <v>29</v>
      </c>
      <c r="D882" s="4">
        <v>444584.20699999999</v>
      </c>
      <c r="E882" s="2">
        <v>120000</v>
      </c>
      <c r="F882" t="s">
        <v>30</v>
      </c>
      <c r="G882" t="s">
        <v>31</v>
      </c>
      <c r="H882">
        <v>4</v>
      </c>
      <c r="I882">
        <v>2</v>
      </c>
      <c r="J882">
        <v>1385</v>
      </c>
      <c r="K882" s="5">
        <v>1.020333E-2</v>
      </c>
      <c r="L882" t="s">
        <v>21</v>
      </c>
      <c r="M882" s="4">
        <v>-324584.20699999999</v>
      </c>
      <c r="N882" s="3">
        <v>86.642600000000002</v>
      </c>
      <c r="O882" t="s">
        <v>33</v>
      </c>
      <c r="P882" t="s">
        <v>23</v>
      </c>
      <c r="Q882" t="s">
        <v>34</v>
      </c>
      <c r="R882" t="s">
        <v>55</v>
      </c>
      <c r="S882">
        <v>12</v>
      </c>
    </row>
    <row r="883" spans="1:19" x14ac:dyDescent="0.3">
      <c r="A883" s="1">
        <v>41628</v>
      </c>
      <c r="B883">
        <v>2013</v>
      </c>
      <c r="C883" t="s">
        <v>18</v>
      </c>
      <c r="D883" s="4">
        <v>444584.20699999999</v>
      </c>
      <c r="E883" s="2">
        <v>82500</v>
      </c>
      <c r="F883" t="s">
        <v>19</v>
      </c>
      <c r="G883" t="s">
        <v>20</v>
      </c>
      <c r="H883">
        <v>3</v>
      </c>
      <c r="I883">
        <v>3</v>
      </c>
      <c r="J883">
        <v>908</v>
      </c>
      <c r="K883" s="5">
        <v>1.020333E-2</v>
      </c>
      <c r="L883" t="s">
        <v>32</v>
      </c>
      <c r="M883" s="4">
        <v>-362084.20699999999</v>
      </c>
      <c r="N883" s="3">
        <v>90.858999999999995</v>
      </c>
      <c r="O883" t="s">
        <v>33</v>
      </c>
      <c r="P883" t="s">
        <v>23</v>
      </c>
      <c r="Q883" t="s">
        <v>24</v>
      </c>
      <c r="R883" t="s">
        <v>55</v>
      </c>
      <c r="S883">
        <v>12</v>
      </c>
    </row>
    <row r="884" spans="1:19" x14ac:dyDescent="0.3">
      <c r="A884" s="1">
        <v>41629</v>
      </c>
      <c r="B884">
        <v>2013</v>
      </c>
      <c r="C884" t="s">
        <v>56</v>
      </c>
      <c r="D884" s="4">
        <v>393100</v>
      </c>
      <c r="E884" s="2">
        <v>330000</v>
      </c>
      <c r="F884" t="s">
        <v>30</v>
      </c>
      <c r="G884" t="s">
        <v>31</v>
      </c>
      <c r="H884">
        <v>4</v>
      </c>
      <c r="I884">
        <v>4</v>
      </c>
      <c r="J884">
        <v>1410</v>
      </c>
      <c r="K884" s="5">
        <v>1.020333E-2</v>
      </c>
      <c r="L884" t="s">
        <v>32</v>
      </c>
      <c r="M884" s="4">
        <v>-63100</v>
      </c>
      <c r="N884" s="3">
        <v>234.04259999999999</v>
      </c>
      <c r="O884" t="s">
        <v>33</v>
      </c>
      <c r="P884" t="s">
        <v>24</v>
      </c>
      <c r="Q884" t="s">
        <v>34</v>
      </c>
      <c r="R884" t="s">
        <v>55</v>
      </c>
      <c r="S884">
        <v>12</v>
      </c>
    </row>
    <row r="885" spans="1:19" x14ac:dyDescent="0.3">
      <c r="A885" s="1">
        <v>41635</v>
      </c>
      <c r="B885">
        <v>2013</v>
      </c>
      <c r="C885" t="s">
        <v>40</v>
      </c>
      <c r="D885" s="4">
        <v>937230</v>
      </c>
      <c r="E885" s="2">
        <v>1250000</v>
      </c>
      <c r="F885" t="s">
        <v>19</v>
      </c>
      <c r="G885" t="s">
        <v>20</v>
      </c>
      <c r="H885">
        <v>3</v>
      </c>
      <c r="I885">
        <v>3</v>
      </c>
      <c r="J885">
        <v>943</v>
      </c>
      <c r="K885" s="5">
        <v>1.020333E-2</v>
      </c>
      <c r="L885" t="s">
        <v>27</v>
      </c>
      <c r="M885" s="4">
        <v>312770</v>
      </c>
      <c r="N885" s="3">
        <v>1325.5567000000001</v>
      </c>
      <c r="O885" t="s">
        <v>22</v>
      </c>
      <c r="P885" t="s">
        <v>28</v>
      </c>
      <c r="Q885" t="s">
        <v>24</v>
      </c>
      <c r="R885" t="s">
        <v>55</v>
      </c>
      <c r="S885">
        <v>12</v>
      </c>
    </row>
    <row r="886" spans="1:19" x14ac:dyDescent="0.3">
      <c r="A886" s="1">
        <v>41636</v>
      </c>
      <c r="B886">
        <v>2013</v>
      </c>
      <c r="C886" t="s">
        <v>18</v>
      </c>
      <c r="D886" s="4">
        <v>124930</v>
      </c>
      <c r="E886" s="2">
        <v>127900</v>
      </c>
      <c r="F886" t="s">
        <v>19</v>
      </c>
      <c r="G886" t="s">
        <v>20</v>
      </c>
      <c r="H886">
        <v>3</v>
      </c>
      <c r="I886">
        <v>1</v>
      </c>
      <c r="J886">
        <v>980</v>
      </c>
      <c r="K886" s="5">
        <v>1.020333E-2</v>
      </c>
      <c r="L886" t="s">
        <v>38</v>
      </c>
      <c r="M886" s="4">
        <v>2970</v>
      </c>
      <c r="N886" s="3">
        <v>130.5102</v>
      </c>
      <c r="O886" t="s">
        <v>22</v>
      </c>
      <c r="P886" t="s">
        <v>23</v>
      </c>
      <c r="Q886" t="s">
        <v>24</v>
      </c>
      <c r="R886" t="s">
        <v>55</v>
      </c>
      <c r="S886">
        <v>12</v>
      </c>
    </row>
    <row r="887" spans="1:19" x14ac:dyDescent="0.3">
      <c r="A887" s="1">
        <v>41637</v>
      </c>
      <c r="B887">
        <v>2013</v>
      </c>
      <c r="C887" t="s">
        <v>40</v>
      </c>
      <c r="D887" s="4">
        <v>191150</v>
      </c>
      <c r="E887" s="2">
        <v>60000</v>
      </c>
      <c r="F887" t="s">
        <v>36</v>
      </c>
      <c r="G887" t="s">
        <v>37</v>
      </c>
      <c r="H887">
        <v>6</v>
      </c>
      <c r="I887">
        <v>5</v>
      </c>
      <c r="J887">
        <v>1111.6589814177564</v>
      </c>
      <c r="K887" s="5">
        <v>1.020333E-2</v>
      </c>
      <c r="L887" t="s">
        <v>32</v>
      </c>
      <c r="M887" s="4">
        <v>-131150</v>
      </c>
      <c r="N887" s="3">
        <v>53.973399999999998</v>
      </c>
      <c r="O887" t="s">
        <v>33</v>
      </c>
      <c r="P887" t="s">
        <v>23</v>
      </c>
      <c r="Q887" t="s">
        <v>24</v>
      </c>
      <c r="R887" t="s">
        <v>55</v>
      </c>
      <c r="S887">
        <v>12</v>
      </c>
    </row>
    <row r="888" spans="1:19" x14ac:dyDescent="0.3">
      <c r="A888" s="1">
        <v>41638</v>
      </c>
      <c r="B888">
        <v>2013</v>
      </c>
      <c r="C888" t="s">
        <v>18</v>
      </c>
      <c r="D888" s="4">
        <v>444584.20699999999</v>
      </c>
      <c r="E888" s="2">
        <v>147000</v>
      </c>
      <c r="F888" t="s">
        <v>19</v>
      </c>
      <c r="G888" t="s">
        <v>20</v>
      </c>
      <c r="H888">
        <v>3</v>
      </c>
      <c r="I888">
        <v>2</v>
      </c>
      <c r="J888">
        <v>901</v>
      </c>
      <c r="K888" s="5">
        <v>1.020333E-2</v>
      </c>
      <c r="L888" t="s">
        <v>32</v>
      </c>
      <c r="M888" s="4">
        <v>-297584.20699999999</v>
      </c>
      <c r="N888" s="3">
        <v>163.15209999999999</v>
      </c>
      <c r="O888" t="s">
        <v>33</v>
      </c>
      <c r="P888" t="s">
        <v>23</v>
      </c>
      <c r="Q888" t="s">
        <v>24</v>
      </c>
      <c r="R888" t="s">
        <v>55</v>
      </c>
      <c r="S888">
        <v>12</v>
      </c>
    </row>
    <row r="889" spans="1:19" x14ac:dyDescent="0.3">
      <c r="A889" s="1">
        <v>41642</v>
      </c>
      <c r="B889">
        <v>2014</v>
      </c>
      <c r="C889" t="s">
        <v>29</v>
      </c>
      <c r="D889" s="4">
        <v>163950</v>
      </c>
      <c r="E889" s="2">
        <v>135000</v>
      </c>
      <c r="F889" t="s">
        <v>30</v>
      </c>
      <c r="G889" t="s">
        <v>31</v>
      </c>
      <c r="H889">
        <v>4</v>
      </c>
      <c r="I889">
        <v>2</v>
      </c>
      <c r="J889">
        <v>1111.6589814177564</v>
      </c>
      <c r="K889" s="5">
        <v>1.350819E-2</v>
      </c>
      <c r="L889" t="s">
        <v>32</v>
      </c>
      <c r="M889" s="4">
        <v>-28950</v>
      </c>
      <c r="N889" s="3">
        <v>121.4401</v>
      </c>
      <c r="O889" t="s">
        <v>33</v>
      </c>
      <c r="P889" t="s">
        <v>23</v>
      </c>
      <c r="Q889" t="s">
        <v>24</v>
      </c>
      <c r="R889" t="s">
        <v>25</v>
      </c>
      <c r="S889">
        <v>1</v>
      </c>
    </row>
    <row r="890" spans="1:19" x14ac:dyDescent="0.3">
      <c r="A890" s="1">
        <v>41643</v>
      </c>
      <c r="B890">
        <v>2014</v>
      </c>
      <c r="C890" t="s">
        <v>29</v>
      </c>
      <c r="D890" s="4">
        <v>142770</v>
      </c>
      <c r="E890" s="2">
        <v>285000</v>
      </c>
      <c r="F890" t="s">
        <v>19</v>
      </c>
      <c r="G890" t="s">
        <v>20</v>
      </c>
      <c r="H890">
        <v>3</v>
      </c>
      <c r="I890">
        <v>3</v>
      </c>
      <c r="J890">
        <v>1081</v>
      </c>
      <c r="K890" s="5">
        <v>1.350819E-2</v>
      </c>
      <c r="L890" t="s">
        <v>21</v>
      </c>
      <c r="M890" s="4">
        <v>142230</v>
      </c>
      <c r="N890" s="3">
        <v>263.64479999999998</v>
      </c>
      <c r="O890" t="s">
        <v>22</v>
      </c>
      <c r="P890" t="s">
        <v>24</v>
      </c>
      <c r="Q890" t="s">
        <v>24</v>
      </c>
      <c r="R890" t="s">
        <v>25</v>
      </c>
      <c r="S890">
        <v>1</v>
      </c>
    </row>
    <row r="891" spans="1:19" x14ac:dyDescent="0.3">
      <c r="A891" s="1">
        <v>41644</v>
      </c>
      <c r="B891">
        <v>2014</v>
      </c>
      <c r="C891" t="s">
        <v>35</v>
      </c>
      <c r="D891" s="4">
        <v>466340</v>
      </c>
      <c r="E891" s="2">
        <v>515000</v>
      </c>
      <c r="F891" t="s">
        <v>19</v>
      </c>
      <c r="G891" t="s">
        <v>20</v>
      </c>
      <c r="H891">
        <v>3</v>
      </c>
      <c r="I891">
        <v>1</v>
      </c>
      <c r="J891">
        <v>929</v>
      </c>
      <c r="K891" s="5">
        <v>1.350819E-2</v>
      </c>
      <c r="L891" t="s">
        <v>32</v>
      </c>
      <c r="M891" s="4">
        <v>48660</v>
      </c>
      <c r="N891" s="3">
        <v>554.35950000000003</v>
      </c>
      <c r="O891" t="s">
        <v>22</v>
      </c>
      <c r="P891" t="s">
        <v>24</v>
      </c>
      <c r="Q891" t="s">
        <v>24</v>
      </c>
      <c r="R891" t="s">
        <v>25</v>
      </c>
      <c r="S891">
        <v>1</v>
      </c>
    </row>
    <row r="892" spans="1:19" x14ac:dyDescent="0.3">
      <c r="A892" s="1">
        <v>41645</v>
      </c>
      <c r="B892">
        <v>2014</v>
      </c>
      <c r="C892" t="s">
        <v>26</v>
      </c>
      <c r="D892" s="4">
        <v>203840</v>
      </c>
      <c r="E892" s="2">
        <v>200000</v>
      </c>
      <c r="F892" t="s">
        <v>19</v>
      </c>
      <c r="G892" t="s">
        <v>20</v>
      </c>
      <c r="H892">
        <v>3</v>
      </c>
      <c r="I892">
        <v>3</v>
      </c>
      <c r="J892">
        <v>1017</v>
      </c>
      <c r="K892" s="5">
        <v>1.350819E-2</v>
      </c>
      <c r="L892" t="s">
        <v>21</v>
      </c>
      <c r="M892" s="4">
        <v>-3840</v>
      </c>
      <c r="N892" s="3">
        <v>196.6568</v>
      </c>
      <c r="O892" t="s">
        <v>33</v>
      </c>
      <c r="P892" t="s">
        <v>24</v>
      </c>
      <c r="Q892" t="s">
        <v>24</v>
      </c>
      <c r="R892" t="s">
        <v>25</v>
      </c>
      <c r="S892">
        <v>1</v>
      </c>
    </row>
    <row r="893" spans="1:19" x14ac:dyDescent="0.3">
      <c r="A893" s="1">
        <v>41648</v>
      </c>
      <c r="B893">
        <v>2014</v>
      </c>
      <c r="C893" t="s">
        <v>29</v>
      </c>
      <c r="D893" s="4">
        <v>144620</v>
      </c>
      <c r="E893" s="2">
        <v>69900</v>
      </c>
      <c r="F893" t="s">
        <v>36</v>
      </c>
      <c r="G893" t="s">
        <v>37</v>
      </c>
      <c r="H893">
        <v>6</v>
      </c>
      <c r="I893">
        <v>5</v>
      </c>
      <c r="J893">
        <v>1847</v>
      </c>
      <c r="K893" s="5">
        <v>1.350819E-2</v>
      </c>
      <c r="L893" t="s">
        <v>21</v>
      </c>
      <c r="M893" s="4">
        <v>-74720</v>
      </c>
      <c r="N893" s="3">
        <v>37.845199999999998</v>
      </c>
      <c r="O893" t="s">
        <v>33</v>
      </c>
      <c r="P893" t="s">
        <v>23</v>
      </c>
      <c r="Q893" t="s">
        <v>34</v>
      </c>
      <c r="R893" t="s">
        <v>25</v>
      </c>
      <c r="S893">
        <v>1</v>
      </c>
    </row>
    <row r="894" spans="1:19" x14ac:dyDescent="0.3">
      <c r="A894" s="1">
        <v>41649</v>
      </c>
      <c r="B894">
        <v>2014</v>
      </c>
      <c r="C894" t="s">
        <v>35</v>
      </c>
      <c r="D894" s="4">
        <v>337960</v>
      </c>
      <c r="E894" s="2">
        <v>530000</v>
      </c>
      <c r="F894" t="s">
        <v>42</v>
      </c>
      <c r="G894" t="s">
        <v>43</v>
      </c>
      <c r="H894">
        <v>8</v>
      </c>
      <c r="I894">
        <v>7</v>
      </c>
      <c r="J894">
        <v>2800</v>
      </c>
      <c r="K894" s="5">
        <v>1.350819E-2</v>
      </c>
      <c r="L894" t="s">
        <v>38</v>
      </c>
      <c r="M894" s="4">
        <v>192040</v>
      </c>
      <c r="N894" s="3">
        <v>189.28569999999999</v>
      </c>
      <c r="O894" t="s">
        <v>22</v>
      </c>
      <c r="P894" t="s">
        <v>24</v>
      </c>
      <c r="Q894" t="s">
        <v>34</v>
      </c>
      <c r="R894" t="s">
        <v>25</v>
      </c>
      <c r="S894">
        <v>1</v>
      </c>
    </row>
    <row r="895" spans="1:19" x14ac:dyDescent="0.3">
      <c r="A895" s="1">
        <v>41650</v>
      </c>
      <c r="B895">
        <v>2014</v>
      </c>
      <c r="C895" t="s">
        <v>29</v>
      </c>
      <c r="D895" s="4">
        <v>138290</v>
      </c>
      <c r="E895" s="2">
        <v>97000</v>
      </c>
      <c r="F895" t="s">
        <v>19</v>
      </c>
      <c r="G895" t="s">
        <v>20</v>
      </c>
      <c r="H895">
        <v>3</v>
      </c>
      <c r="I895">
        <v>2</v>
      </c>
      <c r="J895">
        <v>1013</v>
      </c>
      <c r="K895" s="5">
        <v>1.350819E-2</v>
      </c>
      <c r="L895" t="s">
        <v>27</v>
      </c>
      <c r="M895" s="4">
        <v>-41290</v>
      </c>
      <c r="N895" s="3">
        <v>95.755200000000002</v>
      </c>
      <c r="O895" t="s">
        <v>33</v>
      </c>
      <c r="P895" t="s">
        <v>23</v>
      </c>
      <c r="Q895" t="s">
        <v>24</v>
      </c>
      <c r="R895" t="s">
        <v>25</v>
      </c>
      <c r="S895">
        <v>1</v>
      </c>
    </row>
    <row r="896" spans="1:19" x14ac:dyDescent="0.3">
      <c r="A896" s="1">
        <v>41651</v>
      </c>
      <c r="B896">
        <v>2014</v>
      </c>
      <c r="C896" t="s">
        <v>29</v>
      </c>
      <c r="D896" s="4">
        <v>444584.20699999999</v>
      </c>
      <c r="E896" s="2">
        <v>130000</v>
      </c>
      <c r="F896" t="s">
        <v>19</v>
      </c>
      <c r="G896" t="s">
        <v>20</v>
      </c>
      <c r="H896">
        <v>3</v>
      </c>
      <c r="I896">
        <v>3</v>
      </c>
      <c r="J896">
        <v>959</v>
      </c>
      <c r="K896" s="5">
        <v>1.350819E-2</v>
      </c>
      <c r="L896" t="s">
        <v>32</v>
      </c>
      <c r="M896" s="4">
        <v>-314584.20699999999</v>
      </c>
      <c r="N896" s="3">
        <v>135.55789999999999</v>
      </c>
      <c r="O896" t="s">
        <v>33</v>
      </c>
      <c r="P896" t="s">
        <v>23</v>
      </c>
      <c r="Q896" t="s">
        <v>24</v>
      </c>
      <c r="R896" t="s">
        <v>25</v>
      </c>
      <c r="S896">
        <v>1</v>
      </c>
    </row>
    <row r="897" spans="1:19" x14ac:dyDescent="0.3">
      <c r="A897" s="1">
        <v>41652</v>
      </c>
      <c r="B897">
        <v>2014</v>
      </c>
      <c r="C897" t="s">
        <v>35</v>
      </c>
      <c r="D897" s="4">
        <v>2645930</v>
      </c>
      <c r="E897" s="2">
        <v>3675000</v>
      </c>
      <c r="F897" t="s">
        <v>19</v>
      </c>
      <c r="G897" t="s">
        <v>20</v>
      </c>
      <c r="H897">
        <v>3</v>
      </c>
      <c r="I897">
        <v>1</v>
      </c>
      <c r="J897">
        <v>918</v>
      </c>
      <c r="K897" s="5">
        <v>1.350819E-2</v>
      </c>
      <c r="L897" t="s">
        <v>38</v>
      </c>
      <c r="M897" s="4">
        <v>1029070</v>
      </c>
      <c r="N897" s="3">
        <v>4003.268</v>
      </c>
      <c r="O897" t="s">
        <v>22</v>
      </c>
      <c r="P897" t="s">
        <v>28</v>
      </c>
      <c r="Q897" t="s">
        <v>24</v>
      </c>
      <c r="R897" t="s">
        <v>25</v>
      </c>
      <c r="S897">
        <v>1</v>
      </c>
    </row>
    <row r="898" spans="1:19" x14ac:dyDescent="0.3">
      <c r="A898" s="1">
        <v>41658</v>
      </c>
      <c r="B898">
        <v>2014</v>
      </c>
      <c r="C898" t="s">
        <v>35</v>
      </c>
      <c r="D898" s="4">
        <v>521500</v>
      </c>
      <c r="E898" s="2">
        <v>525000</v>
      </c>
      <c r="F898" t="s">
        <v>19</v>
      </c>
      <c r="G898" t="s">
        <v>20</v>
      </c>
      <c r="H898">
        <v>3</v>
      </c>
      <c r="I898">
        <v>1</v>
      </c>
      <c r="J898">
        <v>1071</v>
      </c>
      <c r="K898" s="5">
        <v>1.350819E-2</v>
      </c>
      <c r="L898" t="s">
        <v>38</v>
      </c>
      <c r="M898" s="4">
        <v>3500</v>
      </c>
      <c r="N898" s="3">
        <v>490.1961</v>
      </c>
      <c r="O898" t="s">
        <v>22</v>
      </c>
      <c r="P898" t="s">
        <v>24</v>
      </c>
      <c r="Q898" t="s">
        <v>24</v>
      </c>
      <c r="R898" t="s">
        <v>25</v>
      </c>
      <c r="S898">
        <v>1</v>
      </c>
    </row>
    <row r="899" spans="1:19" x14ac:dyDescent="0.3">
      <c r="A899" s="1">
        <v>41662</v>
      </c>
      <c r="B899">
        <v>2014</v>
      </c>
      <c r="C899" t="s">
        <v>40</v>
      </c>
      <c r="D899" s="4">
        <v>444584.20699999999</v>
      </c>
      <c r="E899" s="2">
        <v>35000</v>
      </c>
      <c r="F899" t="s">
        <v>36</v>
      </c>
      <c r="G899" t="s">
        <v>37</v>
      </c>
      <c r="H899">
        <v>6</v>
      </c>
      <c r="I899">
        <v>6</v>
      </c>
      <c r="J899">
        <v>1111.6589814177564</v>
      </c>
      <c r="K899" s="5">
        <v>1.350819E-2</v>
      </c>
      <c r="L899" t="s">
        <v>27</v>
      </c>
      <c r="M899" s="4">
        <v>-409584.20699999999</v>
      </c>
      <c r="N899" s="3">
        <v>31.484500000000001</v>
      </c>
      <c r="O899" t="s">
        <v>33</v>
      </c>
      <c r="P899" t="s">
        <v>23</v>
      </c>
      <c r="Q899" t="s">
        <v>24</v>
      </c>
      <c r="R899" t="s">
        <v>25</v>
      </c>
      <c r="S899">
        <v>1</v>
      </c>
    </row>
    <row r="900" spans="1:19" x14ac:dyDescent="0.3">
      <c r="A900" s="1">
        <v>41663</v>
      </c>
      <c r="B900">
        <v>2014</v>
      </c>
      <c r="C900" t="s">
        <v>39</v>
      </c>
      <c r="D900" s="4">
        <v>444584.20699999999</v>
      </c>
      <c r="E900" s="2">
        <v>200000</v>
      </c>
      <c r="F900" t="s">
        <v>19</v>
      </c>
      <c r="G900" t="s">
        <v>20</v>
      </c>
      <c r="H900">
        <v>3</v>
      </c>
      <c r="I900">
        <v>2</v>
      </c>
      <c r="J900">
        <v>939</v>
      </c>
      <c r="K900" s="5">
        <v>1.350819E-2</v>
      </c>
      <c r="L900" t="s">
        <v>21</v>
      </c>
      <c r="M900" s="4">
        <v>-244584.20699999999</v>
      </c>
      <c r="N900" s="3">
        <v>212.99250000000001</v>
      </c>
      <c r="O900" t="s">
        <v>33</v>
      </c>
      <c r="P900" t="s">
        <v>24</v>
      </c>
      <c r="Q900" t="s">
        <v>24</v>
      </c>
      <c r="R900" t="s">
        <v>25</v>
      </c>
      <c r="S900">
        <v>1</v>
      </c>
    </row>
    <row r="901" spans="1:19" x14ac:dyDescent="0.3">
      <c r="A901" s="1">
        <v>41664</v>
      </c>
      <c r="B901">
        <v>2014</v>
      </c>
      <c r="C901" t="s">
        <v>56</v>
      </c>
      <c r="D901" s="4">
        <v>306490</v>
      </c>
      <c r="E901" s="2">
        <v>188000</v>
      </c>
      <c r="F901" t="s">
        <v>19</v>
      </c>
      <c r="G901" t="s">
        <v>20</v>
      </c>
      <c r="H901">
        <v>3</v>
      </c>
      <c r="I901">
        <v>3</v>
      </c>
      <c r="J901">
        <v>1111.6589814177564</v>
      </c>
      <c r="K901" s="5">
        <v>1.350819E-2</v>
      </c>
      <c r="L901" t="s">
        <v>32</v>
      </c>
      <c r="M901" s="4">
        <v>-118490</v>
      </c>
      <c r="N901" s="3">
        <v>169.11660000000001</v>
      </c>
      <c r="O901" t="s">
        <v>33</v>
      </c>
      <c r="P901" t="s">
        <v>23</v>
      </c>
      <c r="Q901" t="s">
        <v>24</v>
      </c>
      <c r="R901" t="s">
        <v>25</v>
      </c>
      <c r="S901">
        <v>1</v>
      </c>
    </row>
    <row r="902" spans="1:19" x14ac:dyDescent="0.3">
      <c r="A902" s="1">
        <v>41665</v>
      </c>
      <c r="B902">
        <v>2014</v>
      </c>
      <c r="C902" t="s">
        <v>29</v>
      </c>
      <c r="D902" s="4">
        <v>232270</v>
      </c>
      <c r="E902" s="2">
        <v>185000</v>
      </c>
      <c r="F902" t="s">
        <v>36</v>
      </c>
      <c r="G902" t="s">
        <v>37</v>
      </c>
      <c r="H902">
        <v>6</v>
      </c>
      <c r="I902">
        <v>4</v>
      </c>
      <c r="J902">
        <v>2033</v>
      </c>
      <c r="K902" s="5">
        <v>1.350819E-2</v>
      </c>
      <c r="L902" t="s">
        <v>21</v>
      </c>
      <c r="M902" s="4">
        <v>-47270</v>
      </c>
      <c r="N902" s="3">
        <v>90.998500000000007</v>
      </c>
      <c r="O902" t="s">
        <v>33</v>
      </c>
      <c r="P902" t="s">
        <v>23</v>
      </c>
      <c r="Q902" t="s">
        <v>34</v>
      </c>
      <c r="R902" t="s">
        <v>25</v>
      </c>
      <c r="S902">
        <v>1</v>
      </c>
    </row>
    <row r="903" spans="1:19" x14ac:dyDescent="0.3">
      <c r="A903" s="1">
        <v>41666</v>
      </c>
      <c r="B903">
        <v>2014</v>
      </c>
      <c r="C903" t="s">
        <v>39</v>
      </c>
      <c r="D903" s="4">
        <v>444584.20699999999</v>
      </c>
      <c r="E903" s="2">
        <v>915000</v>
      </c>
      <c r="F903" t="s">
        <v>19</v>
      </c>
      <c r="G903" t="s">
        <v>20</v>
      </c>
      <c r="H903">
        <v>3</v>
      </c>
      <c r="I903">
        <v>2</v>
      </c>
      <c r="J903">
        <v>951</v>
      </c>
      <c r="K903" s="5">
        <v>1.350819E-2</v>
      </c>
      <c r="L903" t="s">
        <v>21</v>
      </c>
      <c r="M903" s="4">
        <v>470415.79300000001</v>
      </c>
      <c r="N903" s="3">
        <v>962.14509999999996</v>
      </c>
      <c r="O903" t="s">
        <v>22</v>
      </c>
      <c r="P903" t="s">
        <v>28</v>
      </c>
      <c r="Q903" t="s">
        <v>24</v>
      </c>
      <c r="R903" t="s">
        <v>25</v>
      </c>
      <c r="S903">
        <v>1</v>
      </c>
    </row>
    <row r="904" spans="1:19" x14ac:dyDescent="0.3">
      <c r="A904" s="1">
        <v>41670</v>
      </c>
      <c r="B904">
        <v>2014</v>
      </c>
      <c r="C904" t="s">
        <v>35</v>
      </c>
      <c r="D904" s="4">
        <v>444584.20699999999</v>
      </c>
      <c r="E904" s="2">
        <v>1750000</v>
      </c>
      <c r="F904" t="s">
        <v>19</v>
      </c>
      <c r="G904" t="s">
        <v>20</v>
      </c>
      <c r="H904">
        <v>3</v>
      </c>
      <c r="I904">
        <v>2</v>
      </c>
      <c r="J904">
        <v>1111.6589814177564</v>
      </c>
      <c r="K904" s="5">
        <v>1.350819E-2</v>
      </c>
      <c r="L904" t="s">
        <v>38</v>
      </c>
      <c r="M904" s="4">
        <v>1305415.7930000001</v>
      </c>
      <c r="N904" s="3">
        <v>1574.2238</v>
      </c>
      <c r="O904" t="s">
        <v>22</v>
      </c>
      <c r="P904" t="s">
        <v>28</v>
      </c>
      <c r="Q904" t="s">
        <v>24</v>
      </c>
      <c r="R904" t="s">
        <v>25</v>
      </c>
      <c r="S904">
        <v>1</v>
      </c>
    </row>
    <row r="905" spans="1:19" x14ac:dyDescent="0.3">
      <c r="A905" s="1">
        <v>41671</v>
      </c>
      <c r="B905">
        <v>2014</v>
      </c>
      <c r="C905" t="s">
        <v>26</v>
      </c>
      <c r="D905" s="4">
        <v>773850</v>
      </c>
      <c r="E905" s="2">
        <v>1060783</v>
      </c>
      <c r="F905" t="s">
        <v>19</v>
      </c>
      <c r="G905" t="s">
        <v>20</v>
      </c>
      <c r="H905">
        <v>3</v>
      </c>
      <c r="I905">
        <v>3</v>
      </c>
      <c r="J905">
        <v>1023</v>
      </c>
      <c r="K905" s="5">
        <v>1.350819E-2</v>
      </c>
      <c r="L905" t="s">
        <v>32</v>
      </c>
      <c r="M905" s="4">
        <v>286933</v>
      </c>
      <c r="N905" s="3">
        <v>1036.9335000000001</v>
      </c>
      <c r="O905" t="s">
        <v>22</v>
      </c>
      <c r="P905" t="s">
        <v>28</v>
      </c>
      <c r="Q905" t="s">
        <v>24</v>
      </c>
      <c r="R905" t="s">
        <v>41</v>
      </c>
      <c r="S905">
        <v>2</v>
      </c>
    </row>
    <row r="906" spans="1:19" x14ac:dyDescent="0.3">
      <c r="A906" s="1">
        <v>41672</v>
      </c>
      <c r="B906">
        <v>2014</v>
      </c>
      <c r="C906" t="s">
        <v>29</v>
      </c>
      <c r="D906" s="4">
        <v>137610</v>
      </c>
      <c r="E906" s="2">
        <v>134260</v>
      </c>
      <c r="F906" t="s">
        <v>19</v>
      </c>
      <c r="G906" t="s">
        <v>20</v>
      </c>
      <c r="H906">
        <v>3</v>
      </c>
      <c r="I906">
        <v>3</v>
      </c>
      <c r="J906">
        <v>1043</v>
      </c>
      <c r="K906" s="5">
        <v>1.350819E-2</v>
      </c>
      <c r="L906" t="s">
        <v>21</v>
      </c>
      <c r="M906" s="4">
        <v>-3350</v>
      </c>
      <c r="N906" s="3">
        <v>128.72479999999999</v>
      </c>
      <c r="O906" t="s">
        <v>33</v>
      </c>
      <c r="P906" t="s">
        <v>23</v>
      </c>
      <c r="Q906" t="s">
        <v>24</v>
      </c>
      <c r="R906" t="s">
        <v>41</v>
      </c>
      <c r="S906">
        <v>2</v>
      </c>
    </row>
    <row r="907" spans="1:19" x14ac:dyDescent="0.3">
      <c r="A907" s="1">
        <v>41673</v>
      </c>
      <c r="B907">
        <v>2014</v>
      </c>
      <c r="C907" t="s">
        <v>35</v>
      </c>
      <c r="D907" s="4">
        <v>444584.20699999999</v>
      </c>
      <c r="E907" s="2">
        <v>6453000</v>
      </c>
      <c r="F907" t="s">
        <v>19</v>
      </c>
      <c r="G907" t="s">
        <v>20</v>
      </c>
      <c r="H907">
        <v>3</v>
      </c>
      <c r="I907">
        <v>1</v>
      </c>
      <c r="J907">
        <v>955</v>
      </c>
      <c r="K907" s="5">
        <v>1.350819E-2</v>
      </c>
      <c r="L907" t="s">
        <v>38</v>
      </c>
      <c r="M907" s="4">
        <v>6008415.7929999996</v>
      </c>
      <c r="N907" s="3">
        <v>6757.0681000000004</v>
      </c>
      <c r="O907" t="s">
        <v>22</v>
      </c>
      <c r="P907" t="s">
        <v>28</v>
      </c>
      <c r="Q907" t="s">
        <v>24</v>
      </c>
      <c r="R907" t="s">
        <v>41</v>
      </c>
      <c r="S907">
        <v>2</v>
      </c>
    </row>
    <row r="908" spans="1:19" x14ac:dyDescent="0.3">
      <c r="A908" s="1">
        <v>41676</v>
      </c>
      <c r="B908">
        <v>2014</v>
      </c>
      <c r="C908" t="s">
        <v>18</v>
      </c>
      <c r="D908" s="4">
        <v>116840</v>
      </c>
      <c r="E908" s="2">
        <v>70000</v>
      </c>
      <c r="F908" t="s">
        <v>30</v>
      </c>
      <c r="G908" t="s">
        <v>31</v>
      </c>
      <c r="H908">
        <v>4</v>
      </c>
      <c r="I908">
        <v>2</v>
      </c>
      <c r="J908">
        <v>1343</v>
      </c>
      <c r="K908" s="5">
        <v>1.350819E-2</v>
      </c>
      <c r="L908" t="s">
        <v>27</v>
      </c>
      <c r="M908" s="4">
        <v>-46840</v>
      </c>
      <c r="N908" s="3">
        <v>52.122100000000003</v>
      </c>
      <c r="O908" t="s">
        <v>33</v>
      </c>
      <c r="P908" t="s">
        <v>23</v>
      </c>
      <c r="Q908" t="s">
        <v>34</v>
      </c>
      <c r="R908" t="s">
        <v>41</v>
      </c>
      <c r="S908">
        <v>2</v>
      </c>
    </row>
    <row r="909" spans="1:19" x14ac:dyDescent="0.3">
      <c r="A909" s="1">
        <v>41677</v>
      </c>
      <c r="B909">
        <v>2014</v>
      </c>
      <c r="C909" t="s">
        <v>40</v>
      </c>
      <c r="D909" s="4">
        <v>446530</v>
      </c>
      <c r="E909" s="2">
        <v>745000</v>
      </c>
      <c r="F909" t="s">
        <v>19</v>
      </c>
      <c r="G909" t="s">
        <v>20</v>
      </c>
      <c r="H909">
        <v>3</v>
      </c>
      <c r="I909">
        <v>3</v>
      </c>
      <c r="J909">
        <v>943</v>
      </c>
      <c r="K909" s="5">
        <v>1.350819E-2</v>
      </c>
      <c r="L909" t="s">
        <v>32</v>
      </c>
      <c r="M909" s="4">
        <v>298470</v>
      </c>
      <c r="N909" s="3">
        <v>790.03179999999998</v>
      </c>
      <c r="O909" t="s">
        <v>22</v>
      </c>
      <c r="P909" t="s">
        <v>28</v>
      </c>
      <c r="Q909" t="s">
        <v>24</v>
      </c>
      <c r="R909" t="s">
        <v>41</v>
      </c>
      <c r="S909">
        <v>2</v>
      </c>
    </row>
    <row r="910" spans="1:19" x14ac:dyDescent="0.3">
      <c r="A910" s="1">
        <v>41678</v>
      </c>
      <c r="B910">
        <v>2014</v>
      </c>
      <c r="C910" t="s">
        <v>40</v>
      </c>
      <c r="D910" s="4">
        <v>177230</v>
      </c>
      <c r="E910" s="2">
        <v>95000</v>
      </c>
      <c r="F910" t="s">
        <v>19</v>
      </c>
      <c r="G910" t="s">
        <v>20</v>
      </c>
      <c r="H910">
        <v>3</v>
      </c>
      <c r="I910">
        <v>3</v>
      </c>
      <c r="J910">
        <v>907</v>
      </c>
      <c r="K910" s="5">
        <v>1.350819E-2</v>
      </c>
      <c r="L910" t="s">
        <v>21</v>
      </c>
      <c r="M910" s="4">
        <v>-82230</v>
      </c>
      <c r="N910" s="3">
        <v>104.7409</v>
      </c>
      <c r="O910" t="s">
        <v>33</v>
      </c>
      <c r="P910" t="s">
        <v>23</v>
      </c>
      <c r="Q910" t="s">
        <v>24</v>
      </c>
      <c r="R910" t="s">
        <v>41</v>
      </c>
      <c r="S910">
        <v>2</v>
      </c>
    </row>
    <row r="911" spans="1:19" x14ac:dyDescent="0.3">
      <c r="A911" s="1">
        <v>41683</v>
      </c>
      <c r="B911">
        <v>2014</v>
      </c>
      <c r="C911" t="s">
        <v>29</v>
      </c>
      <c r="D911" s="4">
        <v>148820</v>
      </c>
      <c r="E911" s="2">
        <v>48924</v>
      </c>
      <c r="F911" t="s">
        <v>36</v>
      </c>
      <c r="G911" t="s">
        <v>37</v>
      </c>
      <c r="H911">
        <v>6</v>
      </c>
      <c r="I911">
        <v>6</v>
      </c>
      <c r="J911">
        <v>1111.6589814177564</v>
      </c>
      <c r="K911" s="5">
        <v>1.350819E-2</v>
      </c>
      <c r="L911" t="s">
        <v>21</v>
      </c>
      <c r="M911" s="4">
        <v>-99896</v>
      </c>
      <c r="N911" s="3">
        <v>44.009900000000002</v>
      </c>
      <c r="O911" t="s">
        <v>33</v>
      </c>
      <c r="P911" t="s">
        <v>23</v>
      </c>
      <c r="Q911" t="s">
        <v>24</v>
      </c>
      <c r="R911" t="s">
        <v>41</v>
      </c>
      <c r="S911">
        <v>2</v>
      </c>
    </row>
    <row r="912" spans="1:19" x14ac:dyDescent="0.3">
      <c r="A912" s="1">
        <v>41684</v>
      </c>
      <c r="B912">
        <v>2014</v>
      </c>
      <c r="C912" t="s">
        <v>26</v>
      </c>
      <c r="D912" s="4">
        <v>534520</v>
      </c>
      <c r="E912" s="2">
        <v>380000</v>
      </c>
      <c r="F912" t="s">
        <v>30</v>
      </c>
      <c r="G912" t="s">
        <v>31</v>
      </c>
      <c r="H912">
        <v>4</v>
      </c>
      <c r="I912">
        <v>3</v>
      </c>
      <c r="J912">
        <v>1111.6589814177564</v>
      </c>
      <c r="K912" s="5">
        <v>1.350819E-2</v>
      </c>
      <c r="L912" t="s">
        <v>21</v>
      </c>
      <c r="M912" s="4">
        <v>-154520</v>
      </c>
      <c r="N912" s="3">
        <v>341.83139999999997</v>
      </c>
      <c r="O912" t="s">
        <v>33</v>
      </c>
      <c r="P912" t="s">
        <v>24</v>
      </c>
      <c r="Q912" t="s">
        <v>24</v>
      </c>
      <c r="R912" t="s">
        <v>41</v>
      </c>
      <c r="S912">
        <v>2</v>
      </c>
    </row>
    <row r="913" spans="1:19" x14ac:dyDescent="0.3">
      <c r="A913" s="1">
        <v>41685</v>
      </c>
      <c r="B913">
        <v>2014</v>
      </c>
      <c r="C913" t="s">
        <v>29</v>
      </c>
      <c r="D913" s="4">
        <v>176528</v>
      </c>
      <c r="E913" s="2">
        <v>235000</v>
      </c>
      <c r="F913" t="s">
        <v>19</v>
      </c>
      <c r="G913" t="s">
        <v>20</v>
      </c>
      <c r="H913">
        <v>3</v>
      </c>
      <c r="I913">
        <v>3</v>
      </c>
      <c r="J913">
        <v>1111.6589814177564</v>
      </c>
      <c r="K913" s="5">
        <v>1.350819E-2</v>
      </c>
      <c r="L913" t="s">
        <v>27</v>
      </c>
      <c r="M913" s="4">
        <v>58472</v>
      </c>
      <c r="N913" s="3">
        <v>211.39580000000001</v>
      </c>
      <c r="O913" t="s">
        <v>22</v>
      </c>
      <c r="P913" t="s">
        <v>24</v>
      </c>
      <c r="Q913" t="s">
        <v>24</v>
      </c>
      <c r="R913" t="s">
        <v>41</v>
      </c>
      <c r="S913">
        <v>2</v>
      </c>
    </row>
    <row r="914" spans="1:19" x14ac:dyDescent="0.3">
      <c r="A914" s="1">
        <v>41686</v>
      </c>
      <c r="B914">
        <v>2014</v>
      </c>
      <c r="C914" t="s">
        <v>39</v>
      </c>
      <c r="D914" s="4">
        <v>1886780</v>
      </c>
      <c r="E914" s="2">
        <v>2365000</v>
      </c>
      <c r="F914" t="s">
        <v>19</v>
      </c>
      <c r="G914" t="s">
        <v>20</v>
      </c>
      <c r="H914">
        <v>3</v>
      </c>
      <c r="I914">
        <v>2</v>
      </c>
      <c r="J914">
        <v>1073</v>
      </c>
      <c r="K914" s="5">
        <v>1.350819E-2</v>
      </c>
      <c r="L914" t="s">
        <v>38</v>
      </c>
      <c r="M914" s="4">
        <v>478220</v>
      </c>
      <c r="N914" s="3">
        <v>2204.1007</v>
      </c>
      <c r="O914" t="s">
        <v>22</v>
      </c>
      <c r="P914" t="s">
        <v>28</v>
      </c>
      <c r="Q914" t="s">
        <v>24</v>
      </c>
      <c r="R914" t="s">
        <v>41</v>
      </c>
      <c r="S914">
        <v>2</v>
      </c>
    </row>
    <row r="915" spans="1:19" x14ac:dyDescent="0.3">
      <c r="A915" s="1">
        <v>41687</v>
      </c>
      <c r="B915">
        <v>2014</v>
      </c>
      <c r="C915" t="s">
        <v>26</v>
      </c>
      <c r="D915" s="4">
        <v>311150</v>
      </c>
      <c r="E915" s="2">
        <v>215000</v>
      </c>
      <c r="F915" t="s">
        <v>19</v>
      </c>
      <c r="G915" t="s">
        <v>20</v>
      </c>
      <c r="H915">
        <v>3</v>
      </c>
      <c r="I915">
        <v>3</v>
      </c>
      <c r="J915">
        <v>997</v>
      </c>
      <c r="K915" s="5">
        <v>1.350819E-2</v>
      </c>
      <c r="L915" t="s">
        <v>21</v>
      </c>
      <c r="M915" s="4">
        <v>-96150</v>
      </c>
      <c r="N915" s="3">
        <v>215.64689999999999</v>
      </c>
      <c r="O915" t="s">
        <v>33</v>
      </c>
      <c r="P915" t="s">
        <v>24</v>
      </c>
      <c r="Q915" t="s">
        <v>24</v>
      </c>
      <c r="R915" t="s">
        <v>41</v>
      </c>
      <c r="S915">
        <v>2</v>
      </c>
    </row>
    <row r="916" spans="1:19" x14ac:dyDescent="0.3">
      <c r="A916" s="1">
        <v>41692</v>
      </c>
      <c r="B916">
        <v>2014</v>
      </c>
      <c r="C916" t="s">
        <v>35</v>
      </c>
      <c r="D916" s="4">
        <v>1379980</v>
      </c>
      <c r="E916" s="2">
        <v>1450000</v>
      </c>
      <c r="F916" t="s">
        <v>19</v>
      </c>
      <c r="G916" t="s">
        <v>20</v>
      </c>
      <c r="H916">
        <v>3</v>
      </c>
      <c r="I916">
        <v>2</v>
      </c>
      <c r="J916">
        <v>1016</v>
      </c>
      <c r="K916" s="5">
        <v>1.350819E-2</v>
      </c>
      <c r="L916" t="s">
        <v>27</v>
      </c>
      <c r="M916" s="4">
        <v>70020</v>
      </c>
      <c r="N916" s="3">
        <v>1427.1654000000001</v>
      </c>
      <c r="O916" t="s">
        <v>22</v>
      </c>
      <c r="P916" t="s">
        <v>28</v>
      </c>
      <c r="Q916" t="s">
        <v>24</v>
      </c>
      <c r="R916" t="s">
        <v>41</v>
      </c>
      <c r="S916">
        <v>2</v>
      </c>
    </row>
    <row r="917" spans="1:19" x14ac:dyDescent="0.3">
      <c r="A917" s="1">
        <v>41694</v>
      </c>
      <c r="B917">
        <v>2014</v>
      </c>
      <c r="C917" t="s">
        <v>35</v>
      </c>
      <c r="D917" s="4">
        <v>907200</v>
      </c>
      <c r="E917" s="2">
        <v>1330000</v>
      </c>
      <c r="F917" t="s">
        <v>19</v>
      </c>
      <c r="G917" t="s">
        <v>20</v>
      </c>
      <c r="H917">
        <v>3</v>
      </c>
      <c r="I917">
        <v>2</v>
      </c>
      <c r="J917">
        <v>989</v>
      </c>
      <c r="K917" s="5">
        <v>1.350819E-2</v>
      </c>
      <c r="L917" t="s">
        <v>27</v>
      </c>
      <c r="M917" s="4">
        <v>422800</v>
      </c>
      <c r="N917" s="3">
        <v>1344.7927</v>
      </c>
      <c r="O917" t="s">
        <v>22</v>
      </c>
      <c r="P917" t="s">
        <v>28</v>
      </c>
      <c r="Q917" t="s">
        <v>24</v>
      </c>
      <c r="R917" t="s">
        <v>41</v>
      </c>
      <c r="S917">
        <v>2</v>
      </c>
    </row>
    <row r="918" spans="1:19" x14ac:dyDescent="0.3">
      <c r="A918" s="1">
        <v>41697</v>
      </c>
      <c r="B918">
        <v>2014</v>
      </c>
      <c r="C918" t="s">
        <v>26</v>
      </c>
      <c r="D918" s="4">
        <v>413490</v>
      </c>
      <c r="E918" s="2">
        <v>465000</v>
      </c>
      <c r="F918" t="s">
        <v>19</v>
      </c>
      <c r="G918" t="s">
        <v>20</v>
      </c>
      <c r="H918">
        <v>3</v>
      </c>
      <c r="I918">
        <v>2</v>
      </c>
      <c r="J918">
        <v>1111.6589814177564</v>
      </c>
      <c r="K918" s="5">
        <v>1.350819E-2</v>
      </c>
      <c r="L918" t="s">
        <v>32</v>
      </c>
      <c r="M918" s="4">
        <v>51510</v>
      </c>
      <c r="N918" s="3">
        <v>418.2937</v>
      </c>
      <c r="O918" t="s">
        <v>22</v>
      </c>
      <c r="P918" t="s">
        <v>24</v>
      </c>
      <c r="Q918" t="s">
        <v>24</v>
      </c>
      <c r="R918" t="s">
        <v>41</v>
      </c>
      <c r="S918">
        <v>2</v>
      </c>
    </row>
    <row r="919" spans="1:19" x14ac:dyDescent="0.3">
      <c r="A919" s="1">
        <v>41698</v>
      </c>
      <c r="B919">
        <v>2014</v>
      </c>
      <c r="C919" t="s">
        <v>40</v>
      </c>
      <c r="D919" s="4">
        <v>444584.20699999999</v>
      </c>
      <c r="E919" s="2">
        <v>240000</v>
      </c>
      <c r="F919" t="s">
        <v>30</v>
      </c>
      <c r="G919" t="s">
        <v>31</v>
      </c>
      <c r="H919">
        <v>4</v>
      </c>
      <c r="I919">
        <v>3</v>
      </c>
      <c r="J919">
        <v>1294</v>
      </c>
      <c r="K919" s="5">
        <v>1.350819E-2</v>
      </c>
      <c r="L919" t="s">
        <v>21</v>
      </c>
      <c r="M919" s="4">
        <v>-204584.20699999999</v>
      </c>
      <c r="N919" s="3">
        <v>185.47139999999999</v>
      </c>
      <c r="O919" t="s">
        <v>33</v>
      </c>
      <c r="P919" t="s">
        <v>24</v>
      </c>
      <c r="Q919" t="s">
        <v>24</v>
      </c>
      <c r="R919" t="s">
        <v>41</v>
      </c>
      <c r="S919">
        <v>2</v>
      </c>
    </row>
    <row r="920" spans="1:19" x14ac:dyDescent="0.3">
      <c r="A920" s="1">
        <v>41699</v>
      </c>
      <c r="B920">
        <v>2014</v>
      </c>
      <c r="C920" t="s">
        <v>35</v>
      </c>
      <c r="D920" s="4">
        <v>580860</v>
      </c>
      <c r="E920" s="2">
        <v>458333</v>
      </c>
      <c r="F920" t="s">
        <v>30</v>
      </c>
      <c r="G920" t="s">
        <v>31</v>
      </c>
      <c r="H920">
        <v>4</v>
      </c>
      <c r="I920">
        <v>2</v>
      </c>
      <c r="J920">
        <v>1361</v>
      </c>
      <c r="K920" s="5">
        <v>1.350819E-2</v>
      </c>
      <c r="L920" t="s">
        <v>27</v>
      </c>
      <c r="M920" s="4">
        <v>-122527</v>
      </c>
      <c r="N920" s="3">
        <v>336.76190000000003</v>
      </c>
      <c r="O920" t="s">
        <v>33</v>
      </c>
      <c r="P920" t="s">
        <v>24</v>
      </c>
      <c r="Q920" t="s">
        <v>34</v>
      </c>
      <c r="R920" t="s">
        <v>44</v>
      </c>
      <c r="S920">
        <v>3</v>
      </c>
    </row>
    <row r="921" spans="1:19" x14ac:dyDescent="0.3">
      <c r="A921" s="1">
        <v>41700</v>
      </c>
      <c r="B921">
        <v>2014</v>
      </c>
      <c r="C921" t="s">
        <v>35</v>
      </c>
      <c r="D921" s="4">
        <v>444584.20699999999</v>
      </c>
      <c r="E921" s="2">
        <v>200000</v>
      </c>
      <c r="F921" t="s">
        <v>19</v>
      </c>
      <c r="G921" t="s">
        <v>20</v>
      </c>
      <c r="H921">
        <v>3</v>
      </c>
      <c r="I921">
        <v>2</v>
      </c>
      <c r="J921">
        <v>1025</v>
      </c>
      <c r="K921" s="5">
        <v>1.350819E-2</v>
      </c>
      <c r="L921" t="s">
        <v>27</v>
      </c>
      <c r="M921" s="4">
        <v>-244584.20699999999</v>
      </c>
      <c r="N921" s="3">
        <v>195.12200000000001</v>
      </c>
      <c r="O921" t="s">
        <v>33</v>
      </c>
      <c r="P921" t="s">
        <v>24</v>
      </c>
      <c r="Q921" t="s">
        <v>24</v>
      </c>
      <c r="R921" t="s">
        <v>44</v>
      </c>
      <c r="S921">
        <v>3</v>
      </c>
    </row>
    <row r="922" spans="1:19" x14ac:dyDescent="0.3">
      <c r="A922" s="1">
        <v>41703</v>
      </c>
      <c r="B922">
        <v>2014</v>
      </c>
      <c r="C922" t="s">
        <v>56</v>
      </c>
      <c r="D922" s="4">
        <v>329160</v>
      </c>
      <c r="E922" s="2">
        <v>365000</v>
      </c>
      <c r="F922" t="s">
        <v>19</v>
      </c>
      <c r="G922" t="s">
        <v>20</v>
      </c>
      <c r="H922">
        <v>3</v>
      </c>
      <c r="I922">
        <v>3</v>
      </c>
      <c r="J922">
        <v>1010</v>
      </c>
      <c r="K922" s="5">
        <v>1.350819E-2</v>
      </c>
      <c r="L922" t="s">
        <v>27</v>
      </c>
      <c r="M922" s="4">
        <v>35840</v>
      </c>
      <c r="N922" s="3">
        <v>361.3861</v>
      </c>
      <c r="O922" t="s">
        <v>22</v>
      </c>
      <c r="P922" t="s">
        <v>24</v>
      </c>
      <c r="Q922" t="s">
        <v>24</v>
      </c>
      <c r="R922" t="s">
        <v>44</v>
      </c>
      <c r="S922">
        <v>3</v>
      </c>
    </row>
    <row r="923" spans="1:19" x14ac:dyDescent="0.3">
      <c r="A923" s="1">
        <v>41706</v>
      </c>
      <c r="B923">
        <v>2014</v>
      </c>
      <c r="C923" t="s">
        <v>18</v>
      </c>
      <c r="D923" s="4">
        <v>122070</v>
      </c>
      <c r="E923" s="2">
        <v>50000</v>
      </c>
      <c r="F923" t="s">
        <v>36</v>
      </c>
      <c r="G923" t="s">
        <v>37</v>
      </c>
      <c r="H923">
        <v>6</v>
      </c>
      <c r="I923">
        <v>5</v>
      </c>
      <c r="J923">
        <v>2082</v>
      </c>
      <c r="K923" s="5">
        <v>1.350819E-2</v>
      </c>
      <c r="L923" t="s">
        <v>32</v>
      </c>
      <c r="M923" s="4">
        <v>-72070</v>
      </c>
      <c r="N923" s="3">
        <v>24.0154</v>
      </c>
      <c r="O923" t="s">
        <v>33</v>
      </c>
      <c r="P923" t="s">
        <v>23</v>
      </c>
      <c r="Q923" t="s">
        <v>34</v>
      </c>
      <c r="R923" t="s">
        <v>44</v>
      </c>
      <c r="S923">
        <v>3</v>
      </c>
    </row>
    <row r="924" spans="1:19" x14ac:dyDescent="0.3">
      <c r="A924" s="1">
        <v>41707</v>
      </c>
      <c r="B924">
        <v>2014</v>
      </c>
      <c r="C924" t="s">
        <v>18</v>
      </c>
      <c r="D924" s="4">
        <v>95590</v>
      </c>
      <c r="E924" s="2">
        <v>104000</v>
      </c>
      <c r="F924" t="s">
        <v>19</v>
      </c>
      <c r="G924" t="s">
        <v>20</v>
      </c>
      <c r="H924">
        <v>3</v>
      </c>
      <c r="I924">
        <v>3</v>
      </c>
      <c r="J924">
        <v>1111.6589814177564</v>
      </c>
      <c r="K924" s="5">
        <v>1.350819E-2</v>
      </c>
      <c r="L924" t="s">
        <v>21</v>
      </c>
      <c r="M924" s="4">
        <v>8410</v>
      </c>
      <c r="N924" s="3">
        <v>93.553899999999999</v>
      </c>
      <c r="O924" t="s">
        <v>22</v>
      </c>
      <c r="P924" t="s">
        <v>23</v>
      </c>
      <c r="Q924" t="s">
        <v>24</v>
      </c>
      <c r="R924" t="s">
        <v>44</v>
      </c>
      <c r="S924">
        <v>3</v>
      </c>
    </row>
    <row r="925" spans="1:19" x14ac:dyDescent="0.3">
      <c r="A925" s="1">
        <v>41710</v>
      </c>
      <c r="B925">
        <v>2014</v>
      </c>
      <c r="C925" t="s">
        <v>18</v>
      </c>
      <c r="D925" s="4">
        <v>134160</v>
      </c>
      <c r="E925" s="2">
        <v>75000</v>
      </c>
      <c r="F925" t="s">
        <v>36</v>
      </c>
      <c r="G925" t="s">
        <v>37</v>
      </c>
      <c r="H925">
        <v>6</v>
      </c>
      <c r="I925">
        <v>6</v>
      </c>
      <c r="J925">
        <v>2098</v>
      </c>
      <c r="K925" s="5">
        <v>1.350819E-2</v>
      </c>
      <c r="L925" t="s">
        <v>21</v>
      </c>
      <c r="M925" s="4">
        <v>-59160</v>
      </c>
      <c r="N925" s="3">
        <v>35.7483</v>
      </c>
      <c r="O925" t="s">
        <v>33</v>
      </c>
      <c r="P925" t="s">
        <v>23</v>
      </c>
      <c r="Q925" t="s">
        <v>34</v>
      </c>
      <c r="R925" t="s">
        <v>44</v>
      </c>
      <c r="S925">
        <v>3</v>
      </c>
    </row>
    <row r="926" spans="1:19" x14ac:dyDescent="0.3">
      <c r="A926" s="1">
        <v>41712</v>
      </c>
      <c r="B926">
        <v>2014</v>
      </c>
      <c r="C926" t="s">
        <v>26</v>
      </c>
      <c r="D926" s="4">
        <v>441280</v>
      </c>
      <c r="E926" s="2">
        <v>520000</v>
      </c>
      <c r="F926" t="s">
        <v>19</v>
      </c>
      <c r="G926" t="s">
        <v>20</v>
      </c>
      <c r="H926">
        <v>3</v>
      </c>
      <c r="I926">
        <v>3</v>
      </c>
      <c r="J926">
        <v>966</v>
      </c>
      <c r="K926" s="5">
        <v>1.350819E-2</v>
      </c>
      <c r="L926" t="s">
        <v>32</v>
      </c>
      <c r="M926" s="4">
        <v>78720</v>
      </c>
      <c r="N926" s="3">
        <v>538.30229999999995</v>
      </c>
      <c r="O926" t="s">
        <v>22</v>
      </c>
      <c r="P926" t="s">
        <v>24</v>
      </c>
      <c r="Q926" t="s">
        <v>24</v>
      </c>
      <c r="R926" t="s">
        <v>44</v>
      </c>
      <c r="S926">
        <v>3</v>
      </c>
    </row>
    <row r="927" spans="1:19" x14ac:dyDescent="0.3">
      <c r="A927" s="1">
        <v>41713</v>
      </c>
      <c r="B927">
        <v>2014</v>
      </c>
      <c r="C927" t="s">
        <v>35</v>
      </c>
      <c r="D927" s="4">
        <v>444584.20699999999</v>
      </c>
      <c r="E927" s="2">
        <v>1036800</v>
      </c>
      <c r="F927" t="s">
        <v>19</v>
      </c>
      <c r="G927" t="s">
        <v>20</v>
      </c>
      <c r="H927">
        <v>3</v>
      </c>
      <c r="I927">
        <v>2</v>
      </c>
      <c r="J927">
        <v>1030</v>
      </c>
      <c r="K927" s="5">
        <v>1.350819E-2</v>
      </c>
      <c r="L927" t="s">
        <v>32</v>
      </c>
      <c r="M927" s="4">
        <v>592215.79299999995</v>
      </c>
      <c r="N927" s="3">
        <v>1006.6019</v>
      </c>
      <c r="O927" t="s">
        <v>22</v>
      </c>
      <c r="P927" t="s">
        <v>28</v>
      </c>
      <c r="Q927" t="s">
        <v>24</v>
      </c>
      <c r="R927" t="s">
        <v>44</v>
      </c>
      <c r="S927">
        <v>3</v>
      </c>
    </row>
    <row r="928" spans="1:19" x14ac:dyDescent="0.3">
      <c r="A928" s="1">
        <v>41714</v>
      </c>
      <c r="B928">
        <v>2014</v>
      </c>
      <c r="C928" t="s">
        <v>18</v>
      </c>
      <c r="D928" s="4">
        <v>139250</v>
      </c>
      <c r="E928" s="2">
        <v>129500</v>
      </c>
      <c r="F928" t="s">
        <v>19</v>
      </c>
      <c r="G928" t="s">
        <v>20</v>
      </c>
      <c r="H928">
        <v>3</v>
      </c>
      <c r="I928">
        <v>3</v>
      </c>
      <c r="J928">
        <v>999</v>
      </c>
      <c r="K928" s="5">
        <v>1.350819E-2</v>
      </c>
      <c r="L928" t="s">
        <v>38</v>
      </c>
      <c r="M928" s="4">
        <v>-9750</v>
      </c>
      <c r="N928" s="3">
        <v>129.62960000000001</v>
      </c>
      <c r="O928" t="s">
        <v>33</v>
      </c>
      <c r="P928" t="s">
        <v>23</v>
      </c>
      <c r="Q928" t="s">
        <v>24</v>
      </c>
      <c r="R928" t="s">
        <v>44</v>
      </c>
      <c r="S928">
        <v>3</v>
      </c>
    </row>
    <row r="929" spans="1:19" x14ac:dyDescent="0.3">
      <c r="A929" s="1">
        <v>41717</v>
      </c>
      <c r="B929">
        <v>2014</v>
      </c>
      <c r="C929" t="s">
        <v>29</v>
      </c>
      <c r="D929" s="4">
        <v>100480</v>
      </c>
      <c r="E929" s="2">
        <v>90000</v>
      </c>
      <c r="F929" t="s">
        <v>19</v>
      </c>
      <c r="G929" t="s">
        <v>20</v>
      </c>
      <c r="H929">
        <v>3</v>
      </c>
      <c r="I929">
        <v>2</v>
      </c>
      <c r="J929">
        <v>969</v>
      </c>
      <c r="K929" s="5">
        <v>1.350819E-2</v>
      </c>
      <c r="L929" t="s">
        <v>27</v>
      </c>
      <c r="M929" s="4">
        <v>-10480</v>
      </c>
      <c r="N929" s="3">
        <v>92.879300000000001</v>
      </c>
      <c r="O929" t="s">
        <v>33</v>
      </c>
      <c r="P929" t="s">
        <v>23</v>
      </c>
      <c r="Q929" t="s">
        <v>24</v>
      </c>
      <c r="R929" t="s">
        <v>44</v>
      </c>
      <c r="S929">
        <v>3</v>
      </c>
    </row>
    <row r="930" spans="1:19" x14ac:dyDescent="0.3">
      <c r="A930" s="1">
        <v>41719</v>
      </c>
      <c r="B930">
        <v>2014</v>
      </c>
      <c r="C930" t="s">
        <v>40</v>
      </c>
      <c r="D930" s="4">
        <v>176920</v>
      </c>
      <c r="E930" s="2">
        <v>60000</v>
      </c>
      <c r="F930" t="s">
        <v>19</v>
      </c>
      <c r="G930" t="s">
        <v>20</v>
      </c>
      <c r="H930">
        <v>3</v>
      </c>
      <c r="I930">
        <v>1</v>
      </c>
      <c r="J930">
        <v>1111.6589814177564</v>
      </c>
      <c r="K930" s="5">
        <v>1.350819E-2</v>
      </c>
      <c r="L930" t="s">
        <v>32</v>
      </c>
      <c r="M930" s="4">
        <v>-116920</v>
      </c>
      <c r="N930" s="3">
        <v>53.973399999999998</v>
      </c>
      <c r="O930" t="s">
        <v>33</v>
      </c>
      <c r="P930" t="s">
        <v>23</v>
      </c>
      <c r="Q930" t="s">
        <v>24</v>
      </c>
      <c r="R930" t="s">
        <v>44</v>
      </c>
      <c r="S930">
        <v>3</v>
      </c>
    </row>
    <row r="931" spans="1:19" x14ac:dyDescent="0.3">
      <c r="A931" s="1">
        <v>41720</v>
      </c>
      <c r="B931">
        <v>2014</v>
      </c>
      <c r="C931" t="s">
        <v>18</v>
      </c>
      <c r="D931" s="4">
        <v>64200</v>
      </c>
      <c r="E931" s="2">
        <v>10000</v>
      </c>
      <c r="F931" t="s">
        <v>36</v>
      </c>
      <c r="G931" t="s">
        <v>37</v>
      </c>
      <c r="H931">
        <v>6</v>
      </c>
      <c r="I931">
        <v>6</v>
      </c>
      <c r="J931">
        <v>1952</v>
      </c>
      <c r="K931" s="5">
        <v>1.350819E-2</v>
      </c>
      <c r="L931" t="s">
        <v>27</v>
      </c>
      <c r="M931" s="4">
        <v>-54200</v>
      </c>
      <c r="N931" s="3">
        <v>5.1230000000000002</v>
      </c>
      <c r="O931" t="s">
        <v>33</v>
      </c>
      <c r="P931" t="s">
        <v>23</v>
      </c>
      <c r="Q931" t="s">
        <v>34</v>
      </c>
      <c r="R931" t="s">
        <v>44</v>
      </c>
      <c r="S931">
        <v>3</v>
      </c>
    </row>
    <row r="932" spans="1:19" x14ac:dyDescent="0.3">
      <c r="A932" s="1">
        <v>41721</v>
      </c>
      <c r="B932">
        <v>2014</v>
      </c>
      <c r="C932" t="s">
        <v>18</v>
      </c>
      <c r="D932" s="4">
        <v>81280</v>
      </c>
      <c r="E932" s="2">
        <v>16163</v>
      </c>
      <c r="F932" t="s">
        <v>19</v>
      </c>
      <c r="G932" t="s">
        <v>20</v>
      </c>
      <c r="H932">
        <v>3</v>
      </c>
      <c r="I932">
        <v>2</v>
      </c>
      <c r="J932">
        <v>1093</v>
      </c>
      <c r="K932" s="5">
        <v>1.350819E-2</v>
      </c>
      <c r="L932" t="s">
        <v>32</v>
      </c>
      <c r="M932" s="4">
        <v>-65117</v>
      </c>
      <c r="N932" s="3">
        <v>14.787699999999999</v>
      </c>
      <c r="O932" t="s">
        <v>33</v>
      </c>
      <c r="P932" t="s">
        <v>23</v>
      </c>
      <c r="Q932" t="s">
        <v>24</v>
      </c>
      <c r="R932" t="s">
        <v>44</v>
      </c>
      <c r="S932">
        <v>3</v>
      </c>
    </row>
    <row r="933" spans="1:19" x14ac:dyDescent="0.3">
      <c r="A933" s="1">
        <v>41726</v>
      </c>
      <c r="B933">
        <v>2014</v>
      </c>
      <c r="C933" t="s">
        <v>29</v>
      </c>
      <c r="D933" s="4">
        <v>120950</v>
      </c>
      <c r="E933" s="2">
        <v>74000</v>
      </c>
      <c r="F933" t="s">
        <v>19</v>
      </c>
      <c r="G933" t="s">
        <v>20</v>
      </c>
      <c r="H933">
        <v>3</v>
      </c>
      <c r="I933">
        <v>2</v>
      </c>
      <c r="J933">
        <v>1111.6589814177564</v>
      </c>
      <c r="K933" s="5">
        <v>1.350819E-2</v>
      </c>
      <c r="L933" t="s">
        <v>38</v>
      </c>
      <c r="M933" s="4">
        <v>-46950</v>
      </c>
      <c r="N933" s="3">
        <v>66.5672</v>
      </c>
      <c r="O933" t="s">
        <v>33</v>
      </c>
      <c r="P933" t="s">
        <v>23</v>
      </c>
      <c r="Q933" t="s">
        <v>24</v>
      </c>
      <c r="R933" t="s">
        <v>44</v>
      </c>
      <c r="S933">
        <v>3</v>
      </c>
    </row>
    <row r="934" spans="1:19" x14ac:dyDescent="0.3">
      <c r="A934" s="1">
        <v>41727</v>
      </c>
      <c r="B934">
        <v>2014</v>
      </c>
      <c r="C934" t="s">
        <v>40</v>
      </c>
      <c r="D934" s="4">
        <v>444584.20699999999</v>
      </c>
      <c r="E934" s="2">
        <v>535000</v>
      </c>
      <c r="F934" t="s">
        <v>19</v>
      </c>
      <c r="G934" t="s">
        <v>20</v>
      </c>
      <c r="H934">
        <v>3</v>
      </c>
      <c r="I934">
        <v>1</v>
      </c>
      <c r="J934">
        <v>951</v>
      </c>
      <c r="K934" s="5">
        <v>1.350819E-2</v>
      </c>
      <c r="L934" t="s">
        <v>27</v>
      </c>
      <c r="M934" s="4">
        <v>90415.793000000005</v>
      </c>
      <c r="N934" s="3">
        <v>562.56569999999999</v>
      </c>
      <c r="O934" t="s">
        <v>22</v>
      </c>
      <c r="P934" t="s">
        <v>24</v>
      </c>
      <c r="Q934" t="s">
        <v>24</v>
      </c>
      <c r="R934" t="s">
        <v>44</v>
      </c>
      <c r="S934">
        <v>3</v>
      </c>
    </row>
    <row r="935" spans="1:19" x14ac:dyDescent="0.3">
      <c r="A935" s="1">
        <v>41728</v>
      </c>
      <c r="B935">
        <v>2014</v>
      </c>
      <c r="C935" t="s">
        <v>39</v>
      </c>
      <c r="D935" s="4">
        <v>812560</v>
      </c>
      <c r="E935" s="2">
        <v>1250000</v>
      </c>
      <c r="F935" t="s">
        <v>19</v>
      </c>
      <c r="G935" t="s">
        <v>20</v>
      </c>
      <c r="H935">
        <v>3</v>
      </c>
      <c r="I935">
        <v>2</v>
      </c>
      <c r="J935">
        <v>939</v>
      </c>
      <c r="K935" s="5">
        <v>1.350819E-2</v>
      </c>
      <c r="L935" t="s">
        <v>32</v>
      </c>
      <c r="M935" s="4">
        <v>437440</v>
      </c>
      <c r="N935" s="3">
        <v>1331.2034000000001</v>
      </c>
      <c r="O935" t="s">
        <v>22</v>
      </c>
      <c r="P935" t="s">
        <v>28</v>
      </c>
      <c r="Q935" t="s">
        <v>24</v>
      </c>
      <c r="R935" t="s">
        <v>44</v>
      </c>
      <c r="S935">
        <v>3</v>
      </c>
    </row>
    <row r="936" spans="1:19" x14ac:dyDescent="0.3">
      <c r="A936" s="1">
        <v>41731</v>
      </c>
      <c r="B936">
        <v>2014</v>
      </c>
      <c r="C936" t="s">
        <v>35</v>
      </c>
      <c r="D936" s="4">
        <v>444584.20699999999</v>
      </c>
      <c r="E936" s="2">
        <v>1875000</v>
      </c>
      <c r="F936" t="s">
        <v>19</v>
      </c>
      <c r="G936" t="s">
        <v>20</v>
      </c>
      <c r="H936">
        <v>3</v>
      </c>
      <c r="I936">
        <v>1</v>
      </c>
      <c r="J936">
        <v>1086</v>
      </c>
      <c r="K936" s="5">
        <v>1.350819E-2</v>
      </c>
      <c r="L936" t="s">
        <v>32</v>
      </c>
      <c r="M936" s="4">
        <v>1430415.7930000001</v>
      </c>
      <c r="N936" s="3">
        <v>1726.5192999999999</v>
      </c>
      <c r="O936" t="s">
        <v>22</v>
      </c>
      <c r="P936" t="s">
        <v>28</v>
      </c>
      <c r="Q936" t="s">
        <v>24</v>
      </c>
      <c r="R936" t="s">
        <v>45</v>
      </c>
      <c r="S936">
        <v>4</v>
      </c>
    </row>
    <row r="937" spans="1:19" x14ac:dyDescent="0.3">
      <c r="A937" s="1">
        <v>41732</v>
      </c>
      <c r="B937">
        <v>2014</v>
      </c>
      <c r="C937" t="s">
        <v>18</v>
      </c>
      <c r="D937" s="4">
        <v>122830</v>
      </c>
      <c r="E937" s="2">
        <v>125000</v>
      </c>
      <c r="F937" t="s">
        <v>19</v>
      </c>
      <c r="G937" t="s">
        <v>20</v>
      </c>
      <c r="H937">
        <v>3</v>
      </c>
      <c r="I937">
        <v>2</v>
      </c>
      <c r="J937">
        <v>1111.6589814177564</v>
      </c>
      <c r="K937" s="5">
        <v>1.350819E-2</v>
      </c>
      <c r="L937" t="s">
        <v>32</v>
      </c>
      <c r="M937" s="4">
        <v>2170</v>
      </c>
      <c r="N937" s="3">
        <v>112.44459999999999</v>
      </c>
      <c r="O937" t="s">
        <v>22</v>
      </c>
      <c r="P937" t="s">
        <v>23</v>
      </c>
      <c r="Q937" t="s">
        <v>24</v>
      </c>
      <c r="R937" t="s">
        <v>45</v>
      </c>
      <c r="S937">
        <v>4</v>
      </c>
    </row>
    <row r="938" spans="1:19" x14ac:dyDescent="0.3">
      <c r="A938" s="1">
        <v>41733</v>
      </c>
      <c r="B938">
        <v>2014</v>
      </c>
      <c r="C938" t="s">
        <v>40</v>
      </c>
      <c r="D938" s="4">
        <v>119470</v>
      </c>
      <c r="E938" s="2">
        <v>130000</v>
      </c>
      <c r="F938" t="s">
        <v>30</v>
      </c>
      <c r="G938" t="s">
        <v>31</v>
      </c>
      <c r="H938">
        <v>4</v>
      </c>
      <c r="I938">
        <v>2</v>
      </c>
      <c r="J938">
        <v>1356</v>
      </c>
      <c r="K938" s="5">
        <v>1.350819E-2</v>
      </c>
      <c r="L938" t="s">
        <v>27</v>
      </c>
      <c r="M938" s="4">
        <v>10530</v>
      </c>
      <c r="N938" s="3">
        <v>95.870199999999997</v>
      </c>
      <c r="O938" t="s">
        <v>22</v>
      </c>
      <c r="P938" t="s">
        <v>23</v>
      </c>
      <c r="Q938" t="s">
        <v>34</v>
      </c>
      <c r="R938" t="s">
        <v>45</v>
      </c>
      <c r="S938">
        <v>4</v>
      </c>
    </row>
    <row r="939" spans="1:19" x14ac:dyDescent="0.3">
      <c r="A939" s="1">
        <v>41734</v>
      </c>
      <c r="B939">
        <v>2014</v>
      </c>
      <c r="C939" t="s">
        <v>35</v>
      </c>
      <c r="D939" s="4">
        <v>480900</v>
      </c>
      <c r="E939" s="2">
        <v>510000</v>
      </c>
      <c r="F939" t="s">
        <v>30</v>
      </c>
      <c r="G939" t="s">
        <v>31</v>
      </c>
      <c r="H939">
        <v>4</v>
      </c>
      <c r="I939">
        <v>2</v>
      </c>
      <c r="J939">
        <v>1460</v>
      </c>
      <c r="K939" s="5">
        <v>1.350819E-2</v>
      </c>
      <c r="L939" t="s">
        <v>27</v>
      </c>
      <c r="M939" s="4">
        <v>29100</v>
      </c>
      <c r="N939" s="3">
        <v>349.31509999999997</v>
      </c>
      <c r="O939" t="s">
        <v>22</v>
      </c>
      <c r="P939" t="s">
        <v>24</v>
      </c>
      <c r="Q939" t="s">
        <v>34</v>
      </c>
      <c r="R939" t="s">
        <v>45</v>
      </c>
      <c r="S939">
        <v>4</v>
      </c>
    </row>
    <row r="940" spans="1:19" x14ac:dyDescent="0.3">
      <c r="A940" s="1">
        <v>41739</v>
      </c>
      <c r="B940">
        <v>2014</v>
      </c>
      <c r="C940" t="s">
        <v>18</v>
      </c>
      <c r="D940" s="4">
        <v>155620</v>
      </c>
      <c r="E940" s="2">
        <v>140000</v>
      </c>
      <c r="F940" t="s">
        <v>19</v>
      </c>
      <c r="G940" t="s">
        <v>20</v>
      </c>
      <c r="H940">
        <v>3</v>
      </c>
      <c r="I940">
        <v>2</v>
      </c>
      <c r="J940">
        <v>966</v>
      </c>
      <c r="K940" s="5">
        <v>1.350819E-2</v>
      </c>
      <c r="L940" t="s">
        <v>21</v>
      </c>
      <c r="M940" s="4">
        <v>-15620</v>
      </c>
      <c r="N940" s="3">
        <v>144.92750000000001</v>
      </c>
      <c r="O940" t="s">
        <v>33</v>
      </c>
      <c r="P940" t="s">
        <v>23</v>
      </c>
      <c r="Q940" t="s">
        <v>24</v>
      </c>
      <c r="R940" t="s">
        <v>45</v>
      </c>
      <c r="S940">
        <v>4</v>
      </c>
    </row>
    <row r="941" spans="1:19" x14ac:dyDescent="0.3">
      <c r="A941" s="1">
        <v>41740</v>
      </c>
      <c r="B941">
        <v>2014</v>
      </c>
      <c r="C941" t="s">
        <v>35</v>
      </c>
      <c r="D941" s="4">
        <v>1124620</v>
      </c>
      <c r="E941" s="2">
        <v>2025000</v>
      </c>
      <c r="F941" t="s">
        <v>19</v>
      </c>
      <c r="G941" t="s">
        <v>20</v>
      </c>
      <c r="H941">
        <v>3</v>
      </c>
      <c r="I941">
        <v>1</v>
      </c>
      <c r="J941">
        <v>900</v>
      </c>
      <c r="K941" s="5">
        <v>1.350819E-2</v>
      </c>
      <c r="L941" t="s">
        <v>38</v>
      </c>
      <c r="M941" s="4">
        <v>900380</v>
      </c>
      <c r="N941" s="3">
        <v>2250</v>
      </c>
      <c r="O941" t="s">
        <v>22</v>
      </c>
      <c r="P941" t="s">
        <v>28</v>
      </c>
      <c r="Q941" t="s">
        <v>24</v>
      </c>
      <c r="R941" t="s">
        <v>45</v>
      </c>
      <c r="S941">
        <v>4</v>
      </c>
    </row>
    <row r="942" spans="1:19" x14ac:dyDescent="0.3">
      <c r="A942" s="1">
        <v>41741</v>
      </c>
      <c r="B942">
        <v>2014</v>
      </c>
      <c r="C942" t="s">
        <v>29</v>
      </c>
      <c r="D942" s="4">
        <v>135240</v>
      </c>
      <c r="E942" s="2">
        <v>90000</v>
      </c>
      <c r="F942" t="s">
        <v>19</v>
      </c>
      <c r="G942" t="s">
        <v>20</v>
      </c>
      <c r="H942">
        <v>3</v>
      </c>
      <c r="I942">
        <v>1</v>
      </c>
      <c r="J942">
        <v>1092</v>
      </c>
      <c r="K942" s="5">
        <v>1.350819E-2</v>
      </c>
      <c r="L942" t="s">
        <v>21</v>
      </c>
      <c r="M942" s="4">
        <v>-45240</v>
      </c>
      <c r="N942" s="3">
        <v>82.417599999999993</v>
      </c>
      <c r="O942" t="s">
        <v>33</v>
      </c>
      <c r="P942" t="s">
        <v>23</v>
      </c>
      <c r="Q942" t="s">
        <v>24</v>
      </c>
      <c r="R942" t="s">
        <v>45</v>
      </c>
      <c r="S942">
        <v>4</v>
      </c>
    </row>
    <row r="943" spans="1:19" x14ac:dyDescent="0.3">
      <c r="A943" s="1">
        <v>41742</v>
      </c>
      <c r="B943">
        <v>2014</v>
      </c>
      <c r="C943" t="s">
        <v>18</v>
      </c>
      <c r="D943" s="4">
        <v>175850</v>
      </c>
      <c r="E943" s="2">
        <v>166000</v>
      </c>
      <c r="F943" t="s">
        <v>19</v>
      </c>
      <c r="G943" t="s">
        <v>20</v>
      </c>
      <c r="H943">
        <v>3</v>
      </c>
      <c r="I943">
        <v>1</v>
      </c>
      <c r="J943">
        <v>926</v>
      </c>
      <c r="K943" s="5">
        <v>1.350819E-2</v>
      </c>
      <c r="L943" t="s">
        <v>27</v>
      </c>
      <c r="M943" s="4">
        <v>-9850</v>
      </c>
      <c r="N943" s="3">
        <v>179.26570000000001</v>
      </c>
      <c r="O943" t="s">
        <v>33</v>
      </c>
      <c r="P943" t="s">
        <v>23</v>
      </c>
      <c r="Q943" t="s">
        <v>24</v>
      </c>
      <c r="R943" t="s">
        <v>45</v>
      </c>
      <c r="S943">
        <v>4</v>
      </c>
    </row>
    <row r="944" spans="1:19" x14ac:dyDescent="0.3">
      <c r="A944" s="1">
        <v>41745</v>
      </c>
      <c r="B944">
        <v>2014</v>
      </c>
      <c r="C944" t="s">
        <v>29</v>
      </c>
      <c r="D944" s="4">
        <v>177370</v>
      </c>
      <c r="E944" s="2">
        <v>40000</v>
      </c>
      <c r="F944" t="s">
        <v>30</v>
      </c>
      <c r="G944" t="s">
        <v>31</v>
      </c>
      <c r="H944">
        <v>4</v>
      </c>
      <c r="I944">
        <v>2</v>
      </c>
      <c r="J944">
        <v>1492</v>
      </c>
      <c r="K944" s="5">
        <v>1.350819E-2</v>
      </c>
      <c r="L944" t="s">
        <v>32</v>
      </c>
      <c r="M944" s="4">
        <v>-137370</v>
      </c>
      <c r="N944" s="3">
        <v>26.809699999999999</v>
      </c>
      <c r="O944" t="s">
        <v>33</v>
      </c>
      <c r="P944" t="s">
        <v>23</v>
      </c>
      <c r="Q944" t="s">
        <v>34</v>
      </c>
      <c r="R944" t="s">
        <v>45</v>
      </c>
      <c r="S944">
        <v>4</v>
      </c>
    </row>
    <row r="945" spans="1:19" x14ac:dyDescent="0.3">
      <c r="A945" s="1">
        <v>41746</v>
      </c>
      <c r="B945">
        <v>2014</v>
      </c>
      <c r="C945" t="s">
        <v>35</v>
      </c>
      <c r="D945" s="4">
        <v>1413510</v>
      </c>
      <c r="E945" s="2">
        <v>3000000</v>
      </c>
      <c r="F945" t="s">
        <v>19</v>
      </c>
      <c r="G945" t="s">
        <v>20</v>
      </c>
      <c r="H945">
        <v>3</v>
      </c>
      <c r="I945">
        <v>1</v>
      </c>
      <c r="J945">
        <v>1111.6589814177564</v>
      </c>
      <c r="K945" s="5">
        <v>1.350819E-2</v>
      </c>
      <c r="L945" t="s">
        <v>21</v>
      </c>
      <c r="M945" s="4">
        <v>1586490</v>
      </c>
      <c r="N945" s="3">
        <v>2698.6693</v>
      </c>
      <c r="O945" t="s">
        <v>22</v>
      </c>
      <c r="P945" t="s">
        <v>28</v>
      </c>
      <c r="Q945" t="s">
        <v>24</v>
      </c>
      <c r="R945" t="s">
        <v>45</v>
      </c>
      <c r="S945">
        <v>4</v>
      </c>
    </row>
    <row r="946" spans="1:19" x14ac:dyDescent="0.3">
      <c r="A946" s="1">
        <v>41747</v>
      </c>
      <c r="B946">
        <v>2014</v>
      </c>
      <c r="C946" t="s">
        <v>29</v>
      </c>
      <c r="D946" s="4">
        <v>228430</v>
      </c>
      <c r="E946" s="2">
        <v>210000</v>
      </c>
      <c r="F946" t="s">
        <v>42</v>
      </c>
      <c r="G946" t="s">
        <v>43</v>
      </c>
      <c r="H946">
        <v>8</v>
      </c>
      <c r="I946">
        <v>6</v>
      </c>
      <c r="J946">
        <v>2570</v>
      </c>
      <c r="K946" s="5">
        <v>1.350819E-2</v>
      </c>
      <c r="L946" t="s">
        <v>27</v>
      </c>
      <c r="M946" s="4">
        <v>-18430</v>
      </c>
      <c r="N946" s="3">
        <v>81.712100000000007</v>
      </c>
      <c r="O946" t="s">
        <v>33</v>
      </c>
      <c r="P946" t="s">
        <v>24</v>
      </c>
      <c r="Q946" t="s">
        <v>34</v>
      </c>
      <c r="R946" t="s">
        <v>45</v>
      </c>
      <c r="S946">
        <v>4</v>
      </c>
    </row>
    <row r="947" spans="1:19" x14ac:dyDescent="0.3">
      <c r="A947" s="1">
        <v>41749</v>
      </c>
      <c r="B947">
        <v>2014</v>
      </c>
      <c r="C947" t="s">
        <v>39</v>
      </c>
      <c r="D947" s="4">
        <v>1188740</v>
      </c>
      <c r="E947" s="2">
        <v>950000</v>
      </c>
      <c r="F947" t="s">
        <v>19</v>
      </c>
      <c r="G947" t="s">
        <v>20</v>
      </c>
      <c r="H947">
        <v>3</v>
      </c>
      <c r="I947">
        <v>2</v>
      </c>
      <c r="J947">
        <v>999</v>
      </c>
      <c r="K947" s="5">
        <v>1.350819E-2</v>
      </c>
      <c r="L947" t="s">
        <v>38</v>
      </c>
      <c r="M947" s="4">
        <v>-238740</v>
      </c>
      <c r="N947" s="3">
        <v>950.95100000000002</v>
      </c>
      <c r="O947" t="s">
        <v>33</v>
      </c>
      <c r="P947" t="s">
        <v>28</v>
      </c>
      <c r="Q947" t="s">
        <v>24</v>
      </c>
      <c r="R947" t="s">
        <v>45</v>
      </c>
      <c r="S947">
        <v>4</v>
      </c>
    </row>
    <row r="948" spans="1:19" x14ac:dyDescent="0.3">
      <c r="A948" s="1">
        <v>41752</v>
      </c>
      <c r="B948">
        <v>2014</v>
      </c>
      <c r="C948" t="s">
        <v>40</v>
      </c>
      <c r="D948" s="4">
        <v>457240</v>
      </c>
      <c r="E948" s="2">
        <v>552000</v>
      </c>
      <c r="F948" t="s">
        <v>19</v>
      </c>
      <c r="G948" t="s">
        <v>20</v>
      </c>
      <c r="H948">
        <v>3</v>
      </c>
      <c r="I948">
        <v>3</v>
      </c>
      <c r="J948">
        <v>974</v>
      </c>
      <c r="K948" s="5">
        <v>1.350819E-2</v>
      </c>
      <c r="L948" t="s">
        <v>27</v>
      </c>
      <c r="M948" s="4">
        <v>94760</v>
      </c>
      <c r="N948" s="3">
        <v>566.73509999999999</v>
      </c>
      <c r="O948" t="s">
        <v>22</v>
      </c>
      <c r="P948" t="s">
        <v>24</v>
      </c>
      <c r="Q948" t="s">
        <v>24</v>
      </c>
      <c r="R948" t="s">
        <v>45</v>
      </c>
      <c r="S948">
        <v>4</v>
      </c>
    </row>
    <row r="949" spans="1:19" x14ac:dyDescent="0.3">
      <c r="A949" s="1">
        <v>41754</v>
      </c>
      <c r="B949">
        <v>2014</v>
      </c>
      <c r="C949" t="s">
        <v>39</v>
      </c>
      <c r="D949" s="4">
        <v>227290</v>
      </c>
      <c r="E949" s="2">
        <v>222750</v>
      </c>
      <c r="F949" t="s">
        <v>19</v>
      </c>
      <c r="G949" t="s">
        <v>20</v>
      </c>
      <c r="H949">
        <v>3</v>
      </c>
      <c r="I949">
        <v>1</v>
      </c>
      <c r="J949">
        <v>971</v>
      </c>
      <c r="K949" s="5">
        <v>1.350819E-2</v>
      </c>
      <c r="L949" t="s">
        <v>27</v>
      </c>
      <c r="M949" s="4">
        <v>-4540</v>
      </c>
      <c r="N949" s="3">
        <v>229.40270000000001</v>
      </c>
      <c r="O949" t="s">
        <v>33</v>
      </c>
      <c r="P949" t="s">
        <v>24</v>
      </c>
      <c r="Q949" t="s">
        <v>24</v>
      </c>
      <c r="R949" t="s">
        <v>45</v>
      </c>
      <c r="S949">
        <v>4</v>
      </c>
    </row>
    <row r="950" spans="1:19" x14ac:dyDescent="0.3">
      <c r="A950" s="1">
        <v>41755</v>
      </c>
      <c r="B950">
        <v>2014</v>
      </c>
      <c r="C950" t="s">
        <v>39</v>
      </c>
      <c r="D950" s="4">
        <v>314230</v>
      </c>
      <c r="E950" s="2">
        <v>365000</v>
      </c>
      <c r="F950" t="s">
        <v>19</v>
      </c>
      <c r="G950" t="s">
        <v>20</v>
      </c>
      <c r="H950">
        <v>3</v>
      </c>
      <c r="I950">
        <v>3</v>
      </c>
      <c r="J950">
        <v>942</v>
      </c>
      <c r="K950" s="5">
        <v>1.350819E-2</v>
      </c>
      <c r="L950" t="s">
        <v>32</v>
      </c>
      <c r="M950" s="4">
        <v>50770</v>
      </c>
      <c r="N950" s="3">
        <v>387.4735</v>
      </c>
      <c r="O950" t="s">
        <v>22</v>
      </c>
      <c r="P950" t="s">
        <v>24</v>
      </c>
      <c r="Q950" t="s">
        <v>24</v>
      </c>
      <c r="R950" t="s">
        <v>45</v>
      </c>
      <c r="S950">
        <v>4</v>
      </c>
    </row>
    <row r="951" spans="1:19" x14ac:dyDescent="0.3">
      <c r="A951" s="1">
        <v>41756</v>
      </c>
      <c r="B951">
        <v>2014</v>
      </c>
      <c r="C951" t="s">
        <v>56</v>
      </c>
      <c r="D951" s="4">
        <v>327190</v>
      </c>
      <c r="E951" s="2">
        <v>315000</v>
      </c>
      <c r="F951" t="s">
        <v>19</v>
      </c>
      <c r="G951" t="s">
        <v>20</v>
      </c>
      <c r="H951">
        <v>3</v>
      </c>
      <c r="I951">
        <v>2</v>
      </c>
      <c r="J951">
        <v>913</v>
      </c>
      <c r="K951" s="5">
        <v>1.350819E-2</v>
      </c>
      <c r="L951" t="s">
        <v>32</v>
      </c>
      <c r="M951" s="4">
        <v>-12190</v>
      </c>
      <c r="N951" s="3">
        <v>345.01639999999998</v>
      </c>
      <c r="O951" t="s">
        <v>33</v>
      </c>
      <c r="P951" t="s">
        <v>24</v>
      </c>
      <c r="Q951" t="s">
        <v>24</v>
      </c>
      <c r="R951" t="s">
        <v>45</v>
      </c>
      <c r="S951">
        <v>4</v>
      </c>
    </row>
    <row r="952" spans="1:19" x14ac:dyDescent="0.3">
      <c r="A952" s="1">
        <v>41759</v>
      </c>
      <c r="B952">
        <v>2014</v>
      </c>
      <c r="C952" t="s">
        <v>26</v>
      </c>
      <c r="D952" s="4">
        <v>340200</v>
      </c>
      <c r="E952" s="2">
        <v>425000</v>
      </c>
      <c r="F952" t="s">
        <v>19</v>
      </c>
      <c r="G952" t="s">
        <v>20</v>
      </c>
      <c r="H952">
        <v>3</v>
      </c>
      <c r="I952">
        <v>3</v>
      </c>
      <c r="J952">
        <v>904</v>
      </c>
      <c r="K952" s="5">
        <v>1.350819E-2</v>
      </c>
      <c r="L952" t="s">
        <v>27</v>
      </c>
      <c r="M952" s="4">
        <v>84800</v>
      </c>
      <c r="N952" s="3">
        <v>470.1327</v>
      </c>
      <c r="O952" t="s">
        <v>22</v>
      </c>
      <c r="P952" t="s">
        <v>24</v>
      </c>
      <c r="Q952" t="s">
        <v>24</v>
      </c>
      <c r="R952" t="s">
        <v>45</v>
      </c>
      <c r="S952">
        <v>4</v>
      </c>
    </row>
    <row r="953" spans="1:19" x14ac:dyDescent="0.3">
      <c r="A953" s="1">
        <v>41760</v>
      </c>
      <c r="B953">
        <v>2014</v>
      </c>
      <c r="C953" t="s">
        <v>29</v>
      </c>
      <c r="D953" s="4">
        <v>444584.20699999999</v>
      </c>
      <c r="E953" s="2">
        <v>155000</v>
      </c>
      <c r="F953" t="s">
        <v>19</v>
      </c>
      <c r="G953" t="s">
        <v>20</v>
      </c>
      <c r="H953">
        <v>3</v>
      </c>
      <c r="I953">
        <v>3</v>
      </c>
      <c r="J953">
        <v>979</v>
      </c>
      <c r="K953" s="5">
        <v>1.350819E-2</v>
      </c>
      <c r="L953" t="s">
        <v>21</v>
      </c>
      <c r="M953" s="4">
        <v>-289584.20699999999</v>
      </c>
      <c r="N953" s="3">
        <v>158.32480000000001</v>
      </c>
      <c r="O953" t="s">
        <v>33</v>
      </c>
      <c r="P953" t="s">
        <v>23</v>
      </c>
      <c r="Q953" t="s">
        <v>24</v>
      </c>
      <c r="R953" t="s">
        <v>47</v>
      </c>
      <c r="S953">
        <v>5</v>
      </c>
    </row>
    <row r="954" spans="1:19" x14ac:dyDescent="0.3">
      <c r="A954" s="1">
        <v>41761</v>
      </c>
      <c r="B954">
        <v>2014</v>
      </c>
      <c r="C954" t="s">
        <v>35</v>
      </c>
      <c r="D954" s="4">
        <v>548380</v>
      </c>
      <c r="E954" s="2">
        <v>319000</v>
      </c>
      <c r="F954" t="s">
        <v>19</v>
      </c>
      <c r="G954" t="s">
        <v>20</v>
      </c>
      <c r="H954">
        <v>3</v>
      </c>
      <c r="I954">
        <v>3</v>
      </c>
      <c r="J954">
        <v>1099</v>
      </c>
      <c r="K954" s="5">
        <v>1.350819E-2</v>
      </c>
      <c r="L954" t="s">
        <v>32</v>
      </c>
      <c r="M954" s="4">
        <v>-229380</v>
      </c>
      <c r="N954" s="3">
        <v>290.26389999999998</v>
      </c>
      <c r="O954" t="s">
        <v>33</v>
      </c>
      <c r="P954" t="s">
        <v>24</v>
      </c>
      <c r="Q954" t="s">
        <v>24</v>
      </c>
      <c r="R954" t="s">
        <v>47</v>
      </c>
      <c r="S954">
        <v>5</v>
      </c>
    </row>
    <row r="955" spans="1:19" x14ac:dyDescent="0.3">
      <c r="A955" s="1">
        <v>41762</v>
      </c>
      <c r="B955">
        <v>2014</v>
      </c>
      <c r="C955" t="s">
        <v>40</v>
      </c>
      <c r="D955" s="4">
        <v>155740</v>
      </c>
      <c r="E955" s="2">
        <v>56500</v>
      </c>
      <c r="F955" t="s">
        <v>30</v>
      </c>
      <c r="G955" t="s">
        <v>31</v>
      </c>
      <c r="H955">
        <v>4</v>
      </c>
      <c r="I955">
        <v>2</v>
      </c>
      <c r="J955">
        <v>1422</v>
      </c>
      <c r="K955" s="5">
        <v>1.350819E-2</v>
      </c>
      <c r="L955" t="s">
        <v>21</v>
      </c>
      <c r="M955" s="4">
        <v>-99240</v>
      </c>
      <c r="N955" s="3">
        <v>39.732799999999997</v>
      </c>
      <c r="O955" t="s">
        <v>33</v>
      </c>
      <c r="P955" t="s">
        <v>23</v>
      </c>
      <c r="Q955" t="s">
        <v>34</v>
      </c>
      <c r="R955" t="s">
        <v>47</v>
      </c>
      <c r="S955">
        <v>5</v>
      </c>
    </row>
    <row r="956" spans="1:19" x14ac:dyDescent="0.3">
      <c r="A956" s="1">
        <v>41766</v>
      </c>
      <c r="B956">
        <v>2014</v>
      </c>
      <c r="C956" t="s">
        <v>40</v>
      </c>
      <c r="D956" s="4">
        <v>444584.20699999999</v>
      </c>
      <c r="E956" s="2">
        <v>995000</v>
      </c>
      <c r="F956" t="s">
        <v>19</v>
      </c>
      <c r="G956" t="s">
        <v>20</v>
      </c>
      <c r="H956">
        <v>3</v>
      </c>
      <c r="I956">
        <v>3</v>
      </c>
      <c r="J956">
        <v>963</v>
      </c>
      <c r="K956" s="5">
        <v>1.350819E-2</v>
      </c>
      <c r="L956" t="s">
        <v>38</v>
      </c>
      <c r="M956" s="4">
        <v>550415.79299999995</v>
      </c>
      <c r="N956" s="3">
        <v>1033.2294999999999</v>
      </c>
      <c r="O956" t="s">
        <v>22</v>
      </c>
      <c r="P956" t="s">
        <v>28</v>
      </c>
      <c r="Q956" t="s">
        <v>24</v>
      </c>
      <c r="R956" t="s">
        <v>47</v>
      </c>
      <c r="S956">
        <v>5</v>
      </c>
    </row>
    <row r="957" spans="1:19" x14ac:dyDescent="0.3">
      <c r="A957" s="1">
        <v>41769</v>
      </c>
      <c r="B957">
        <v>2014</v>
      </c>
      <c r="C957" t="s">
        <v>29</v>
      </c>
      <c r="D957" s="4">
        <v>163120</v>
      </c>
      <c r="E957" s="2">
        <v>105000</v>
      </c>
      <c r="F957" t="s">
        <v>36</v>
      </c>
      <c r="G957" t="s">
        <v>37</v>
      </c>
      <c r="H957">
        <v>6</v>
      </c>
      <c r="I957">
        <v>6</v>
      </c>
      <c r="J957">
        <v>1111.6589814177564</v>
      </c>
      <c r="K957" s="5">
        <v>1.350819E-2</v>
      </c>
      <c r="L957" t="s">
        <v>38</v>
      </c>
      <c r="M957" s="4">
        <v>-58120</v>
      </c>
      <c r="N957" s="3">
        <v>94.453400000000002</v>
      </c>
      <c r="O957" t="s">
        <v>33</v>
      </c>
      <c r="P957" t="s">
        <v>23</v>
      </c>
      <c r="Q957" t="s">
        <v>24</v>
      </c>
      <c r="R957" t="s">
        <v>47</v>
      </c>
      <c r="S957">
        <v>5</v>
      </c>
    </row>
    <row r="958" spans="1:19" x14ac:dyDescent="0.3">
      <c r="A958" s="1">
        <v>41770</v>
      </c>
      <c r="B958">
        <v>2014</v>
      </c>
      <c r="C958" t="s">
        <v>56</v>
      </c>
      <c r="D958" s="4">
        <v>313820</v>
      </c>
      <c r="E958" s="2">
        <v>350000</v>
      </c>
      <c r="F958" t="s">
        <v>19</v>
      </c>
      <c r="G958" t="s">
        <v>20</v>
      </c>
      <c r="H958">
        <v>3</v>
      </c>
      <c r="I958">
        <v>2</v>
      </c>
      <c r="J958">
        <v>1019</v>
      </c>
      <c r="K958" s="5">
        <v>1.350819E-2</v>
      </c>
      <c r="L958" t="s">
        <v>21</v>
      </c>
      <c r="M958" s="4">
        <v>36180</v>
      </c>
      <c r="N958" s="3">
        <v>343.47399999999999</v>
      </c>
      <c r="O958" t="s">
        <v>22</v>
      </c>
      <c r="P958" t="s">
        <v>24</v>
      </c>
      <c r="Q958" t="s">
        <v>24</v>
      </c>
      <c r="R958" t="s">
        <v>47</v>
      </c>
      <c r="S958">
        <v>5</v>
      </c>
    </row>
    <row r="959" spans="1:19" x14ac:dyDescent="0.3">
      <c r="A959" s="1">
        <v>41776</v>
      </c>
      <c r="B959">
        <v>2014</v>
      </c>
      <c r="C959" t="s">
        <v>40</v>
      </c>
      <c r="D959" s="4">
        <v>438090</v>
      </c>
      <c r="E959" s="2">
        <v>410000</v>
      </c>
      <c r="F959" t="s">
        <v>19</v>
      </c>
      <c r="G959" t="s">
        <v>20</v>
      </c>
      <c r="H959">
        <v>3</v>
      </c>
      <c r="I959">
        <v>1</v>
      </c>
      <c r="J959">
        <v>1056</v>
      </c>
      <c r="K959" s="5">
        <v>1.350819E-2</v>
      </c>
      <c r="L959" t="s">
        <v>38</v>
      </c>
      <c r="M959" s="4">
        <v>-28090</v>
      </c>
      <c r="N959" s="3">
        <v>388.25760000000002</v>
      </c>
      <c r="O959" t="s">
        <v>33</v>
      </c>
      <c r="P959" t="s">
        <v>24</v>
      </c>
      <c r="Q959" t="s">
        <v>24</v>
      </c>
      <c r="R959" t="s">
        <v>47</v>
      </c>
      <c r="S959">
        <v>5</v>
      </c>
    </row>
    <row r="960" spans="1:19" x14ac:dyDescent="0.3">
      <c r="A960" s="1">
        <v>41777</v>
      </c>
      <c r="B960">
        <v>2014</v>
      </c>
      <c r="C960" t="s">
        <v>18</v>
      </c>
      <c r="D960" s="4">
        <v>33260</v>
      </c>
      <c r="E960" s="2">
        <v>3000</v>
      </c>
      <c r="F960" t="s">
        <v>19</v>
      </c>
      <c r="G960" t="s">
        <v>20</v>
      </c>
      <c r="H960">
        <v>3</v>
      </c>
      <c r="I960">
        <v>3</v>
      </c>
      <c r="J960">
        <v>1054</v>
      </c>
      <c r="K960" s="5">
        <v>1.350819E-2</v>
      </c>
      <c r="L960" t="s">
        <v>32</v>
      </c>
      <c r="M960" s="4">
        <v>-30260</v>
      </c>
      <c r="N960" s="3">
        <v>2.8462999999999998</v>
      </c>
      <c r="O960" t="s">
        <v>33</v>
      </c>
      <c r="P960" t="s">
        <v>23</v>
      </c>
      <c r="Q960" t="s">
        <v>24</v>
      </c>
      <c r="R960" t="s">
        <v>47</v>
      </c>
      <c r="S960">
        <v>5</v>
      </c>
    </row>
    <row r="961" spans="1:19" x14ac:dyDescent="0.3">
      <c r="A961" s="1">
        <v>41779</v>
      </c>
      <c r="B961">
        <v>2014</v>
      </c>
      <c r="C961" t="s">
        <v>18</v>
      </c>
      <c r="D961" s="4">
        <v>101850</v>
      </c>
      <c r="E961" s="2">
        <v>130000</v>
      </c>
      <c r="F961" t="s">
        <v>19</v>
      </c>
      <c r="G961" t="s">
        <v>20</v>
      </c>
      <c r="H961">
        <v>3</v>
      </c>
      <c r="I961">
        <v>3</v>
      </c>
      <c r="J961">
        <v>1084</v>
      </c>
      <c r="K961" s="5">
        <v>1.350819E-2</v>
      </c>
      <c r="L961" t="s">
        <v>32</v>
      </c>
      <c r="M961" s="4">
        <v>28150</v>
      </c>
      <c r="N961" s="3">
        <v>119.92619999999999</v>
      </c>
      <c r="O961" t="s">
        <v>22</v>
      </c>
      <c r="P961" t="s">
        <v>23</v>
      </c>
      <c r="Q961" t="s">
        <v>24</v>
      </c>
      <c r="R961" t="s">
        <v>47</v>
      </c>
      <c r="S961">
        <v>5</v>
      </c>
    </row>
    <row r="962" spans="1:19" x14ac:dyDescent="0.3">
      <c r="A962" s="1">
        <v>41780</v>
      </c>
      <c r="B962">
        <v>2014</v>
      </c>
      <c r="C962" t="s">
        <v>18</v>
      </c>
      <c r="D962" s="4">
        <v>107890</v>
      </c>
      <c r="E962" s="2">
        <v>38400</v>
      </c>
      <c r="F962" t="s">
        <v>19</v>
      </c>
      <c r="G962" t="s">
        <v>20</v>
      </c>
      <c r="H962">
        <v>3</v>
      </c>
      <c r="I962">
        <v>1</v>
      </c>
      <c r="J962">
        <v>1098</v>
      </c>
      <c r="K962" s="5">
        <v>1.350819E-2</v>
      </c>
      <c r="L962" t="s">
        <v>38</v>
      </c>
      <c r="M962" s="4">
        <v>-69490</v>
      </c>
      <c r="N962" s="3">
        <v>34.972700000000003</v>
      </c>
      <c r="O962" t="s">
        <v>33</v>
      </c>
      <c r="P962" t="s">
        <v>23</v>
      </c>
      <c r="Q962" t="s">
        <v>24</v>
      </c>
      <c r="R962" t="s">
        <v>47</v>
      </c>
      <c r="S962">
        <v>5</v>
      </c>
    </row>
    <row r="963" spans="1:19" x14ac:dyDescent="0.3">
      <c r="A963" s="1">
        <v>41781</v>
      </c>
      <c r="B963">
        <v>2014</v>
      </c>
      <c r="C963" t="s">
        <v>56</v>
      </c>
      <c r="D963" s="4">
        <v>504780</v>
      </c>
      <c r="E963" s="2">
        <v>395000</v>
      </c>
      <c r="F963" t="s">
        <v>30</v>
      </c>
      <c r="G963" t="s">
        <v>31</v>
      </c>
      <c r="H963">
        <v>4</v>
      </c>
      <c r="I963">
        <v>2</v>
      </c>
      <c r="J963">
        <v>1397</v>
      </c>
      <c r="K963" s="5">
        <v>1.350819E-2</v>
      </c>
      <c r="L963" t="s">
        <v>21</v>
      </c>
      <c r="M963" s="4">
        <v>-109780</v>
      </c>
      <c r="N963" s="3">
        <v>282.74869999999999</v>
      </c>
      <c r="O963" t="s">
        <v>33</v>
      </c>
      <c r="P963" t="s">
        <v>24</v>
      </c>
      <c r="Q963" t="s">
        <v>34</v>
      </c>
      <c r="R963" t="s">
        <v>47</v>
      </c>
      <c r="S963">
        <v>5</v>
      </c>
    </row>
    <row r="964" spans="1:19" x14ac:dyDescent="0.3">
      <c r="A964" s="1">
        <v>41784</v>
      </c>
      <c r="B964">
        <v>2014</v>
      </c>
      <c r="C964" t="s">
        <v>35</v>
      </c>
      <c r="D964" s="4">
        <v>1702890</v>
      </c>
      <c r="E964" s="2">
        <v>2500000</v>
      </c>
      <c r="F964" t="s">
        <v>19</v>
      </c>
      <c r="G964" t="s">
        <v>20</v>
      </c>
      <c r="H964">
        <v>3</v>
      </c>
      <c r="I964">
        <v>1</v>
      </c>
      <c r="J964">
        <v>912</v>
      </c>
      <c r="K964" s="5">
        <v>1.350819E-2</v>
      </c>
      <c r="L964" t="s">
        <v>32</v>
      </c>
      <c r="M964" s="4">
        <v>797110</v>
      </c>
      <c r="N964" s="3">
        <v>2741.2280999999998</v>
      </c>
      <c r="O964" t="s">
        <v>22</v>
      </c>
      <c r="P964" t="s">
        <v>28</v>
      </c>
      <c r="Q964" t="s">
        <v>24</v>
      </c>
      <c r="R964" t="s">
        <v>47</v>
      </c>
      <c r="S964">
        <v>5</v>
      </c>
    </row>
    <row r="965" spans="1:19" x14ac:dyDescent="0.3">
      <c r="A965" s="1">
        <v>41788</v>
      </c>
      <c r="B965">
        <v>2014</v>
      </c>
      <c r="C965" t="s">
        <v>39</v>
      </c>
      <c r="D965" s="4">
        <v>272790</v>
      </c>
      <c r="E965" s="2">
        <v>425000</v>
      </c>
      <c r="F965" t="s">
        <v>19</v>
      </c>
      <c r="G965" t="s">
        <v>20</v>
      </c>
      <c r="H965">
        <v>3</v>
      </c>
      <c r="I965">
        <v>1</v>
      </c>
      <c r="J965">
        <v>1041</v>
      </c>
      <c r="K965" s="5">
        <v>1.350819E-2</v>
      </c>
      <c r="L965" t="s">
        <v>32</v>
      </c>
      <c r="M965" s="4">
        <v>152210</v>
      </c>
      <c r="N965" s="3">
        <v>408.26130000000001</v>
      </c>
      <c r="O965" t="s">
        <v>22</v>
      </c>
      <c r="P965" t="s">
        <v>24</v>
      </c>
      <c r="Q965" t="s">
        <v>24</v>
      </c>
      <c r="R965" t="s">
        <v>47</v>
      </c>
      <c r="S965">
        <v>5</v>
      </c>
    </row>
    <row r="966" spans="1:19" x14ac:dyDescent="0.3">
      <c r="A966" s="1">
        <v>41789</v>
      </c>
      <c r="B966">
        <v>2014</v>
      </c>
      <c r="C966" t="s">
        <v>56</v>
      </c>
      <c r="D966" s="4">
        <v>438760</v>
      </c>
      <c r="E966" s="2">
        <v>424975</v>
      </c>
      <c r="F966" t="s">
        <v>19</v>
      </c>
      <c r="G966" t="s">
        <v>20</v>
      </c>
      <c r="H966">
        <v>3</v>
      </c>
      <c r="I966">
        <v>2</v>
      </c>
      <c r="J966">
        <v>1005</v>
      </c>
      <c r="K966" s="5">
        <v>1.350819E-2</v>
      </c>
      <c r="L966" t="s">
        <v>32</v>
      </c>
      <c r="M966" s="4">
        <v>-13785</v>
      </c>
      <c r="N966" s="3">
        <v>422.86070000000001</v>
      </c>
      <c r="O966" t="s">
        <v>33</v>
      </c>
      <c r="P966" t="s">
        <v>24</v>
      </c>
      <c r="Q966" t="s">
        <v>24</v>
      </c>
      <c r="R966" t="s">
        <v>47</v>
      </c>
      <c r="S966">
        <v>5</v>
      </c>
    </row>
    <row r="967" spans="1:19" x14ac:dyDescent="0.3">
      <c r="A967" s="1">
        <v>41790</v>
      </c>
      <c r="B967">
        <v>2014</v>
      </c>
      <c r="C967" t="s">
        <v>39</v>
      </c>
      <c r="D967" s="4">
        <v>444584.20699999999</v>
      </c>
      <c r="E967" s="2">
        <v>1352750</v>
      </c>
      <c r="F967" t="s">
        <v>19</v>
      </c>
      <c r="G967" t="s">
        <v>20</v>
      </c>
      <c r="H967">
        <v>3</v>
      </c>
      <c r="I967">
        <v>1</v>
      </c>
      <c r="J967">
        <v>1099</v>
      </c>
      <c r="K967" s="5">
        <v>1.350819E-2</v>
      </c>
      <c r="L967" t="s">
        <v>38</v>
      </c>
      <c r="M967" s="4">
        <v>908165.79299999995</v>
      </c>
      <c r="N967" s="3">
        <v>1230.8916999999999</v>
      </c>
      <c r="O967" t="s">
        <v>22</v>
      </c>
      <c r="P967" t="s">
        <v>28</v>
      </c>
      <c r="Q967" t="s">
        <v>24</v>
      </c>
      <c r="R967" t="s">
        <v>47</v>
      </c>
      <c r="S967">
        <v>5</v>
      </c>
    </row>
    <row r="968" spans="1:19" x14ac:dyDescent="0.3">
      <c r="A968" s="1">
        <v>41791</v>
      </c>
      <c r="B968">
        <v>2014</v>
      </c>
      <c r="C968" t="s">
        <v>39</v>
      </c>
      <c r="D968" s="4">
        <v>310310</v>
      </c>
      <c r="E968" s="2">
        <v>445000</v>
      </c>
      <c r="F968" t="s">
        <v>19</v>
      </c>
      <c r="G968" t="s">
        <v>20</v>
      </c>
      <c r="H968">
        <v>3</v>
      </c>
      <c r="I968">
        <v>1</v>
      </c>
      <c r="J968">
        <v>932</v>
      </c>
      <c r="K968" s="5">
        <v>1.350819E-2</v>
      </c>
      <c r="L968" t="s">
        <v>21</v>
      </c>
      <c r="M968" s="4">
        <v>134690</v>
      </c>
      <c r="N968" s="3">
        <v>477.46780000000001</v>
      </c>
      <c r="O968" t="s">
        <v>22</v>
      </c>
      <c r="P968" t="s">
        <v>24</v>
      </c>
      <c r="Q968" t="s">
        <v>24</v>
      </c>
      <c r="R968" t="s">
        <v>48</v>
      </c>
      <c r="S968">
        <v>6</v>
      </c>
    </row>
    <row r="969" spans="1:19" x14ac:dyDescent="0.3">
      <c r="A969" s="1">
        <v>41794</v>
      </c>
      <c r="B969">
        <v>2014</v>
      </c>
      <c r="C969" t="s">
        <v>29</v>
      </c>
      <c r="D969" s="4">
        <v>150500</v>
      </c>
      <c r="E969" s="2">
        <v>107000</v>
      </c>
      <c r="F969" t="s">
        <v>30</v>
      </c>
      <c r="G969" t="s">
        <v>31</v>
      </c>
      <c r="H969">
        <v>4</v>
      </c>
      <c r="I969">
        <v>2</v>
      </c>
      <c r="J969">
        <v>1292</v>
      </c>
      <c r="K969" s="5">
        <v>1.350819E-2</v>
      </c>
      <c r="L969" t="s">
        <v>27</v>
      </c>
      <c r="M969" s="4">
        <v>-43500</v>
      </c>
      <c r="N969" s="3">
        <v>82.817300000000003</v>
      </c>
      <c r="O969" t="s">
        <v>33</v>
      </c>
      <c r="P969" t="s">
        <v>23</v>
      </c>
      <c r="Q969" t="s">
        <v>24</v>
      </c>
      <c r="R969" t="s">
        <v>48</v>
      </c>
      <c r="S969">
        <v>6</v>
      </c>
    </row>
    <row r="970" spans="1:19" x14ac:dyDescent="0.3">
      <c r="A970" s="1">
        <v>41795</v>
      </c>
      <c r="B970">
        <v>2014</v>
      </c>
      <c r="C970" t="s">
        <v>39</v>
      </c>
      <c r="D970" s="4">
        <v>292600</v>
      </c>
      <c r="E970" s="2">
        <v>390000</v>
      </c>
      <c r="F970" t="s">
        <v>19</v>
      </c>
      <c r="G970" t="s">
        <v>20</v>
      </c>
      <c r="H970">
        <v>3</v>
      </c>
      <c r="I970">
        <v>2</v>
      </c>
      <c r="J970">
        <v>1007</v>
      </c>
      <c r="K970" s="5">
        <v>1.350819E-2</v>
      </c>
      <c r="L970" t="s">
        <v>21</v>
      </c>
      <c r="M970" s="4">
        <v>97400</v>
      </c>
      <c r="N970" s="3">
        <v>387.28899999999999</v>
      </c>
      <c r="O970" t="s">
        <v>22</v>
      </c>
      <c r="P970" t="s">
        <v>24</v>
      </c>
      <c r="Q970" t="s">
        <v>24</v>
      </c>
      <c r="R970" t="s">
        <v>48</v>
      </c>
      <c r="S970">
        <v>6</v>
      </c>
    </row>
    <row r="971" spans="1:19" x14ac:dyDescent="0.3">
      <c r="A971" s="1">
        <v>41797</v>
      </c>
      <c r="B971">
        <v>2014</v>
      </c>
      <c r="C971" t="s">
        <v>40</v>
      </c>
      <c r="D971" s="4">
        <v>139630</v>
      </c>
      <c r="E971" s="2">
        <v>40000</v>
      </c>
      <c r="F971" t="s">
        <v>30</v>
      </c>
      <c r="G971" t="s">
        <v>31</v>
      </c>
      <c r="H971">
        <v>4</v>
      </c>
      <c r="I971">
        <v>2</v>
      </c>
      <c r="J971">
        <v>1343</v>
      </c>
      <c r="K971" s="5">
        <v>1.350819E-2</v>
      </c>
      <c r="L971" t="s">
        <v>21</v>
      </c>
      <c r="M971" s="4">
        <v>-99630</v>
      </c>
      <c r="N971" s="3">
        <v>29.784099999999999</v>
      </c>
      <c r="O971" t="s">
        <v>33</v>
      </c>
      <c r="P971" t="s">
        <v>23</v>
      </c>
      <c r="Q971" t="s">
        <v>34</v>
      </c>
      <c r="R971" t="s">
        <v>48</v>
      </c>
      <c r="S971">
        <v>6</v>
      </c>
    </row>
    <row r="972" spans="1:19" x14ac:dyDescent="0.3">
      <c r="A972" s="1">
        <v>41798</v>
      </c>
      <c r="B972">
        <v>2014</v>
      </c>
      <c r="C972" t="s">
        <v>26</v>
      </c>
      <c r="D972" s="4">
        <v>520030</v>
      </c>
      <c r="E972" s="2">
        <v>848000</v>
      </c>
      <c r="F972" t="s">
        <v>19</v>
      </c>
      <c r="G972" t="s">
        <v>20</v>
      </c>
      <c r="H972">
        <v>3</v>
      </c>
      <c r="I972">
        <v>3</v>
      </c>
      <c r="J972">
        <v>961</v>
      </c>
      <c r="K972" s="5">
        <v>1.350819E-2</v>
      </c>
      <c r="L972" t="s">
        <v>38</v>
      </c>
      <c r="M972" s="4">
        <v>327970</v>
      </c>
      <c r="N972" s="3">
        <v>882.41420000000005</v>
      </c>
      <c r="O972" t="s">
        <v>22</v>
      </c>
      <c r="P972" t="s">
        <v>28</v>
      </c>
      <c r="Q972" t="s">
        <v>24</v>
      </c>
      <c r="R972" t="s">
        <v>48</v>
      </c>
      <c r="S972">
        <v>6</v>
      </c>
    </row>
    <row r="973" spans="1:19" x14ac:dyDescent="0.3">
      <c r="A973" s="1">
        <v>41802</v>
      </c>
      <c r="B973">
        <v>2014</v>
      </c>
      <c r="C973" t="s">
        <v>26</v>
      </c>
      <c r="D973" s="4">
        <v>285460</v>
      </c>
      <c r="E973" s="2">
        <v>255000</v>
      </c>
      <c r="F973" t="s">
        <v>19</v>
      </c>
      <c r="G973" t="s">
        <v>20</v>
      </c>
      <c r="H973">
        <v>3</v>
      </c>
      <c r="I973">
        <v>2</v>
      </c>
      <c r="J973">
        <v>1034</v>
      </c>
      <c r="K973" s="5">
        <v>1.350819E-2</v>
      </c>
      <c r="L973" t="s">
        <v>21</v>
      </c>
      <c r="M973" s="4">
        <v>-30460</v>
      </c>
      <c r="N973" s="3">
        <v>246.61510000000001</v>
      </c>
      <c r="O973" t="s">
        <v>33</v>
      </c>
      <c r="P973" t="s">
        <v>24</v>
      </c>
      <c r="Q973" t="s">
        <v>24</v>
      </c>
      <c r="R973" t="s">
        <v>48</v>
      </c>
      <c r="S973">
        <v>6</v>
      </c>
    </row>
    <row r="974" spans="1:19" x14ac:dyDescent="0.3">
      <c r="A974" s="1">
        <v>41803</v>
      </c>
      <c r="B974">
        <v>2014</v>
      </c>
      <c r="C974" t="s">
        <v>26</v>
      </c>
      <c r="D974" s="4">
        <v>341110</v>
      </c>
      <c r="E974" s="2">
        <v>424000</v>
      </c>
      <c r="F974" t="s">
        <v>19</v>
      </c>
      <c r="G974" t="s">
        <v>20</v>
      </c>
      <c r="H974">
        <v>3</v>
      </c>
      <c r="I974">
        <v>2</v>
      </c>
      <c r="J974">
        <v>1111.6589814177564</v>
      </c>
      <c r="K974" s="5">
        <v>1.350819E-2</v>
      </c>
      <c r="L974" t="s">
        <v>21</v>
      </c>
      <c r="M974" s="4">
        <v>82890</v>
      </c>
      <c r="N974" s="3">
        <v>381.4119</v>
      </c>
      <c r="O974" t="s">
        <v>22</v>
      </c>
      <c r="P974" t="s">
        <v>24</v>
      </c>
      <c r="Q974" t="s">
        <v>24</v>
      </c>
      <c r="R974" t="s">
        <v>48</v>
      </c>
      <c r="S974">
        <v>6</v>
      </c>
    </row>
    <row r="975" spans="1:19" x14ac:dyDescent="0.3">
      <c r="A975" s="1">
        <v>41804</v>
      </c>
      <c r="B975">
        <v>2014</v>
      </c>
      <c r="C975" t="s">
        <v>35</v>
      </c>
      <c r="D975" s="4">
        <v>444584.20699999999</v>
      </c>
      <c r="E975" s="2">
        <v>625000</v>
      </c>
      <c r="F975" t="s">
        <v>30</v>
      </c>
      <c r="G975" t="s">
        <v>31</v>
      </c>
      <c r="H975">
        <v>4</v>
      </c>
      <c r="I975">
        <v>4</v>
      </c>
      <c r="J975">
        <v>1231</v>
      </c>
      <c r="K975" s="5">
        <v>1.350819E-2</v>
      </c>
      <c r="L975" t="s">
        <v>38</v>
      </c>
      <c r="M975" s="4">
        <v>180415.79300000001</v>
      </c>
      <c r="N975" s="3">
        <v>507.71730000000002</v>
      </c>
      <c r="O975" t="s">
        <v>22</v>
      </c>
      <c r="P975" t="s">
        <v>28</v>
      </c>
      <c r="Q975" t="s">
        <v>24</v>
      </c>
      <c r="R975" t="s">
        <v>48</v>
      </c>
      <c r="S975">
        <v>6</v>
      </c>
    </row>
    <row r="976" spans="1:19" x14ac:dyDescent="0.3">
      <c r="A976" s="1">
        <v>41805</v>
      </c>
      <c r="B976">
        <v>2014</v>
      </c>
      <c r="C976" t="s">
        <v>56</v>
      </c>
      <c r="D976" s="4">
        <v>444584.20699999999</v>
      </c>
      <c r="E976" s="2">
        <v>230000</v>
      </c>
      <c r="F976" t="s">
        <v>19</v>
      </c>
      <c r="G976" t="s">
        <v>20</v>
      </c>
      <c r="H976">
        <v>3</v>
      </c>
      <c r="I976">
        <v>2</v>
      </c>
      <c r="J976">
        <v>1030</v>
      </c>
      <c r="K976" s="5">
        <v>1.350819E-2</v>
      </c>
      <c r="L976" t="s">
        <v>38</v>
      </c>
      <c r="M976" s="4">
        <v>-214584.20699999999</v>
      </c>
      <c r="N976" s="3">
        <v>223.30099999999999</v>
      </c>
      <c r="O976" t="s">
        <v>33</v>
      </c>
      <c r="P976" t="s">
        <v>24</v>
      </c>
      <c r="Q976" t="s">
        <v>24</v>
      </c>
      <c r="R976" t="s">
        <v>48</v>
      </c>
      <c r="S976">
        <v>6</v>
      </c>
    </row>
    <row r="977" spans="1:19" x14ac:dyDescent="0.3">
      <c r="A977" s="1">
        <v>41809</v>
      </c>
      <c r="B977">
        <v>2014</v>
      </c>
      <c r="C977" t="s">
        <v>18</v>
      </c>
      <c r="D977" s="4">
        <v>129670</v>
      </c>
      <c r="E977" s="2">
        <v>99000</v>
      </c>
      <c r="F977" t="s">
        <v>19</v>
      </c>
      <c r="G977" t="s">
        <v>20</v>
      </c>
      <c r="H977">
        <v>3</v>
      </c>
      <c r="I977">
        <v>1</v>
      </c>
      <c r="J977">
        <v>1092</v>
      </c>
      <c r="K977" s="5">
        <v>1.350819E-2</v>
      </c>
      <c r="L977" t="s">
        <v>27</v>
      </c>
      <c r="M977" s="4">
        <v>-30670</v>
      </c>
      <c r="N977" s="3">
        <v>90.659300000000002</v>
      </c>
      <c r="O977" t="s">
        <v>33</v>
      </c>
      <c r="P977" t="s">
        <v>23</v>
      </c>
      <c r="Q977" t="s">
        <v>24</v>
      </c>
      <c r="R977" t="s">
        <v>48</v>
      </c>
      <c r="S977">
        <v>6</v>
      </c>
    </row>
    <row r="978" spans="1:19" x14ac:dyDescent="0.3">
      <c r="A978" s="1">
        <v>41811</v>
      </c>
      <c r="B978">
        <v>2014</v>
      </c>
      <c r="C978" t="s">
        <v>39</v>
      </c>
      <c r="D978" s="4">
        <v>345170</v>
      </c>
      <c r="E978" s="2">
        <v>415000</v>
      </c>
      <c r="F978" t="s">
        <v>19</v>
      </c>
      <c r="G978" t="s">
        <v>20</v>
      </c>
      <c r="H978">
        <v>3</v>
      </c>
      <c r="I978">
        <v>3</v>
      </c>
      <c r="J978">
        <v>921</v>
      </c>
      <c r="K978" s="5">
        <v>1.350819E-2</v>
      </c>
      <c r="L978" t="s">
        <v>32</v>
      </c>
      <c r="M978" s="4">
        <v>69830</v>
      </c>
      <c r="N978" s="3">
        <v>450.59719999999999</v>
      </c>
      <c r="O978" t="s">
        <v>22</v>
      </c>
      <c r="P978" t="s">
        <v>24</v>
      </c>
      <c r="Q978" t="s">
        <v>24</v>
      </c>
      <c r="R978" t="s">
        <v>48</v>
      </c>
      <c r="S978">
        <v>6</v>
      </c>
    </row>
    <row r="979" spans="1:19" x14ac:dyDescent="0.3">
      <c r="A979" s="1">
        <v>41812</v>
      </c>
      <c r="B979">
        <v>2014</v>
      </c>
      <c r="C979" t="s">
        <v>39</v>
      </c>
      <c r="D979" s="4">
        <v>719670</v>
      </c>
      <c r="E979" s="2">
        <v>440000</v>
      </c>
      <c r="F979" t="s">
        <v>19</v>
      </c>
      <c r="G979" t="s">
        <v>20</v>
      </c>
      <c r="H979">
        <v>3</v>
      </c>
      <c r="I979">
        <v>3</v>
      </c>
      <c r="J979">
        <v>944</v>
      </c>
      <c r="K979" s="5">
        <v>1.350819E-2</v>
      </c>
      <c r="L979" t="s">
        <v>27</v>
      </c>
      <c r="M979" s="4">
        <v>-279670</v>
      </c>
      <c r="N979" s="3">
        <v>466.10169999999999</v>
      </c>
      <c r="O979" t="s">
        <v>33</v>
      </c>
      <c r="P979" t="s">
        <v>24</v>
      </c>
      <c r="Q979" t="s">
        <v>24</v>
      </c>
      <c r="R979" t="s">
        <v>48</v>
      </c>
      <c r="S979">
        <v>6</v>
      </c>
    </row>
    <row r="980" spans="1:19" x14ac:dyDescent="0.3">
      <c r="A980" s="1">
        <v>41815</v>
      </c>
      <c r="B980">
        <v>2014</v>
      </c>
      <c r="C980" t="s">
        <v>26</v>
      </c>
      <c r="D980" s="4">
        <v>206080</v>
      </c>
      <c r="E980" s="2">
        <v>286500</v>
      </c>
      <c r="F980" t="s">
        <v>19</v>
      </c>
      <c r="G980" t="s">
        <v>20</v>
      </c>
      <c r="H980">
        <v>3</v>
      </c>
      <c r="I980">
        <v>2</v>
      </c>
      <c r="J980">
        <v>1032</v>
      </c>
      <c r="K980" s="5">
        <v>1.350819E-2</v>
      </c>
      <c r="L980" t="s">
        <v>27</v>
      </c>
      <c r="M980" s="4">
        <v>80420</v>
      </c>
      <c r="N980" s="3">
        <v>277.61630000000002</v>
      </c>
      <c r="O980" t="s">
        <v>22</v>
      </c>
      <c r="P980" t="s">
        <v>24</v>
      </c>
      <c r="Q980" t="s">
        <v>24</v>
      </c>
      <c r="R980" t="s">
        <v>48</v>
      </c>
      <c r="S980">
        <v>6</v>
      </c>
    </row>
    <row r="981" spans="1:19" x14ac:dyDescent="0.3">
      <c r="A981" s="1">
        <v>41816</v>
      </c>
      <c r="B981">
        <v>2014</v>
      </c>
      <c r="C981" t="s">
        <v>40</v>
      </c>
      <c r="D981" s="4">
        <v>288540</v>
      </c>
      <c r="E981" s="2">
        <v>310000</v>
      </c>
      <c r="F981" t="s">
        <v>19</v>
      </c>
      <c r="G981" t="s">
        <v>20</v>
      </c>
      <c r="H981">
        <v>3</v>
      </c>
      <c r="I981">
        <v>2</v>
      </c>
      <c r="J981">
        <v>977</v>
      </c>
      <c r="K981" s="5">
        <v>1.350819E-2</v>
      </c>
      <c r="L981" t="s">
        <v>38</v>
      </c>
      <c r="M981" s="4">
        <v>21460</v>
      </c>
      <c r="N981" s="3">
        <v>317.29790000000003</v>
      </c>
      <c r="O981" t="s">
        <v>22</v>
      </c>
      <c r="P981" t="s">
        <v>24</v>
      </c>
      <c r="Q981" t="s">
        <v>24</v>
      </c>
      <c r="R981" t="s">
        <v>48</v>
      </c>
      <c r="S981">
        <v>6</v>
      </c>
    </row>
    <row r="982" spans="1:19" x14ac:dyDescent="0.3">
      <c r="A982" s="1">
        <v>41817</v>
      </c>
      <c r="B982">
        <v>2014</v>
      </c>
      <c r="C982" t="s">
        <v>18</v>
      </c>
      <c r="D982" s="4">
        <v>89820</v>
      </c>
      <c r="E982" s="2">
        <v>56500</v>
      </c>
      <c r="F982" t="s">
        <v>19</v>
      </c>
      <c r="G982" t="s">
        <v>20</v>
      </c>
      <c r="H982">
        <v>3</v>
      </c>
      <c r="I982">
        <v>3</v>
      </c>
      <c r="J982">
        <v>912</v>
      </c>
      <c r="K982" s="5">
        <v>1.350819E-2</v>
      </c>
      <c r="L982" t="s">
        <v>32</v>
      </c>
      <c r="M982" s="4">
        <v>-33320</v>
      </c>
      <c r="N982" s="3">
        <v>61.951799999999999</v>
      </c>
      <c r="O982" t="s">
        <v>33</v>
      </c>
      <c r="P982" t="s">
        <v>23</v>
      </c>
      <c r="Q982" t="s">
        <v>24</v>
      </c>
      <c r="R982" t="s">
        <v>48</v>
      </c>
      <c r="S982">
        <v>6</v>
      </c>
    </row>
    <row r="983" spans="1:19" x14ac:dyDescent="0.3">
      <c r="A983" s="1">
        <v>41818</v>
      </c>
      <c r="B983">
        <v>2014</v>
      </c>
      <c r="C983" t="s">
        <v>18</v>
      </c>
      <c r="D983" s="4">
        <v>135560</v>
      </c>
      <c r="E983" s="2">
        <v>34000</v>
      </c>
      <c r="F983" t="s">
        <v>36</v>
      </c>
      <c r="G983" t="s">
        <v>37</v>
      </c>
      <c r="H983">
        <v>6</v>
      </c>
      <c r="I983">
        <v>6</v>
      </c>
      <c r="J983">
        <v>1111.6589814177564</v>
      </c>
      <c r="K983" s="5">
        <v>1.350819E-2</v>
      </c>
      <c r="L983" t="s">
        <v>27</v>
      </c>
      <c r="M983" s="4">
        <v>-101560</v>
      </c>
      <c r="N983" s="3">
        <v>30.584900000000001</v>
      </c>
      <c r="O983" t="s">
        <v>33</v>
      </c>
      <c r="P983" t="s">
        <v>23</v>
      </c>
      <c r="Q983" t="s">
        <v>24</v>
      </c>
      <c r="R983" t="s">
        <v>48</v>
      </c>
      <c r="S983">
        <v>6</v>
      </c>
    </row>
    <row r="984" spans="1:19" x14ac:dyDescent="0.3">
      <c r="A984" s="1">
        <v>41819</v>
      </c>
      <c r="B984">
        <v>2014</v>
      </c>
      <c r="C984" t="s">
        <v>40</v>
      </c>
      <c r="D984" s="4">
        <v>444584.20699999999</v>
      </c>
      <c r="E984" s="2">
        <v>88000</v>
      </c>
      <c r="F984" t="s">
        <v>19</v>
      </c>
      <c r="G984" t="s">
        <v>20</v>
      </c>
      <c r="H984">
        <v>3</v>
      </c>
      <c r="I984">
        <v>1</v>
      </c>
      <c r="J984">
        <v>1018</v>
      </c>
      <c r="K984" s="5">
        <v>1.350819E-2</v>
      </c>
      <c r="L984" t="s">
        <v>38</v>
      </c>
      <c r="M984" s="4">
        <v>-356584.20699999999</v>
      </c>
      <c r="N984" s="3">
        <v>86.444000000000003</v>
      </c>
      <c r="O984" t="s">
        <v>33</v>
      </c>
      <c r="P984" t="s">
        <v>23</v>
      </c>
      <c r="Q984" t="s">
        <v>24</v>
      </c>
      <c r="R984" t="s">
        <v>48</v>
      </c>
      <c r="S984">
        <v>6</v>
      </c>
    </row>
    <row r="985" spans="1:19" x14ac:dyDescent="0.3">
      <c r="A985" s="1">
        <v>41823</v>
      </c>
      <c r="B985">
        <v>2014</v>
      </c>
      <c r="C985" t="s">
        <v>18</v>
      </c>
      <c r="D985" s="4">
        <v>296710</v>
      </c>
      <c r="E985" s="2">
        <v>160000</v>
      </c>
      <c r="F985" t="s">
        <v>19</v>
      </c>
      <c r="G985" t="s">
        <v>20</v>
      </c>
      <c r="H985">
        <v>3</v>
      </c>
      <c r="I985">
        <v>2</v>
      </c>
      <c r="J985">
        <v>933</v>
      </c>
      <c r="K985" s="5">
        <v>1.350819E-2</v>
      </c>
      <c r="L985" t="s">
        <v>27</v>
      </c>
      <c r="M985" s="4">
        <v>-136710</v>
      </c>
      <c r="N985" s="3">
        <v>171.4898</v>
      </c>
      <c r="O985" t="s">
        <v>33</v>
      </c>
      <c r="P985" t="s">
        <v>23</v>
      </c>
      <c r="Q985" t="s">
        <v>24</v>
      </c>
      <c r="R985" t="s">
        <v>49</v>
      </c>
      <c r="S985">
        <v>7</v>
      </c>
    </row>
    <row r="986" spans="1:19" x14ac:dyDescent="0.3">
      <c r="A986" s="1">
        <v>41825</v>
      </c>
      <c r="B986">
        <v>2014</v>
      </c>
      <c r="C986" t="s">
        <v>40</v>
      </c>
      <c r="D986" s="4">
        <v>164890</v>
      </c>
      <c r="E986" s="2">
        <v>75000</v>
      </c>
      <c r="F986" t="s">
        <v>30</v>
      </c>
      <c r="G986" t="s">
        <v>31</v>
      </c>
      <c r="H986">
        <v>4</v>
      </c>
      <c r="I986">
        <v>4</v>
      </c>
      <c r="J986">
        <v>1394</v>
      </c>
      <c r="K986" s="5">
        <v>1.350819E-2</v>
      </c>
      <c r="L986" t="s">
        <v>32</v>
      </c>
      <c r="M986" s="4">
        <v>-89890</v>
      </c>
      <c r="N986" s="3">
        <v>53.802</v>
      </c>
      <c r="O986" t="s">
        <v>33</v>
      </c>
      <c r="P986" t="s">
        <v>23</v>
      </c>
      <c r="Q986" t="s">
        <v>34</v>
      </c>
      <c r="R986" t="s">
        <v>49</v>
      </c>
      <c r="S986">
        <v>7</v>
      </c>
    </row>
    <row r="987" spans="1:19" x14ac:dyDescent="0.3">
      <c r="A987" s="1">
        <v>41826</v>
      </c>
      <c r="B987">
        <v>2014</v>
      </c>
      <c r="C987" t="s">
        <v>18</v>
      </c>
      <c r="D987" s="4">
        <v>356670</v>
      </c>
      <c r="E987" s="2">
        <v>450000</v>
      </c>
      <c r="F987" t="s">
        <v>19</v>
      </c>
      <c r="G987" t="s">
        <v>20</v>
      </c>
      <c r="H987">
        <v>3</v>
      </c>
      <c r="I987">
        <v>3</v>
      </c>
      <c r="J987">
        <v>1061</v>
      </c>
      <c r="K987" s="5">
        <v>1.350819E-2</v>
      </c>
      <c r="L987" t="s">
        <v>27</v>
      </c>
      <c r="M987" s="4">
        <v>93330</v>
      </c>
      <c r="N987" s="3">
        <v>424.12819999999999</v>
      </c>
      <c r="O987" t="s">
        <v>22</v>
      </c>
      <c r="P987" t="s">
        <v>24</v>
      </c>
      <c r="Q987" t="s">
        <v>24</v>
      </c>
      <c r="R987" t="s">
        <v>49</v>
      </c>
      <c r="S987">
        <v>7</v>
      </c>
    </row>
    <row r="988" spans="1:19" x14ac:dyDescent="0.3">
      <c r="A988" s="1">
        <v>41829</v>
      </c>
      <c r="B988">
        <v>2014</v>
      </c>
      <c r="C988" t="s">
        <v>39</v>
      </c>
      <c r="D988" s="4">
        <v>249900</v>
      </c>
      <c r="E988" s="2">
        <v>290000</v>
      </c>
      <c r="F988" t="s">
        <v>19</v>
      </c>
      <c r="G988" t="s">
        <v>20</v>
      </c>
      <c r="H988">
        <v>3</v>
      </c>
      <c r="I988">
        <v>3</v>
      </c>
      <c r="J988">
        <v>991</v>
      </c>
      <c r="K988" s="5">
        <v>1.350819E-2</v>
      </c>
      <c r="L988" t="s">
        <v>21</v>
      </c>
      <c r="M988" s="4">
        <v>40100</v>
      </c>
      <c r="N988" s="3">
        <v>292.63369999999998</v>
      </c>
      <c r="O988" t="s">
        <v>22</v>
      </c>
      <c r="P988" t="s">
        <v>24</v>
      </c>
      <c r="Q988" t="s">
        <v>24</v>
      </c>
      <c r="R988" t="s">
        <v>49</v>
      </c>
      <c r="S988">
        <v>7</v>
      </c>
    </row>
    <row r="989" spans="1:19" x14ac:dyDescent="0.3">
      <c r="A989" s="1">
        <v>41830</v>
      </c>
      <c r="B989">
        <v>2014</v>
      </c>
      <c r="C989" t="s">
        <v>39</v>
      </c>
      <c r="D989" s="4">
        <v>326900</v>
      </c>
      <c r="E989" s="2">
        <v>407500</v>
      </c>
      <c r="F989" t="s">
        <v>19</v>
      </c>
      <c r="G989" t="s">
        <v>20</v>
      </c>
      <c r="H989">
        <v>3</v>
      </c>
      <c r="I989">
        <v>2</v>
      </c>
      <c r="J989">
        <v>1089</v>
      </c>
      <c r="K989" s="5">
        <v>1.350819E-2</v>
      </c>
      <c r="L989" t="s">
        <v>27</v>
      </c>
      <c r="M989" s="4">
        <v>80600</v>
      </c>
      <c r="N989" s="3">
        <v>374.19650000000001</v>
      </c>
      <c r="O989" t="s">
        <v>22</v>
      </c>
      <c r="P989" t="s">
        <v>24</v>
      </c>
      <c r="Q989" t="s">
        <v>24</v>
      </c>
      <c r="R989" t="s">
        <v>49</v>
      </c>
      <c r="S989">
        <v>7</v>
      </c>
    </row>
    <row r="990" spans="1:19" x14ac:dyDescent="0.3">
      <c r="A990" s="1">
        <v>41831</v>
      </c>
      <c r="B990">
        <v>2014</v>
      </c>
      <c r="C990" t="s">
        <v>39</v>
      </c>
      <c r="D990" s="4">
        <v>321020</v>
      </c>
      <c r="E990" s="2">
        <v>390000</v>
      </c>
      <c r="F990" t="s">
        <v>19</v>
      </c>
      <c r="G990" t="s">
        <v>20</v>
      </c>
      <c r="H990">
        <v>3</v>
      </c>
      <c r="I990">
        <v>3</v>
      </c>
      <c r="J990">
        <v>1028</v>
      </c>
      <c r="K990" s="5">
        <v>1.350819E-2</v>
      </c>
      <c r="L990" t="s">
        <v>38</v>
      </c>
      <c r="M990" s="4">
        <v>68980</v>
      </c>
      <c r="N990" s="3">
        <v>379.37740000000002</v>
      </c>
      <c r="O990" t="s">
        <v>22</v>
      </c>
      <c r="P990" t="s">
        <v>24</v>
      </c>
      <c r="Q990" t="s">
        <v>24</v>
      </c>
      <c r="R990" t="s">
        <v>49</v>
      </c>
      <c r="S990">
        <v>7</v>
      </c>
    </row>
    <row r="991" spans="1:19" x14ac:dyDescent="0.3">
      <c r="A991" s="1">
        <v>41832</v>
      </c>
      <c r="B991">
        <v>2014</v>
      </c>
      <c r="C991" t="s">
        <v>40</v>
      </c>
      <c r="D991" s="4">
        <v>275870</v>
      </c>
      <c r="E991" s="2">
        <v>475000</v>
      </c>
      <c r="F991" t="s">
        <v>19</v>
      </c>
      <c r="G991" t="s">
        <v>20</v>
      </c>
      <c r="H991">
        <v>3</v>
      </c>
      <c r="I991">
        <v>3</v>
      </c>
      <c r="J991">
        <v>1066</v>
      </c>
      <c r="K991" s="5">
        <v>1.350819E-2</v>
      </c>
      <c r="L991" t="s">
        <v>21</v>
      </c>
      <c r="M991" s="4">
        <v>199130</v>
      </c>
      <c r="N991" s="3">
        <v>445.59100000000001</v>
      </c>
      <c r="O991" t="s">
        <v>22</v>
      </c>
      <c r="P991" t="s">
        <v>24</v>
      </c>
      <c r="Q991" t="s">
        <v>24</v>
      </c>
      <c r="R991" t="s">
        <v>49</v>
      </c>
      <c r="S991">
        <v>7</v>
      </c>
    </row>
    <row r="992" spans="1:19" x14ac:dyDescent="0.3">
      <c r="A992" s="1">
        <v>41833</v>
      </c>
      <c r="B992">
        <v>2014</v>
      </c>
      <c r="C992" t="s">
        <v>39</v>
      </c>
      <c r="D992" s="4">
        <v>898450</v>
      </c>
      <c r="E992" s="2">
        <v>950000</v>
      </c>
      <c r="F992" t="s">
        <v>19</v>
      </c>
      <c r="G992" t="s">
        <v>20</v>
      </c>
      <c r="H992">
        <v>3</v>
      </c>
      <c r="I992">
        <v>3</v>
      </c>
      <c r="J992">
        <v>1015</v>
      </c>
      <c r="K992" s="5">
        <v>1.350819E-2</v>
      </c>
      <c r="L992" t="s">
        <v>27</v>
      </c>
      <c r="M992" s="4">
        <v>51550</v>
      </c>
      <c r="N992" s="3">
        <v>935.9606</v>
      </c>
      <c r="O992" t="s">
        <v>22</v>
      </c>
      <c r="P992" t="s">
        <v>28</v>
      </c>
      <c r="Q992" t="s">
        <v>24</v>
      </c>
      <c r="R992" t="s">
        <v>49</v>
      </c>
      <c r="S992">
        <v>7</v>
      </c>
    </row>
    <row r="993" spans="1:19" x14ac:dyDescent="0.3">
      <c r="A993" s="1">
        <v>41837</v>
      </c>
      <c r="B993">
        <v>2014</v>
      </c>
      <c r="C993" t="s">
        <v>29</v>
      </c>
      <c r="D993" s="4">
        <v>150440</v>
      </c>
      <c r="E993" s="2">
        <v>200000</v>
      </c>
      <c r="F993" t="s">
        <v>19</v>
      </c>
      <c r="G993" t="s">
        <v>20</v>
      </c>
      <c r="H993">
        <v>3</v>
      </c>
      <c r="I993">
        <v>1</v>
      </c>
      <c r="J993">
        <v>968</v>
      </c>
      <c r="K993" s="5">
        <v>1.350819E-2</v>
      </c>
      <c r="L993" t="s">
        <v>27</v>
      </c>
      <c r="M993" s="4">
        <v>49560</v>
      </c>
      <c r="N993" s="3">
        <v>206.61160000000001</v>
      </c>
      <c r="O993" t="s">
        <v>22</v>
      </c>
      <c r="P993" t="s">
        <v>24</v>
      </c>
      <c r="Q993" t="s">
        <v>24</v>
      </c>
      <c r="R993" t="s">
        <v>49</v>
      </c>
      <c r="S993">
        <v>7</v>
      </c>
    </row>
    <row r="994" spans="1:19" x14ac:dyDescent="0.3">
      <c r="A994" s="1">
        <v>41838</v>
      </c>
      <c r="B994">
        <v>2014</v>
      </c>
      <c r="C994" t="s">
        <v>29</v>
      </c>
      <c r="D994" s="4">
        <v>153870</v>
      </c>
      <c r="E994" s="2">
        <v>165000</v>
      </c>
      <c r="F994" t="s">
        <v>36</v>
      </c>
      <c r="G994" t="s">
        <v>37</v>
      </c>
      <c r="H994">
        <v>6</v>
      </c>
      <c r="I994">
        <v>5</v>
      </c>
      <c r="J994">
        <v>2097</v>
      </c>
      <c r="K994" s="5">
        <v>1.350819E-2</v>
      </c>
      <c r="L994" t="s">
        <v>38</v>
      </c>
      <c r="M994" s="4">
        <v>11130</v>
      </c>
      <c r="N994" s="3">
        <v>78.683800000000005</v>
      </c>
      <c r="O994" t="s">
        <v>22</v>
      </c>
      <c r="P994" t="s">
        <v>23</v>
      </c>
      <c r="Q994" t="s">
        <v>34</v>
      </c>
      <c r="R994" t="s">
        <v>49</v>
      </c>
      <c r="S994">
        <v>7</v>
      </c>
    </row>
    <row r="995" spans="1:19" x14ac:dyDescent="0.3">
      <c r="A995" s="1">
        <v>41839</v>
      </c>
      <c r="B995">
        <v>2014</v>
      </c>
      <c r="C995" t="s">
        <v>40</v>
      </c>
      <c r="D995" s="4">
        <v>92300</v>
      </c>
      <c r="E995" s="2">
        <v>13000</v>
      </c>
      <c r="F995" t="s">
        <v>36</v>
      </c>
      <c r="G995" t="s">
        <v>37</v>
      </c>
      <c r="H995">
        <v>6</v>
      </c>
      <c r="I995">
        <v>4</v>
      </c>
      <c r="J995">
        <v>2075</v>
      </c>
      <c r="K995" s="5">
        <v>1.350819E-2</v>
      </c>
      <c r="L995" t="s">
        <v>32</v>
      </c>
      <c r="M995" s="4">
        <v>-79300</v>
      </c>
      <c r="N995" s="3">
        <v>6.2651000000000003</v>
      </c>
      <c r="O995" t="s">
        <v>33</v>
      </c>
      <c r="P995" t="s">
        <v>23</v>
      </c>
      <c r="Q995" t="s">
        <v>34</v>
      </c>
      <c r="R995" t="s">
        <v>49</v>
      </c>
      <c r="S995">
        <v>7</v>
      </c>
    </row>
    <row r="996" spans="1:19" x14ac:dyDescent="0.3">
      <c r="A996" s="1">
        <v>41840</v>
      </c>
      <c r="B996">
        <v>2014</v>
      </c>
      <c r="C996" t="s">
        <v>26</v>
      </c>
      <c r="D996" s="4">
        <v>531160</v>
      </c>
      <c r="E996" s="2">
        <v>717000</v>
      </c>
      <c r="F996" t="s">
        <v>19</v>
      </c>
      <c r="G996" t="s">
        <v>20</v>
      </c>
      <c r="H996">
        <v>3</v>
      </c>
      <c r="I996">
        <v>1</v>
      </c>
      <c r="J996">
        <v>1111.6589814177564</v>
      </c>
      <c r="K996" s="5">
        <v>1.350819E-2</v>
      </c>
      <c r="L996" t="s">
        <v>32</v>
      </c>
      <c r="M996" s="4">
        <v>185840</v>
      </c>
      <c r="N996" s="3">
        <v>644.98199999999997</v>
      </c>
      <c r="O996" t="s">
        <v>22</v>
      </c>
      <c r="P996" t="s">
        <v>28</v>
      </c>
      <c r="Q996" t="s">
        <v>24</v>
      </c>
      <c r="R996" t="s">
        <v>49</v>
      </c>
      <c r="S996">
        <v>7</v>
      </c>
    </row>
    <row r="997" spans="1:19" x14ac:dyDescent="0.3">
      <c r="A997" s="1">
        <v>41844</v>
      </c>
      <c r="B997">
        <v>2014</v>
      </c>
      <c r="C997" t="s">
        <v>40</v>
      </c>
      <c r="D997" s="4">
        <v>138410</v>
      </c>
      <c r="E997" s="2">
        <v>105000</v>
      </c>
      <c r="F997" t="s">
        <v>19</v>
      </c>
      <c r="G997" t="s">
        <v>20</v>
      </c>
      <c r="H997">
        <v>3</v>
      </c>
      <c r="I997">
        <v>2</v>
      </c>
      <c r="J997">
        <v>1013</v>
      </c>
      <c r="K997" s="5">
        <v>1.350819E-2</v>
      </c>
      <c r="L997" t="s">
        <v>38</v>
      </c>
      <c r="M997" s="4">
        <v>-33410</v>
      </c>
      <c r="N997" s="3">
        <v>103.6525</v>
      </c>
      <c r="O997" t="s">
        <v>33</v>
      </c>
      <c r="P997" t="s">
        <v>23</v>
      </c>
      <c r="Q997" t="s">
        <v>24</v>
      </c>
      <c r="R997" t="s">
        <v>49</v>
      </c>
      <c r="S997">
        <v>7</v>
      </c>
    </row>
    <row r="998" spans="1:19" x14ac:dyDescent="0.3">
      <c r="A998" s="1">
        <v>41845</v>
      </c>
      <c r="B998">
        <v>2014</v>
      </c>
      <c r="C998" t="s">
        <v>18</v>
      </c>
      <c r="D998" s="4">
        <v>116540</v>
      </c>
      <c r="E998" s="2">
        <v>56500</v>
      </c>
      <c r="F998" t="s">
        <v>19</v>
      </c>
      <c r="G998" t="s">
        <v>20</v>
      </c>
      <c r="H998">
        <v>3</v>
      </c>
      <c r="I998">
        <v>1</v>
      </c>
      <c r="J998">
        <v>997</v>
      </c>
      <c r="K998" s="5">
        <v>1.350819E-2</v>
      </c>
      <c r="L998" t="s">
        <v>27</v>
      </c>
      <c r="M998" s="4">
        <v>-60040</v>
      </c>
      <c r="N998" s="3">
        <v>56.67</v>
      </c>
      <c r="O998" t="s">
        <v>33</v>
      </c>
      <c r="P998" t="s">
        <v>23</v>
      </c>
      <c r="Q998" t="s">
        <v>24</v>
      </c>
      <c r="R998" t="s">
        <v>49</v>
      </c>
      <c r="S998">
        <v>7</v>
      </c>
    </row>
    <row r="999" spans="1:19" x14ac:dyDescent="0.3">
      <c r="A999" s="1">
        <v>41847</v>
      </c>
      <c r="B999">
        <v>2014</v>
      </c>
      <c r="C999" t="s">
        <v>35</v>
      </c>
      <c r="D999" s="4">
        <v>1550920</v>
      </c>
      <c r="E999" s="2">
        <v>2600000</v>
      </c>
      <c r="F999" t="s">
        <v>19</v>
      </c>
      <c r="G999" t="s">
        <v>20</v>
      </c>
      <c r="H999">
        <v>3</v>
      </c>
      <c r="I999">
        <v>3</v>
      </c>
      <c r="J999">
        <v>910</v>
      </c>
      <c r="K999" s="5">
        <v>1.350819E-2</v>
      </c>
      <c r="L999" t="s">
        <v>38</v>
      </c>
      <c r="M999" s="4">
        <v>1049080</v>
      </c>
      <c r="N999" s="3">
        <v>2857.1428999999998</v>
      </c>
      <c r="O999" t="s">
        <v>22</v>
      </c>
      <c r="P999" t="s">
        <v>28</v>
      </c>
      <c r="Q999" t="s">
        <v>24</v>
      </c>
      <c r="R999" t="s">
        <v>49</v>
      </c>
      <c r="S999">
        <v>7</v>
      </c>
    </row>
    <row r="1000" spans="1:19" x14ac:dyDescent="0.3">
      <c r="A1000" s="1">
        <v>41851</v>
      </c>
      <c r="B1000">
        <v>2014</v>
      </c>
      <c r="C1000" t="s">
        <v>18</v>
      </c>
      <c r="D1000" s="4">
        <v>135250</v>
      </c>
      <c r="E1000" s="2">
        <v>18100</v>
      </c>
      <c r="F1000" t="s">
        <v>36</v>
      </c>
      <c r="G1000" t="s">
        <v>37</v>
      </c>
      <c r="H1000">
        <v>6</v>
      </c>
      <c r="I1000">
        <v>4</v>
      </c>
      <c r="J1000">
        <v>2094</v>
      </c>
      <c r="K1000" s="5">
        <v>1.350819E-2</v>
      </c>
      <c r="L1000" t="s">
        <v>27</v>
      </c>
      <c r="M1000" s="4">
        <v>-117150</v>
      </c>
      <c r="N1000" s="3">
        <v>8.6437000000000008</v>
      </c>
      <c r="O1000" t="s">
        <v>33</v>
      </c>
      <c r="P1000" t="s">
        <v>23</v>
      </c>
      <c r="Q1000" t="s">
        <v>34</v>
      </c>
      <c r="R1000" t="s">
        <v>49</v>
      </c>
      <c r="S1000">
        <v>7</v>
      </c>
    </row>
    <row r="1001" spans="1:19" x14ac:dyDescent="0.3">
      <c r="A1001" s="1">
        <v>41852</v>
      </c>
      <c r="B1001">
        <v>2014</v>
      </c>
      <c r="C1001" t="s">
        <v>40</v>
      </c>
      <c r="D1001" s="4">
        <v>805980</v>
      </c>
      <c r="E1001" s="2">
        <v>1539960</v>
      </c>
      <c r="F1001" t="s">
        <v>19</v>
      </c>
      <c r="G1001" t="s">
        <v>20</v>
      </c>
      <c r="H1001">
        <v>3</v>
      </c>
      <c r="I1001">
        <v>2</v>
      </c>
      <c r="J1001">
        <v>1004</v>
      </c>
      <c r="K1001" s="5">
        <v>1.350819E-2</v>
      </c>
      <c r="L1001" t="s">
        <v>38</v>
      </c>
      <c r="M1001" s="4">
        <v>733980</v>
      </c>
      <c r="N1001" s="3">
        <v>1533.8246999999999</v>
      </c>
      <c r="O1001" t="s">
        <v>22</v>
      </c>
      <c r="P1001" t="s">
        <v>28</v>
      </c>
      <c r="Q1001" t="s">
        <v>24</v>
      </c>
      <c r="R1001" t="s">
        <v>50</v>
      </c>
      <c r="S1001">
        <v>8</v>
      </c>
    </row>
    <row r="1002" spans="1:19" x14ac:dyDescent="0.3">
      <c r="A1002" s="1">
        <v>41854</v>
      </c>
      <c r="B1002">
        <v>2014</v>
      </c>
      <c r="C1002" t="s">
        <v>56</v>
      </c>
      <c r="D1002" s="4">
        <v>408210</v>
      </c>
      <c r="E1002" s="2">
        <v>492500</v>
      </c>
      <c r="F1002" t="s">
        <v>19</v>
      </c>
      <c r="G1002" t="s">
        <v>20</v>
      </c>
      <c r="H1002">
        <v>3</v>
      </c>
      <c r="I1002">
        <v>2</v>
      </c>
      <c r="J1002">
        <v>910</v>
      </c>
      <c r="K1002" s="5">
        <v>1.350819E-2</v>
      </c>
      <c r="L1002" t="s">
        <v>27</v>
      </c>
      <c r="M1002" s="4">
        <v>84290</v>
      </c>
      <c r="N1002" s="3">
        <v>541.2088</v>
      </c>
      <c r="O1002" t="s">
        <v>22</v>
      </c>
      <c r="P1002" t="s">
        <v>24</v>
      </c>
      <c r="Q1002" t="s">
        <v>24</v>
      </c>
      <c r="R1002" t="s">
        <v>50</v>
      </c>
      <c r="S1002">
        <v>8</v>
      </c>
    </row>
    <row r="1003" spans="1:19" x14ac:dyDescent="0.3">
      <c r="A1003" s="1">
        <v>41861</v>
      </c>
      <c r="B1003">
        <v>2014</v>
      </c>
      <c r="C1003" t="s">
        <v>18</v>
      </c>
      <c r="D1003" s="4">
        <v>158860</v>
      </c>
      <c r="E1003" s="2">
        <v>53550</v>
      </c>
      <c r="F1003" t="s">
        <v>30</v>
      </c>
      <c r="G1003" t="s">
        <v>31</v>
      </c>
      <c r="H1003">
        <v>4</v>
      </c>
      <c r="I1003">
        <v>2</v>
      </c>
      <c r="J1003">
        <v>1111.6589814177564</v>
      </c>
      <c r="K1003" s="5">
        <v>1.350819E-2</v>
      </c>
      <c r="L1003" t="s">
        <v>21</v>
      </c>
      <c r="M1003" s="4">
        <v>-105310</v>
      </c>
      <c r="N1003" s="3">
        <v>48.171199999999999</v>
      </c>
      <c r="O1003" t="s">
        <v>33</v>
      </c>
      <c r="P1003" t="s">
        <v>23</v>
      </c>
      <c r="Q1003" t="s">
        <v>24</v>
      </c>
      <c r="R1003" t="s">
        <v>50</v>
      </c>
      <c r="S1003">
        <v>8</v>
      </c>
    </row>
    <row r="1004" spans="1:19" x14ac:dyDescent="0.3">
      <c r="A1004" s="1">
        <v>41863</v>
      </c>
      <c r="B1004">
        <v>2014</v>
      </c>
      <c r="C1004" t="s">
        <v>18</v>
      </c>
      <c r="D1004" s="4">
        <v>86320</v>
      </c>
      <c r="E1004" s="2">
        <v>28000</v>
      </c>
      <c r="F1004" t="s">
        <v>19</v>
      </c>
      <c r="G1004" t="s">
        <v>20</v>
      </c>
      <c r="H1004">
        <v>3</v>
      </c>
      <c r="I1004">
        <v>3</v>
      </c>
      <c r="J1004">
        <v>1038</v>
      </c>
      <c r="K1004" s="5">
        <v>1.350819E-2</v>
      </c>
      <c r="L1004" t="s">
        <v>38</v>
      </c>
      <c r="M1004" s="4">
        <v>-58320</v>
      </c>
      <c r="N1004" s="3">
        <v>26.975000000000001</v>
      </c>
      <c r="O1004" t="s">
        <v>33</v>
      </c>
      <c r="P1004" t="s">
        <v>23</v>
      </c>
      <c r="Q1004" t="s">
        <v>24</v>
      </c>
      <c r="R1004" t="s">
        <v>50</v>
      </c>
      <c r="S1004">
        <v>8</v>
      </c>
    </row>
    <row r="1005" spans="1:19" x14ac:dyDescent="0.3">
      <c r="A1005" s="1">
        <v>41864</v>
      </c>
      <c r="B1005">
        <v>2014</v>
      </c>
      <c r="C1005" t="s">
        <v>29</v>
      </c>
      <c r="D1005" s="4">
        <v>144410</v>
      </c>
      <c r="E1005" s="2">
        <v>101000</v>
      </c>
      <c r="F1005" t="s">
        <v>19</v>
      </c>
      <c r="G1005" t="s">
        <v>20</v>
      </c>
      <c r="H1005">
        <v>3</v>
      </c>
      <c r="I1005">
        <v>3</v>
      </c>
      <c r="J1005">
        <v>919</v>
      </c>
      <c r="K1005" s="5">
        <v>1.350819E-2</v>
      </c>
      <c r="L1005" t="s">
        <v>32</v>
      </c>
      <c r="M1005" s="4">
        <v>-43410</v>
      </c>
      <c r="N1005" s="3">
        <v>109.9021</v>
      </c>
      <c r="O1005" t="s">
        <v>33</v>
      </c>
      <c r="P1005" t="s">
        <v>23</v>
      </c>
      <c r="Q1005" t="s">
        <v>24</v>
      </c>
      <c r="R1005" t="s">
        <v>50</v>
      </c>
      <c r="S1005">
        <v>8</v>
      </c>
    </row>
    <row r="1006" spans="1:19" x14ac:dyDescent="0.3">
      <c r="A1006" s="1">
        <v>41865</v>
      </c>
      <c r="B1006">
        <v>2014</v>
      </c>
      <c r="C1006" t="s">
        <v>40</v>
      </c>
      <c r="D1006" s="4">
        <v>108390</v>
      </c>
      <c r="E1006" s="2">
        <v>119087</v>
      </c>
      <c r="F1006" t="s">
        <v>36</v>
      </c>
      <c r="G1006" t="s">
        <v>37</v>
      </c>
      <c r="H1006">
        <v>6</v>
      </c>
      <c r="I1006">
        <v>4</v>
      </c>
      <c r="J1006">
        <v>1900</v>
      </c>
      <c r="K1006" s="5">
        <v>1.350819E-2</v>
      </c>
      <c r="L1006" t="s">
        <v>32</v>
      </c>
      <c r="M1006" s="4">
        <v>10697</v>
      </c>
      <c r="N1006" s="3">
        <v>62.677399999999999</v>
      </c>
      <c r="O1006" t="s">
        <v>22</v>
      </c>
      <c r="P1006" t="s">
        <v>23</v>
      </c>
      <c r="Q1006" t="s">
        <v>34</v>
      </c>
      <c r="R1006" t="s">
        <v>50</v>
      </c>
      <c r="S1006">
        <v>8</v>
      </c>
    </row>
    <row r="1007" spans="1:19" x14ac:dyDescent="0.3">
      <c r="A1007" s="1">
        <v>41866</v>
      </c>
      <c r="B1007">
        <v>2014</v>
      </c>
      <c r="C1007" t="s">
        <v>35</v>
      </c>
      <c r="D1007" s="4">
        <v>1011920</v>
      </c>
      <c r="E1007" s="2">
        <v>2225000</v>
      </c>
      <c r="F1007" t="s">
        <v>19</v>
      </c>
      <c r="G1007" t="s">
        <v>20</v>
      </c>
      <c r="H1007">
        <v>3</v>
      </c>
      <c r="I1007">
        <v>2</v>
      </c>
      <c r="J1007">
        <v>1111.6589814177564</v>
      </c>
      <c r="K1007" s="5">
        <v>1.350819E-2</v>
      </c>
      <c r="L1007" t="s">
        <v>21</v>
      </c>
      <c r="M1007" s="4">
        <v>1213080</v>
      </c>
      <c r="N1007" s="3">
        <v>2001.5130999999999</v>
      </c>
      <c r="O1007" t="s">
        <v>22</v>
      </c>
      <c r="P1007" t="s">
        <v>28</v>
      </c>
      <c r="Q1007" t="s">
        <v>24</v>
      </c>
      <c r="R1007" t="s">
        <v>50</v>
      </c>
      <c r="S1007">
        <v>8</v>
      </c>
    </row>
    <row r="1008" spans="1:19" x14ac:dyDescent="0.3">
      <c r="A1008" s="1">
        <v>41867</v>
      </c>
      <c r="B1008">
        <v>2014</v>
      </c>
      <c r="C1008" t="s">
        <v>39</v>
      </c>
      <c r="D1008" s="4">
        <v>746200</v>
      </c>
      <c r="E1008" s="2">
        <v>1120000</v>
      </c>
      <c r="F1008" t="s">
        <v>19</v>
      </c>
      <c r="G1008" t="s">
        <v>20</v>
      </c>
      <c r="H1008">
        <v>3</v>
      </c>
      <c r="I1008">
        <v>1</v>
      </c>
      <c r="J1008">
        <v>1094</v>
      </c>
      <c r="K1008" s="5">
        <v>1.350819E-2</v>
      </c>
      <c r="L1008" t="s">
        <v>38</v>
      </c>
      <c r="M1008" s="4">
        <v>373800</v>
      </c>
      <c r="N1008" s="3">
        <v>1023.766</v>
      </c>
      <c r="O1008" t="s">
        <v>22</v>
      </c>
      <c r="P1008" t="s">
        <v>28</v>
      </c>
      <c r="Q1008" t="s">
        <v>24</v>
      </c>
      <c r="R1008" t="s">
        <v>50</v>
      </c>
      <c r="S1008">
        <v>8</v>
      </c>
    </row>
    <row r="1009" spans="1:19" x14ac:dyDescent="0.3">
      <c r="A1009" s="1">
        <v>41871</v>
      </c>
      <c r="B1009">
        <v>2014</v>
      </c>
      <c r="C1009" t="s">
        <v>18</v>
      </c>
      <c r="D1009" s="4">
        <v>79430</v>
      </c>
      <c r="E1009" s="2">
        <v>23000</v>
      </c>
      <c r="F1009" t="s">
        <v>19</v>
      </c>
      <c r="G1009" t="s">
        <v>20</v>
      </c>
      <c r="H1009">
        <v>3</v>
      </c>
      <c r="I1009">
        <v>1</v>
      </c>
      <c r="J1009">
        <v>903</v>
      </c>
      <c r="K1009" s="5">
        <v>1.350819E-2</v>
      </c>
      <c r="L1009" t="s">
        <v>32</v>
      </c>
      <c r="M1009" s="4">
        <v>-56430</v>
      </c>
      <c r="N1009" s="3">
        <v>25.470700000000001</v>
      </c>
      <c r="O1009" t="s">
        <v>33</v>
      </c>
      <c r="P1009" t="s">
        <v>23</v>
      </c>
      <c r="Q1009" t="s">
        <v>24</v>
      </c>
      <c r="R1009" t="s">
        <v>50</v>
      </c>
      <c r="S1009">
        <v>8</v>
      </c>
    </row>
    <row r="1010" spans="1:19" x14ac:dyDescent="0.3">
      <c r="A1010" s="1">
        <v>41872</v>
      </c>
      <c r="B1010">
        <v>2014</v>
      </c>
      <c r="C1010" t="s">
        <v>26</v>
      </c>
      <c r="D1010" s="4">
        <v>413280</v>
      </c>
      <c r="E1010" s="2">
        <v>662500</v>
      </c>
      <c r="F1010" t="s">
        <v>19</v>
      </c>
      <c r="G1010" t="s">
        <v>20</v>
      </c>
      <c r="H1010">
        <v>3</v>
      </c>
      <c r="I1010">
        <v>2</v>
      </c>
      <c r="J1010">
        <v>1111.6589814177564</v>
      </c>
      <c r="K1010" s="5">
        <v>1.350819E-2</v>
      </c>
      <c r="L1010" t="s">
        <v>38</v>
      </c>
      <c r="M1010" s="4">
        <v>249220</v>
      </c>
      <c r="N1010" s="3">
        <v>595.95609999999999</v>
      </c>
      <c r="O1010" t="s">
        <v>22</v>
      </c>
      <c r="P1010" t="s">
        <v>28</v>
      </c>
      <c r="Q1010" t="s">
        <v>24</v>
      </c>
      <c r="R1010" t="s">
        <v>50</v>
      </c>
      <c r="S1010">
        <v>8</v>
      </c>
    </row>
    <row r="1011" spans="1:19" x14ac:dyDescent="0.3">
      <c r="A1011" s="1">
        <v>41875</v>
      </c>
      <c r="B1011">
        <v>2014</v>
      </c>
      <c r="C1011" t="s">
        <v>35</v>
      </c>
      <c r="D1011" s="4">
        <v>444584.20699999999</v>
      </c>
      <c r="E1011" s="2">
        <v>5599000</v>
      </c>
      <c r="F1011" t="s">
        <v>19</v>
      </c>
      <c r="G1011" t="s">
        <v>20</v>
      </c>
      <c r="H1011">
        <v>3</v>
      </c>
      <c r="I1011">
        <v>2</v>
      </c>
      <c r="J1011">
        <v>1099</v>
      </c>
      <c r="K1011" s="5">
        <v>1.350819E-2</v>
      </c>
      <c r="L1011" t="s">
        <v>38</v>
      </c>
      <c r="M1011" s="4">
        <v>5154415.7929999996</v>
      </c>
      <c r="N1011" s="3">
        <v>5094.6315000000004</v>
      </c>
      <c r="O1011" t="s">
        <v>22</v>
      </c>
      <c r="P1011" t="s">
        <v>28</v>
      </c>
      <c r="Q1011" t="s">
        <v>24</v>
      </c>
      <c r="R1011" t="s">
        <v>50</v>
      </c>
      <c r="S1011">
        <v>8</v>
      </c>
    </row>
    <row r="1012" spans="1:19" x14ac:dyDescent="0.3">
      <c r="A1012" s="1">
        <v>41878</v>
      </c>
      <c r="B1012">
        <v>2014</v>
      </c>
      <c r="C1012" t="s">
        <v>39</v>
      </c>
      <c r="D1012" s="4">
        <v>232890</v>
      </c>
      <c r="E1012" s="2">
        <v>200000</v>
      </c>
      <c r="F1012" t="s">
        <v>19</v>
      </c>
      <c r="G1012" t="s">
        <v>20</v>
      </c>
      <c r="H1012">
        <v>3</v>
      </c>
      <c r="I1012">
        <v>3</v>
      </c>
      <c r="J1012">
        <v>1040</v>
      </c>
      <c r="K1012" s="5">
        <v>1.350819E-2</v>
      </c>
      <c r="L1012" t="s">
        <v>21</v>
      </c>
      <c r="M1012" s="4">
        <v>-32890</v>
      </c>
      <c r="N1012" s="3">
        <v>192.30770000000001</v>
      </c>
      <c r="O1012" t="s">
        <v>33</v>
      </c>
      <c r="P1012" t="s">
        <v>24</v>
      </c>
      <c r="Q1012" t="s">
        <v>24</v>
      </c>
      <c r="R1012" t="s">
        <v>50</v>
      </c>
      <c r="S1012">
        <v>8</v>
      </c>
    </row>
    <row r="1013" spans="1:19" x14ac:dyDescent="0.3">
      <c r="A1013" s="1">
        <v>41879</v>
      </c>
      <c r="B1013">
        <v>2014</v>
      </c>
      <c r="C1013" t="s">
        <v>18</v>
      </c>
      <c r="D1013" s="4">
        <v>136970</v>
      </c>
      <c r="E1013" s="2">
        <v>117000</v>
      </c>
      <c r="F1013" t="s">
        <v>19</v>
      </c>
      <c r="G1013" t="s">
        <v>20</v>
      </c>
      <c r="H1013">
        <v>3</v>
      </c>
      <c r="I1013">
        <v>2</v>
      </c>
      <c r="J1013">
        <v>973</v>
      </c>
      <c r="K1013" s="5">
        <v>1.350819E-2</v>
      </c>
      <c r="L1013" t="s">
        <v>21</v>
      </c>
      <c r="M1013" s="4">
        <v>-19970</v>
      </c>
      <c r="N1013" s="3">
        <v>120.2467</v>
      </c>
      <c r="O1013" t="s">
        <v>33</v>
      </c>
      <c r="P1013" t="s">
        <v>23</v>
      </c>
      <c r="Q1013" t="s">
        <v>24</v>
      </c>
      <c r="R1013" t="s">
        <v>50</v>
      </c>
      <c r="S1013">
        <v>8</v>
      </c>
    </row>
    <row r="1014" spans="1:19" x14ac:dyDescent="0.3">
      <c r="A1014" s="1">
        <v>41880</v>
      </c>
      <c r="B1014">
        <v>2014</v>
      </c>
      <c r="C1014" t="s">
        <v>40</v>
      </c>
      <c r="D1014" s="4">
        <v>340130</v>
      </c>
      <c r="E1014" s="2">
        <v>312371</v>
      </c>
      <c r="F1014" t="s">
        <v>19</v>
      </c>
      <c r="G1014" t="s">
        <v>20</v>
      </c>
      <c r="H1014">
        <v>3</v>
      </c>
      <c r="I1014">
        <v>1</v>
      </c>
      <c r="J1014">
        <v>1027</v>
      </c>
      <c r="K1014" s="5">
        <v>1.350819E-2</v>
      </c>
      <c r="L1014" t="s">
        <v>38</v>
      </c>
      <c r="M1014" s="4">
        <v>-27759</v>
      </c>
      <c r="N1014" s="3">
        <v>304.15870000000001</v>
      </c>
      <c r="O1014" t="s">
        <v>33</v>
      </c>
      <c r="P1014" t="s">
        <v>24</v>
      </c>
      <c r="Q1014" t="s">
        <v>24</v>
      </c>
      <c r="R1014" t="s">
        <v>50</v>
      </c>
      <c r="S1014">
        <v>8</v>
      </c>
    </row>
    <row r="1015" spans="1:19" x14ac:dyDescent="0.3">
      <c r="A1015" s="1">
        <v>41882</v>
      </c>
      <c r="B1015">
        <v>2014</v>
      </c>
      <c r="C1015" t="s">
        <v>35</v>
      </c>
      <c r="D1015" s="4">
        <v>1394750</v>
      </c>
      <c r="E1015" s="2">
        <v>2100000</v>
      </c>
      <c r="F1015" t="s">
        <v>19</v>
      </c>
      <c r="G1015" t="s">
        <v>20</v>
      </c>
      <c r="H1015">
        <v>3</v>
      </c>
      <c r="I1015">
        <v>3</v>
      </c>
      <c r="J1015">
        <v>1043</v>
      </c>
      <c r="K1015" s="5">
        <v>1.350819E-2</v>
      </c>
      <c r="L1015" t="s">
        <v>21</v>
      </c>
      <c r="M1015" s="4">
        <v>705250</v>
      </c>
      <c r="N1015" s="3">
        <v>2013.4228000000001</v>
      </c>
      <c r="O1015" t="s">
        <v>22</v>
      </c>
      <c r="P1015" t="s">
        <v>28</v>
      </c>
      <c r="Q1015" t="s">
        <v>24</v>
      </c>
      <c r="R1015" t="s">
        <v>50</v>
      </c>
      <c r="S1015">
        <v>8</v>
      </c>
    </row>
    <row r="1016" spans="1:19" x14ac:dyDescent="0.3">
      <c r="A1016" s="1">
        <v>41886</v>
      </c>
      <c r="B1016">
        <v>2014</v>
      </c>
      <c r="C1016" t="s">
        <v>39</v>
      </c>
      <c r="D1016" s="4">
        <v>311150</v>
      </c>
      <c r="E1016" s="2">
        <v>618000</v>
      </c>
      <c r="F1016" t="s">
        <v>19</v>
      </c>
      <c r="G1016" t="s">
        <v>20</v>
      </c>
      <c r="H1016">
        <v>3</v>
      </c>
      <c r="I1016">
        <v>3</v>
      </c>
      <c r="J1016">
        <v>1111.6589814177564</v>
      </c>
      <c r="K1016" s="5">
        <v>1.350819E-2</v>
      </c>
      <c r="L1016" t="s">
        <v>38</v>
      </c>
      <c r="M1016" s="4">
        <v>306850</v>
      </c>
      <c r="N1016" s="3">
        <v>555.92589999999996</v>
      </c>
      <c r="O1016" t="s">
        <v>22</v>
      </c>
      <c r="P1016" t="s">
        <v>28</v>
      </c>
      <c r="Q1016" t="s">
        <v>24</v>
      </c>
      <c r="R1016" t="s">
        <v>51</v>
      </c>
      <c r="S1016">
        <v>9</v>
      </c>
    </row>
    <row r="1017" spans="1:19" x14ac:dyDescent="0.3">
      <c r="A1017" s="1">
        <v>41887</v>
      </c>
      <c r="B1017">
        <v>2014</v>
      </c>
      <c r="C1017" t="s">
        <v>39</v>
      </c>
      <c r="D1017" s="4">
        <v>246470</v>
      </c>
      <c r="E1017" s="2">
        <v>270000</v>
      </c>
      <c r="F1017" t="s">
        <v>19</v>
      </c>
      <c r="G1017" t="s">
        <v>20</v>
      </c>
      <c r="H1017">
        <v>3</v>
      </c>
      <c r="I1017">
        <v>1</v>
      </c>
      <c r="J1017">
        <v>981</v>
      </c>
      <c r="K1017" s="5">
        <v>1.350819E-2</v>
      </c>
      <c r="L1017" t="s">
        <v>21</v>
      </c>
      <c r="M1017" s="4">
        <v>23530</v>
      </c>
      <c r="N1017" s="3">
        <v>275.2294</v>
      </c>
      <c r="O1017" t="s">
        <v>22</v>
      </c>
      <c r="P1017" t="s">
        <v>24</v>
      </c>
      <c r="Q1017" t="s">
        <v>24</v>
      </c>
      <c r="R1017" t="s">
        <v>51</v>
      </c>
      <c r="S1017">
        <v>9</v>
      </c>
    </row>
    <row r="1018" spans="1:19" x14ac:dyDescent="0.3">
      <c r="A1018" s="1">
        <v>41889</v>
      </c>
      <c r="B1018">
        <v>2014</v>
      </c>
      <c r="C1018" t="s">
        <v>35</v>
      </c>
      <c r="D1018" s="4">
        <v>444584.20699999999</v>
      </c>
      <c r="E1018" s="2">
        <v>1030500</v>
      </c>
      <c r="F1018" t="s">
        <v>19</v>
      </c>
      <c r="G1018" t="s">
        <v>20</v>
      </c>
      <c r="H1018">
        <v>3</v>
      </c>
      <c r="I1018">
        <v>2</v>
      </c>
      <c r="J1018">
        <v>1111.6589814177564</v>
      </c>
      <c r="K1018" s="5">
        <v>1.350819E-2</v>
      </c>
      <c r="L1018" t="s">
        <v>27</v>
      </c>
      <c r="M1018" s="4">
        <v>585915.79299999995</v>
      </c>
      <c r="N1018" s="3">
        <v>926.99289999999996</v>
      </c>
      <c r="O1018" t="s">
        <v>22</v>
      </c>
      <c r="P1018" t="s">
        <v>28</v>
      </c>
      <c r="Q1018" t="s">
        <v>24</v>
      </c>
      <c r="R1018" t="s">
        <v>51</v>
      </c>
      <c r="S1018">
        <v>9</v>
      </c>
    </row>
    <row r="1019" spans="1:19" x14ac:dyDescent="0.3">
      <c r="A1019" s="1">
        <v>41892</v>
      </c>
      <c r="B1019">
        <v>2014</v>
      </c>
      <c r="C1019" t="s">
        <v>26</v>
      </c>
      <c r="D1019" s="4">
        <v>205240</v>
      </c>
      <c r="E1019" s="2">
        <v>209000</v>
      </c>
      <c r="F1019" t="s">
        <v>19</v>
      </c>
      <c r="G1019" t="s">
        <v>20</v>
      </c>
      <c r="H1019">
        <v>3</v>
      </c>
      <c r="I1019">
        <v>1</v>
      </c>
      <c r="J1019">
        <v>1020</v>
      </c>
      <c r="K1019" s="5">
        <v>1.350819E-2</v>
      </c>
      <c r="L1019" t="s">
        <v>38</v>
      </c>
      <c r="M1019" s="4">
        <v>3760</v>
      </c>
      <c r="N1019" s="3">
        <v>204.90199999999999</v>
      </c>
      <c r="O1019" t="s">
        <v>22</v>
      </c>
      <c r="P1019" t="s">
        <v>24</v>
      </c>
      <c r="Q1019" t="s">
        <v>24</v>
      </c>
      <c r="R1019" t="s">
        <v>51</v>
      </c>
      <c r="S1019">
        <v>9</v>
      </c>
    </row>
    <row r="1020" spans="1:19" x14ac:dyDescent="0.3">
      <c r="A1020" s="1">
        <v>41893</v>
      </c>
      <c r="B1020">
        <v>2014</v>
      </c>
      <c r="C1020" t="s">
        <v>39</v>
      </c>
      <c r="D1020" s="4">
        <v>272720</v>
      </c>
      <c r="E1020" s="2">
        <v>342500</v>
      </c>
      <c r="F1020" t="s">
        <v>19</v>
      </c>
      <c r="G1020" t="s">
        <v>20</v>
      </c>
      <c r="H1020">
        <v>3</v>
      </c>
      <c r="I1020">
        <v>1</v>
      </c>
      <c r="J1020">
        <v>931</v>
      </c>
      <c r="K1020" s="5">
        <v>1.350819E-2</v>
      </c>
      <c r="L1020" t="s">
        <v>38</v>
      </c>
      <c r="M1020" s="4">
        <v>69780</v>
      </c>
      <c r="N1020" s="3">
        <v>367.88400000000001</v>
      </c>
      <c r="O1020" t="s">
        <v>22</v>
      </c>
      <c r="P1020" t="s">
        <v>24</v>
      </c>
      <c r="Q1020" t="s">
        <v>24</v>
      </c>
      <c r="R1020" t="s">
        <v>51</v>
      </c>
      <c r="S1020">
        <v>9</v>
      </c>
    </row>
    <row r="1021" spans="1:19" x14ac:dyDescent="0.3">
      <c r="A1021" s="1">
        <v>41894</v>
      </c>
      <c r="B1021">
        <v>2014</v>
      </c>
      <c r="C1021" t="s">
        <v>40</v>
      </c>
      <c r="D1021" s="4">
        <v>890120</v>
      </c>
      <c r="E1021" s="2">
        <v>1900000</v>
      </c>
      <c r="F1021" t="s">
        <v>19</v>
      </c>
      <c r="G1021" t="s">
        <v>20</v>
      </c>
      <c r="H1021">
        <v>3</v>
      </c>
      <c r="I1021">
        <v>1</v>
      </c>
      <c r="J1021">
        <v>994</v>
      </c>
      <c r="K1021" s="5">
        <v>1.350819E-2</v>
      </c>
      <c r="L1021" t="s">
        <v>32</v>
      </c>
      <c r="M1021" s="4">
        <v>1009880</v>
      </c>
      <c r="N1021" s="3">
        <v>1911.4688000000001</v>
      </c>
      <c r="O1021" t="s">
        <v>22</v>
      </c>
      <c r="P1021" t="s">
        <v>28</v>
      </c>
      <c r="Q1021" t="s">
        <v>24</v>
      </c>
      <c r="R1021" t="s">
        <v>51</v>
      </c>
      <c r="S1021">
        <v>9</v>
      </c>
    </row>
    <row r="1022" spans="1:19" x14ac:dyDescent="0.3">
      <c r="A1022" s="1">
        <v>41895</v>
      </c>
      <c r="B1022">
        <v>2014</v>
      </c>
      <c r="C1022" t="s">
        <v>29</v>
      </c>
      <c r="D1022" s="4">
        <v>176290</v>
      </c>
      <c r="E1022" s="2">
        <v>202000</v>
      </c>
      <c r="F1022" t="s">
        <v>36</v>
      </c>
      <c r="G1022" t="s">
        <v>37</v>
      </c>
      <c r="H1022">
        <v>6</v>
      </c>
      <c r="I1022">
        <v>4</v>
      </c>
      <c r="J1022">
        <v>2093</v>
      </c>
      <c r="K1022" s="5">
        <v>1.350819E-2</v>
      </c>
      <c r="L1022" t="s">
        <v>38</v>
      </c>
      <c r="M1022" s="4">
        <v>25710</v>
      </c>
      <c r="N1022" s="3">
        <v>96.512200000000007</v>
      </c>
      <c r="O1022" t="s">
        <v>22</v>
      </c>
      <c r="P1022" t="s">
        <v>24</v>
      </c>
      <c r="Q1022" t="s">
        <v>34</v>
      </c>
      <c r="R1022" t="s">
        <v>51</v>
      </c>
      <c r="S1022">
        <v>9</v>
      </c>
    </row>
    <row r="1023" spans="1:19" x14ac:dyDescent="0.3">
      <c r="A1023" s="1">
        <v>41896</v>
      </c>
      <c r="B1023">
        <v>2014</v>
      </c>
      <c r="C1023" t="s">
        <v>26</v>
      </c>
      <c r="D1023" s="4">
        <v>327250</v>
      </c>
      <c r="E1023" s="2">
        <v>515000</v>
      </c>
      <c r="F1023" t="s">
        <v>19</v>
      </c>
      <c r="G1023" t="s">
        <v>20</v>
      </c>
      <c r="H1023">
        <v>3</v>
      </c>
      <c r="I1023">
        <v>2</v>
      </c>
      <c r="J1023">
        <v>904</v>
      </c>
      <c r="K1023" s="5">
        <v>1.350819E-2</v>
      </c>
      <c r="L1023" t="s">
        <v>27</v>
      </c>
      <c r="M1023" s="4">
        <v>187750</v>
      </c>
      <c r="N1023" s="3">
        <v>569.69029999999998</v>
      </c>
      <c r="O1023" t="s">
        <v>22</v>
      </c>
      <c r="P1023" t="s">
        <v>24</v>
      </c>
      <c r="Q1023" t="s">
        <v>24</v>
      </c>
      <c r="R1023" t="s">
        <v>51</v>
      </c>
      <c r="S1023">
        <v>9</v>
      </c>
    </row>
    <row r="1024" spans="1:19" x14ac:dyDescent="0.3">
      <c r="A1024" s="1">
        <v>41899</v>
      </c>
      <c r="B1024">
        <v>2014</v>
      </c>
      <c r="C1024" t="s">
        <v>29</v>
      </c>
      <c r="D1024" s="4">
        <v>163160</v>
      </c>
      <c r="E1024" s="2">
        <v>167500</v>
      </c>
      <c r="F1024" t="s">
        <v>30</v>
      </c>
      <c r="G1024" t="s">
        <v>31</v>
      </c>
      <c r="H1024">
        <v>4</v>
      </c>
      <c r="I1024">
        <v>2</v>
      </c>
      <c r="J1024">
        <v>1466</v>
      </c>
      <c r="K1024" s="5">
        <v>1.350819E-2</v>
      </c>
      <c r="L1024" t="s">
        <v>38</v>
      </c>
      <c r="M1024" s="4">
        <v>4340</v>
      </c>
      <c r="N1024" s="3">
        <v>114.2565</v>
      </c>
      <c r="O1024" t="s">
        <v>22</v>
      </c>
      <c r="P1024" t="s">
        <v>23</v>
      </c>
      <c r="Q1024" t="s">
        <v>34</v>
      </c>
      <c r="R1024" t="s">
        <v>51</v>
      </c>
      <c r="S1024">
        <v>9</v>
      </c>
    </row>
    <row r="1025" spans="1:19" x14ac:dyDescent="0.3">
      <c r="A1025" s="1">
        <v>41902</v>
      </c>
      <c r="B1025">
        <v>2014</v>
      </c>
      <c r="C1025" t="s">
        <v>39</v>
      </c>
      <c r="D1025" s="4">
        <v>471590</v>
      </c>
      <c r="E1025" s="2">
        <v>651000</v>
      </c>
      <c r="F1025" t="s">
        <v>19</v>
      </c>
      <c r="G1025" t="s">
        <v>20</v>
      </c>
      <c r="H1025">
        <v>3</v>
      </c>
      <c r="I1025">
        <v>3</v>
      </c>
      <c r="J1025">
        <v>980</v>
      </c>
      <c r="K1025" s="5">
        <v>1.350819E-2</v>
      </c>
      <c r="L1025" t="s">
        <v>32</v>
      </c>
      <c r="M1025" s="4">
        <v>179410</v>
      </c>
      <c r="N1025" s="3">
        <v>664.28570000000002</v>
      </c>
      <c r="O1025" t="s">
        <v>22</v>
      </c>
      <c r="P1025" t="s">
        <v>28</v>
      </c>
      <c r="Q1025" t="s">
        <v>24</v>
      </c>
      <c r="R1025" t="s">
        <v>51</v>
      </c>
      <c r="S1025">
        <v>9</v>
      </c>
    </row>
    <row r="1026" spans="1:19" x14ac:dyDescent="0.3">
      <c r="A1026" s="1">
        <v>41903</v>
      </c>
      <c r="B1026">
        <v>2014</v>
      </c>
      <c r="C1026" t="s">
        <v>18</v>
      </c>
      <c r="D1026" s="4">
        <v>129520</v>
      </c>
      <c r="E1026" s="2">
        <v>53700</v>
      </c>
      <c r="F1026" t="s">
        <v>19</v>
      </c>
      <c r="G1026" t="s">
        <v>20</v>
      </c>
      <c r="H1026">
        <v>3</v>
      </c>
      <c r="I1026">
        <v>2</v>
      </c>
      <c r="J1026">
        <v>1023</v>
      </c>
      <c r="K1026" s="5">
        <v>1.350819E-2</v>
      </c>
      <c r="L1026" t="s">
        <v>32</v>
      </c>
      <c r="M1026" s="4">
        <v>-75820</v>
      </c>
      <c r="N1026" s="3">
        <v>52.492699999999999</v>
      </c>
      <c r="O1026" t="s">
        <v>33</v>
      </c>
      <c r="P1026" t="s">
        <v>23</v>
      </c>
      <c r="Q1026" t="s">
        <v>24</v>
      </c>
      <c r="R1026" t="s">
        <v>51</v>
      </c>
      <c r="S1026">
        <v>9</v>
      </c>
    </row>
    <row r="1027" spans="1:19" x14ac:dyDescent="0.3">
      <c r="A1027" s="1">
        <v>41906</v>
      </c>
      <c r="B1027">
        <v>2014</v>
      </c>
      <c r="C1027" t="s">
        <v>35</v>
      </c>
      <c r="D1027" s="4">
        <v>444584.20699999999</v>
      </c>
      <c r="E1027" s="2">
        <v>395000</v>
      </c>
      <c r="F1027" t="s">
        <v>19</v>
      </c>
      <c r="G1027" t="s">
        <v>20</v>
      </c>
      <c r="H1027">
        <v>3</v>
      </c>
      <c r="I1027">
        <v>2</v>
      </c>
      <c r="J1027">
        <v>956</v>
      </c>
      <c r="K1027" s="5">
        <v>1.350819E-2</v>
      </c>
      <c r="L1027" t="s">
        <v>27</v>
      </c>
      <c r="M1027" s="4">
        <v>-49584.207000000002</v>
      </c>
      <c r="N1027" s="3">
        <v>413.17989999999998</v>
      </c>
      <c r="O1027" t="s">
        <v>33</v>
      </c>
      <c r="P1027" t="s">
        <v>24</v>
      </c>
      <c r="Q1027" t="s">
        <v>24</v>
      </c>
      <c r="R1027" t="s">
        <v>51</v>
      </c>
      <c r="S1027">
        <v>9</v>
      </c>
    </row>
    <row r="1028" spans="1:19" x14ac:dyDescent="0.3">
      <c r="A1028" s="1">
        <v>41907</v>
      </c>
      <c r="B1028">
        <v>2014</v>
      </c>
      <c r="C1028" t="s">
        <v>26</v>
      </c>
      <c r="D1028" s="4">
        <v>666680</v>
      </c>
      <c r="E1028" s="2">
        <v>800000</v>
      </c>
      <c r="F1028" t="s">
        <v>19</v>
      </c>
      <c r="G1028" t="s">
        <v>20</v>
      </c>
      <c r="H1028">
        <v>3</v>
      </c>
      <c r="I1028">
        <v>2</v>
      </c>
      <c r="J1028">
        <v>1082</v>
      </c>
      <c r="K1028" s="5">
        <v>1.350819E-2</v>
      </c>
      <c r="L1028" t="s">
        <v>38</v>
      </c>
      <c r="M1028" s="4">
        <v>133320</v>
      </c>
      <c r="N1028" s="3">
        <v>739.37149999999997</v>
      </c>
      <c r="O1028" t="s">
        <v>22</v>
      </c>
      <c r="P1028" t="s">
        <v>28</v>
      </c>
      <c r="Q1028" t="s">
        <v>24</v>
      </c>
      <c r="R1028" t="s">
        <v>51</v>
      </c>
      <c r="S1028">
        <v>9</v>
      </c>
    </row>
    <row r="1029" spans="1:19" x14ac:dyDescent="0.3">
      <c r="A1029" s="1">
        <v>41909</v>
      </c>
      <c r="B1029">
        <v>2014</v>
      </c>
      <c r="C1029" t="s">
        <v>39</v>
      </c>
      <c r="D1029" s="4">
        <v>756490</v>
      </c>
      <c r="E1029" s="2">
        <v>925000</v>
      </c>
      <c r="F1029" t="s">
        <v>19</v>
      </c>
      <c r="G1029" t="s">
        <v>20</v>
      </c>
      <c r="H1029">
        <v>3</v>
      </c>
      <c r="I1029">
        <v>2</v>
      </c>
      <c r="J1029">
        <v>955</v>
      </c>
      <c r="K1029" s="5">
        <v>1.350819E-2</v>
      </c>
      <c r="L1029" t="s">
        <v>21</v>
      </c>
      <c r="M1029" s="4">
        <v>168510</v>
      </c>
      <c r="N1029" s="3">
        <v>968.58640000000003</v>
      </c>
      <c r="O1029" t="s">
        <v>22</v>
      </c>
      <c r="P1029" t="s">
        <v>28</v>
      </c>
      <c r="Q1029" t="s">
        <v>24</v>
      </c>
      <c r="R1029" t="s">
        <v>51</v>
      </c>
      <c r="S1029">
        <v>9</v>
      </c>
    </row>
    <row r="1030" spans="1:19" x14ac:dyDescent="0.3">
      <c r="A1030" s="1">
        <v>41910</v>
      </c>
      <c r="B1030">
        <v>2014</v>
      </c>
      <c r="C1030" t="s">
        <v>26</v>
      </c>
      <c r="D1030" s="4">
        <v>326270</v>
      </c>
      <c r="E1030" s="2">
        <v>340000</v>
      </c>
      <c r="F1030" t="s">
        <v>19</v>
      </c>
      <c r="G1030" t="s">
        <v>20</v>
      </c>
      <c r="H1030">
        <v>3</v>
      </c>
      <c r="I1030">
        <v>3</v>
      </c>
      <c r="J1030">
        <v>965</v>
      </c>
      <c r="K1030" s="5">
        <v>1.350819E-2</v>
      </c>
      <c r="L1030" t="s">
        <v>21</v>
      </c>
      <c r="M1030" s="4">
        <v>13730</v>
      </c>
      <c r="N1030" s="3">
        <v>352.33159999999998</v>
      </c>
      <c r="O1030" t="s">
        <v>22</v>
      </c>
      <c r="P1030" t="s">
        <v>24</v>
      </c>
      <c r="Q1030" t="s">
        <v>24</v>
      </c>
      <c r="R1030" t="s">
        <v>51</v>
      </c>
      <c r="S1030">
        <v>9</v>
      </c>
    </row>
    <row r="1031" spans="1:19" x14ac:dyDescent="0.3">
      <c r="A1031" s="1">
        <v>41913</v>
      </c>
      <c r="B1031">
        <v>2014</v>
      </c>
      <c r="C1031" t="s">
        <v>35</v>
      </c>
      <c r="D1031" s="4">
        <v>4170530</v>
      </c>
      <c r="E1031" s="2">
        <v>6100000</v>
      </c>
      <c r="F1031" t="s">
        <v>19</v>
      </c>
      <c r="G1031" t="s">
        <v>20</v>
      </c>
      <c r="H1031">
        <v>3</v>
      </c>
      <c r="I1031">
        <v>1</v>
      </c>
      <c r="J1031">
        <v>923</v>
      </c>
      <c r="K1031" s="5">
        <v>1.350819E-2</v>
      </c>
      <c r="L1031" t="s">
        <v>27</v>
      </c>
      <c r="M1031" s="4">
        <v>1929470</v>
      </c>
      <c r="N1031" s="3">
        <v>6608.8841000000002</v>
      </c>
      <c r="O1031" t="s">
        <v>22</v>
      </c>
      <c r="P1031" t="s">
        <v>28</v>
      </c>
      <c r="Q1031" t="s">
        <v>24</v>
      </c>
      <c r="R1031" t="s">
        <v>53</v>
      </c>
      <c r="S1031">
        <v>10</v>
      </c>
    </row>
    <row r="1032" spans="1:19" x14ac:dyDescent="0.3">
      <c r="A1032" s="1">
        <v>41914</v>
      </c>
      <c r="B1032">
        <v>2014</v>
      </c>
      <c r="C1032" t="s">
        <v>29</v>
      </c>
      <c r="D1032" s="4">
        <v>180190</v>
      </c>
      <c r="E1032" s="2">
        <v>115000</v>
      </c>
      <c r="F1032" t="s">
        <v>36</v>
      </c>
      <c r="G1032" t="s">
        <v>37</v>
      </c>
      <c r="H1032">
        <v>6</v>
      </c>
      <c r="I1032">
        <v>6</v>
      </c>
      <c r="J1032">
        <v>2057</v>
      </c>
      <c r="K1032" s="5">
        <v>1.350819E-2</v>
      </c>
      <c r="L1032" t="s">
        <v>38</v>
      </c>
      <c r="M1032" s="4">
        <v>-65190</v>
      </c>
      <c r="N1032" s="3">
        <v>55.906700000000001</v>
      </c>
      <c r="O1032" t="s">
        <v>33</v>
      </c>
      <c r="P1032" t="s">
        <v>23</v>
      </c>
      <c r="Q1032" t="s">
        <v>34</v>
      </c>
      <c r="R1032" t="s">
        <v>53</v>
      </c>
      <c r="S1032">
        <v>10</v>
      </c>
    </row>
    <row r="1033" spans="1:19" x14ac:dyDescent="0.3">
      <c r="A1033" s="1">
        <v>41915</v>
      </c>
      <c r="B1033">
        <v>2014</v>
      </c>
      <c r="C1033" t="s">
        <v>29</v>
      </c>
      <c r="D1033" s="4">
        <v>156170</v>
      </c>
      <c r="E1033" s="2">
        <v>145000</v>
      </c>
      <c r="F1033" t="s">
        <v>36</v>
      </c>
      <c r="G1033" t="s">
        <v>37</v>
      </c>
      <c r="H1033">
        <v>6</v>
      </c>
      <c r="I1033">
        <v>5</v>
      </c>
      <c r="J1033">
        <v>1916</v>
      </c>
      <c r="K1033" s="5">
        <v>1.350819E-2</v>
      </c>
      <c r="L1033" t="s">
        <v>38</v>
      </c>
      <c r="M1033" s="4">
        <v>-11170</v>
      </c>
      <c r="N1033" s="3">
        <v>75.6785</v>
      </c>
      <c r="O1033" t="s">
        <v>33</v>
      </c>
      <c r="P1033" t="s">
        <v>23</v>
      </c>
      <c r="Q1033" t="s">
        <v>34</v>
      </c>
      <c r="R1033" t="s">
        <v>53</v>
      </c>
      <c r="S1033">
        <v>10</v>
      </c>
    </row>
    <row r="1034" spans="1:19" x14ac:dyDescent="0.3">
      <c r="A1034" s="1">
        <v>41916</v>
      </c>
      <c r="B1034">
        <v>2014</v>
      </c>
      <c r="C1034" t="s">
        <v>26</v>
      </c>
      <c r="D1034" s="4">
        <v>362180</v>
      </c>
      <c r="E1034" s="2">
        <v>453000</v>
      </c>
      <c r="F1034" t="s">
        <v>19</v>
      </c>
      <c r="G1034" t="s">
        <v>20</v>
      </c>
      <c r="H1034">
        <v>3</v>
      </c>
      <c r="I1034">
        <v>2</v>
      </c>
      <c r="J1034">
        <v>988</v>
      </c>
      <c r="K1034" s="5">
        <v>1.350819E-2</v>
      </c>
      <c r="L1034" t="s">
        <v>38</v>
      </c>
      <c r="M1034" s="4">
        <v>90820</v>
      </c>
      <c r="N1034" s="3">
        <v>458.50200000000001</v>
      </c>
      <c r="O1034" t="s">
        <v>22</v>
      </c>
      <c r="P1034" t="s">
        <v>24</v>
      </c>
      <c r="Q1034" t="s">
        <v>24</v>
      </c>
      <c r="R1034" t="s">
        <v>53</v>
      </c>
      <c r="S1034">
        <v>10</v>
      </c>
    </row>
    <row r="1035" spans="1:19" x14ac:dyDescent="0.3">
      <c r="A1035" s="1">
        <v>41917</v>
      </c>
      <c r="B1035">
        <v>2014</v>
      </c>
      <c r="C1035" t="s">
        <v>39</v>
      </c>
      <c r="D1035" s="4">
        <v>226940</v>
      </c>
      <c r="E1035" s="2">
        <v>235000</v>
      </c>
      <c r="F1035" t="s">
        <v>19</v>
      </c>
      <c r="G1035" t="s">
        <v>20</v>
      </c>
      <c r="H1035">
        <v>3</v>
      </c>
      <c r="I1035">
        <v>2</v>
      </c>
      <c r="J1035">
        <v>1111.6589814177564</v>
      </c>
      <c r="K1035" s="5">
        <v>1.350819E-2</v>
      </c>
      <c r="L1035" t="s">
        <v>32</v>
      </c>
      <c r="M1035" s="4">
        <v>8060</v>
      </c>
      <c r="N1035" s="3">
        <v>211.39580000000001</v>
      </c>
      <c r="O1035" t="s">
        <v>22</v>
      </c>
      <c r="P1035" t="s">
        <v>24</v>
      </c>
      <c r="Q1035" t="s">
        <v>24</v>
      </c>
      <c r="R1035" t="s">
        <v>53</v>
      </c>
      <c r="S1035">
        <v>10</v>
      </c>
    </row>
    <row r="1036" spans="1:19" x14ac:dyDescent="0.3">
      <c r="A1036" s="1">
        <v>41921</v>
      </c>
      <c r="B1036">
        <v>2014</v>
      </c>
      <c r="C1036" t="s">
        <v>40</v>
      </c>
      <c r="D1036" s="4">
        <v>248220</v>
      </c>
      <c r="E1036" s="2">
        <v>410000</v>
      </c>
      <c r="F1036" t="s">
        <v>19</v>
      </c>
      <c r="G1036" t="s">
        <v>20</v>
      </c>
      <c r="H1036">
        <v>3</v>
      </c>
      <c r="I1036">
        <v>2</v>
      </c>
      <c r="J1036">
        <v>998</v>
      </c>
      <c r="K1036" s="5">
        <v>1.350819E-2</v>
      </c>
      <c r="L1036" t="s">
        <v>27</v>
      </c>
      <c r="M1036" s="4">
        <v>161780</v>
      </c>
      <c r="N1036" s="3">
        <v>410.82159999999999</v>
      </c>
      <c r="O1036" t="s">
        <v>22</v>
      </c>
      <c r="P1036" t="s">
        <v>24</v>
      </c>
      <c r="Q1036" t="s">
        <v>24</v>
      </c>
      <c r="R1036" t="s">
        <v>53</v>
      </c>
      <c r="S1036">
        <v>10</v>
      </c>
    </row>
    <row r="1037" spans="1:19" x14ac:dyDescent="0.3">
      <c r="A1037" s="1">
        <v>41931</v>
      </c>
      <c r="B1037">
        <v>2014</v>
      </c>
      <c r="C1037" t="s">
        <v>26</v>
      </c>
      <c r="D1037" s="4">
        <v>229600</v>
      </c>
      <c r="E1037" s="2">
        <v>235000</v>
      </c>
      <c r="F1037" t="s">
        <v>19</v>
      </c>
      <c r="G1037" t="s">
        <v>20</v>
      </c>
      <c r="H1037">
        <v>3</v>
      </c>
      <c r="I1037">
        <v>1</v>
      </c>
      <c r="J1037">
        <v>900</v>
      </c>
      <c r="K1037" s="5">
        <v>1.350819E-2</v>
      </c>
      <c r="L1037" t="s">
        <v>32</v>
      </c>
      <c r="M1037" s="4">
        <v>5400</v>
      </c>
      <c r="N1037" s="3">
        <v>261.11110000000002</v>
      </c>
      <c r="O1037" t="s">
        <v>22</v>
      </c>
      <c r="P1037" t="s">
        <v>24</v>
      </c>
      <c r="Q1037" t="s">
        <v>24</v>
      </c>
      <c r="R1037" t="s">
        <v>53</v>
      </c>
      <c r="S1037">
        <v>10</v>
      </c>
    </row>
    <row r="1038" spans="1:19" x14ac:dyDescent="0.3">
      <c r="A1038" s="1">
        <v>41934</v>
      </c>
      <c r="B1038">
        <v>2014</v>
      </c>
      <c r="C1038" t="s">
        <v>40</v>
      </c>
      <c r="D1038" s="4">
        <v>208460</v>
      </c>
      <c r="E1038" s="2">
        <v>356000</v>
      </c>
      <c r="F1038" t="s">
        <v>19</v>
      </c>
      <c r="G1038" t="s">
        <v>20</v>
      </c>
      <c r="H1038">
        <v>3</v>
      </c>
      <c r="I1038">
        <v>2</v>
      </c>
      <c r="J1038">
        <v>961</v>
      </c>
      <c r="K1038" s="5">
        <v>1.350819E-2</v>
      </c>
      <c r="L1038" t="s">
        <v>21</v>
      </c>
      <c r="M1038" s="4">
        <v>147540</v>
      </c>
      <c r="N1038" s="3">
        <v>370.44749999999999</v>
      </c>
      <c r="O1038" t="s">
        <v>22</v>
      </c>
      <c r="P1038" t="s">
        <v>24</v>
      </c>
      <c r="Q1038" t="s">
        <v>24</v>
      </c>
      <c r="R1038" t="s">
        <v>53</v>
      </c>
      <c r="S1038">
        <v>10</v>
      </c>
    </row>
    <row r="1039" spans="1:19" x14ac:dyDescent="0.3">
      <c r="A1039" s="1">
        <v>41935</v>
      </c>
      <c r="B1039">
        <v>2014</v>
      </c>
      <c r="C1039" t="s">
        <v>26</v>
      </c>
      <c r="D1039" s="4">
        <v>328090</v>
      </c>
      <c r="E1039" s="2">
        <v>360000</v>
      </c>
      <c r="F1039" t="s">
        <v>19</v>
      </c>
      <c r="G1039" t="s">
        <v>20</v>
      </c>
      <c r="H1039">
        <v>3</v>
      </c>
      <c r="I1039">
        <v>3</v>
      </c>
      <c r="J1039">
        <v>971</v>
      </c>
      <c r="K1039" s="5">
        <v>1.350819E-2</v>
      </c>
      <c r="L1039" t="s">
        <v>27</v>
      </c>
      <c r="M1039" s="4">
        <v>31910</v>
      </c>
      <c r="N1039" s="3">
        <v>370.7518</v>
      </c>
      <c r="O1039" t="s">
        <v>22</v>
      </c>
      <c r="P1039" t="s">
        <v>24</v>
      </c>
      <c r="Q1039" t="s">
        <v>24</v>
      </c>
      <c r="R1039" t="s">
        <v>53</v>
      </c>
      <c r="S1039">
        <v>10</v>
      </c>
    </row>
    <row r="1040" spans="1:19" x14ac:dyDescent="0.3">
      <c r="A1040" s="1">
        <v>41938</v>
      </c>
      <c r="B1040">
        <v>2014</v>
      </c>
      <c r="C1040" t="s">
        <v>26</v>
      </c>
      <c r="D1040" s="4">
        <v>355320</v>
      </c>
      <c r="E1040" s="2">
        <v>325000</v>
      </c>
      <c r="F1040" t="s">
        <v>19</v>
      </c>
      <c r="G1040" t="s">
        <v>20</v>
      </c>
      <c r="H1040">
        <v>3</v>
      </c>
      <c r="I1040">
        <v>3</v>
      </c>
      <c r="J1040">
        <v>1083</v>
      </c>
      <c r="K1040" s="5">
        <v>1.350819E-2</v>
      </c>
      <c r="L1040" t="s">
        <v>38</v>
      </c>
      <c r="M1040" s="4">
        <v>-30320</v>
      </c>
      <c r="N1040" s="3">
        <v>300.09230000000002</v>
      </c>
      <c r="O1040" t="s">
        <v>33</v>
      </c>
      <c r="P1040" t="s">
        <v>24</v>
      </c>
      <c r="Q1040" t="s">
        <v>24</v>
      </c>
      <c r="R1040" t="s">
        <v>53</v>
      </c>
      <c r="S1040">
        <v>10</v>
      </c>
    </row>
    <row r="1041" spans="1:19" x14ac:dyDescent="0.3">
      <c r="A1041" s="1">
        <v>41942</v>
      </c>
      <c r="B1041">
        <v>2014</v>
      </c>
      <c r="C1041" t="s">
        <v>52</v>
      </c>
      <c r="D1041" s="4">
        <v>213500</v>
      </c>
      <c r="E1041" s="2">
        <v>290000</v>
      </c>
      <c r="F1041" t="s">
        <v>19</v>
      </c>
      <c r="G1041" t="s">
        <v>20</v>
      </c>
      <c r="H1041">
        <v>3</v>
      </c>
      <c r="I1041">
        <v>3</v>
      </c>
      <c r="J1041">
        <v>1004</v>
      </c>
      <c r="K1041" s="5">
        <v>1.350819E-2</v>
      </c>
      <c r="L1041" t="s">
        <v>21</v>
      </c>
      <c r="M1041" s="4">
        <v>76500</v>
      </c>
      <c r="N1041" s="3">
        <v>288.84460000000001</v>
      </c>
      <c r="O1041" t="s">
        <v>22</v>
      </c>
      <c r="P1041" t="s">
        <v>24</v>
      </c>
      <c r="Q1041" t="s">
        <v>24</v>
      </c>
      <c r="R1041" t="s">
        <v>53</v>
      </c>
      <c r="S1041">
        <v>10</v>
      </c>
    </row>
    <row r="1042" spans="1:19" x14ac:dyDescent="0.3">
      <c r="A1042" s="1">
        <v>41943</v>
      </c>
      <c r="B1042">
        <v>2014</v>
      </c>
      <c r="C1042" t="s">
        <v>40</v>
      </c>
      <c r="D1042" s="4">
        <v>444584.20699999999</v>
      </c>
      <c r="E1042" s="2">
        <v>349900</v>
      </c>
      <c r="F1042" t="s">
        <v>19</v>
      </c>
      <c r="G1042" t="s">
        <v>20</v>
      </c>
      <c r="H1042">
        <v>3</v>
      </c>
      <c r="I1042">
        <v>2</v>
      </c>
      <c r="J1042">
        <v>1025</v>
      </c>
      <c r="K1042" s="5">
        <v>1.350819E-2</v>
      </c>
      <c r="L1042" t="s">
        <v>32</v>
      </c>
      <c r="M1042" s="4">
        <v>-94684.206999999995</v>
      </c>
      <c r="N1042" s="3">
        <v>341.36590000000001</v>
      </c>
      <c r="O1042" t="s">
        <v>33</v>
      </c>
      <c r="P1042" t="s">
        <v>24</v>
      </c>
      <c r="Q1042" t="s">
        <v>24</v>
      </c>
      <c r="R1042" t="s">
        <v>53</v>
      </c>
      <c r="S1042">
        <v>10</v>
      </c>
    </row>
    <row r="1043" spans="1:19" x14ac:dyDescent="0.3">
      <c r="A1043" s="1">
        <v>41944</v>
      </c>
      <c r="B1043">
        <v>2014</v>
      </c>
      <c r="C1043" t="s">
        <v>29</v>
      </c>
      <c r="D1043" s="4">
        <v>286710</v>
      </c>
      <c r="E1043" s="2">
        <v>347500</v>
      </c>
      <c r="F1043" t="s">
        <v>36</v>
      </c>
      <c r="G1043" t="s">
        <v>37</v>
      </c>
      <c r="H1043">
        <v>6</v>
      </c>
      <c r="I1043">
        <v>5</v>
      </c>
      <c r="J1043">
        <v>1984</v>
      </c>
      <c r="K1043" s="5">
        <v>1.350819E-2</v>
      </c>
      <c r="L1043" t="s">
        <v>32</v>
      </c>
      <c r="M1043" s="4">
        <v>60790</v>
      </c>
      <c r="N1043" s="3">
        <v>175.15119999999999</v>
      </c>
      <c r="O1043" t="s">
        <v>22</v>
      </c>
      <c r="P1043" t="s">
        <v>24</v>
      </c>
      <c r="Q1043" t="s">
        <v>34</v>
      </c>
      <c r="R1043" t="s">
        <v>54</v>
      </c>
      <c r="S1043">
        <v>11</v>
      </c>
    </row>
    <row r="1044" spans="1:19" x14ac:dyDescent="0.3">
      <c r="A1044" s="1">
        <v>41945</v>
      </c>
      <c r="B1044">
        <v>2014</v>
      </c>
      <c r="C1044" t="s">
        <v>26</v>
      </c>
      <c r="D1044" s="4">
        <v>280490</v>
      </c>
      <c r="E1044" s="2">
        <v>323000</v>
      </c>
      <c r="F1044" t="s">
        <v>19</v>
      </c>
      <c r="G1044" t="s">
        <v>20</v>
      </c>
      <c r="H1044">
        <v>3</v>
      </c>
      <c r="I1044">
        <v>2</v>
      </c>
      <c r="J1044">
        <v>1048</v>
      </c>
      <c r="K1044" s="5">
        <v>1.350819E-2</v>
      </c>
      <c r="L1044" t="s">
        <v>32</v>
      </c>
      <c r="M1044" s="4">
        <v>42510</v>
      </c>
      <c r="N1044" s="3">
        <v>308.20609999999999</v>
      </c>
      <c r="O1044" t="s">
        <v>22</v>
      </c>
      <c r="P1044" t="s">
        <v>24</v>
      </c>
      <c r="Q1044" t="s">
        <v>24</v>
      </c>
      <c r="R1044" t="s">
        <v>54</v>
      </c>
      <c r="S1044">
        <v>11</v>
      </c>
    </row>
    <row r="1045" spans="1:19" x14ac:dyDescent="0.3">
      <c r="A1045" s="1">
        <v>41949</v>
      </c>
      <c r="B1045">
        <v>2014</v>
      </c>
      <c r="C1045" t="s">
        <v>26</v>
      </c>
      <c r="D1045" s="4">
        <v>243670</v>
      </c>
      <c r="E1045" s="2">
        <v>313330</v>
      </c>
      <c r="F1045" t="s">
        <v>19</v>
      </c>
      <c r="G1045" t="s">
        <v>20</v>
      </c>
      <c r="H1045">
        <v>3</v>
      </c>
      <c r="I1045">
        <v>2</v>
      </c>
      <c r="J1045">
        <v>1032</v>
      </c>
      <c r="K1045" s="5">
        <v>1.350819E-2</v>
      </c>
      <c r="L1045" t="s">
        <v>38</v>
      </c>
      <c r="M1045" s="4">
        <v>69660</v>
      </c>
      <c r="N1045" s="3">
        <v>303.61430000000001</v>
      </c>
      <c r="O1045" t="s">
        <v>22</v>
      </c>
      <c r="P1045" t="s">
        <v>24</v>
      </c>
      <c r="Q1045" t="s">
        <v>24</v>
      </c>
      <c r="R1045" t="s">
        <v>54</v>
      </c>
      <c r="S1045">
        <v>11</v>
      </c>
    </row>
    <row r="1046" spans="1:19" x14ac:dyDescent="0.3">
      <c r="A1046" s="1">
        <v>41950</v>
      </c>
      <c r="B1046">
        <v>2014</v>
      </c>
      <c r="C1046" t="s">
        <v>52</v>
      </c>
      <c r="D1046" s="4">
        <v>163030</v>
      </c>
      <c r="E1046" s="2">
        <v>245000</v>
      </c>
      <c r="F1046" t="s">
        <v>19</v>
      </c>
      <c r="G1046" t="s">
        <v>20</v>
      </c>
      <c r="H1046">
        <v>3</v>
      </c>
      <c r="I1046">
        <v>2</v>
      </c>
      <c r="J1046">
        <v>1055</v>
      </c>
      <c r="K1046" s="5">
        <v>1.350819E-2</v>
      </c>
      <c r="L1046" t="s">
        <v>32</v>
      </c>
      <c r="M1046" s="4">
        <v>81970</v>
      </c>
      <c r="N1046" s="3">
        <v>232.22749999999999</v>
      </c>
      <c r="O1046" t="s">
        <v>22</v>
      </c>
      <c r="P1046" t="s">
        <v>24</v>
      </c>
      <c r="Q1046" t="s">
        <v>24</v>
      </c>
      <c r="R1046" t="s">
        <v>54</v>
      </c>
      <c r="S1046">
        <v>11</v>
      </c>
    </row>
    <row r="1047" spans="1:19" x14ac:dyDescent="0.3">
      <c r="A1047" s="1">
        <v>41952</v>
      </c>
      <c r="B1047">
        <v>2014</v>
      </c>
      <c r="C1047" t="s">
        <v>40</v>
      </c>
      <c r="D1047" s="4">
        <v>444584.20699999999</v>
      </c>
      <c r="E1047" s="2">
        <v>550000</v>
      </c>
      <c r="F1047" t="s">
        <v>19</v>
      </c>
      <c r="G1047" t="s">
        <v>20</v>
      </c>
      <c r="H1047">
        <v>3</v>
      </c>
      <c r="I1047">
        <v>1</v>
      </c>
      <c r="J1047">
        <v>951</v>
      </c>
      <c r="K1047" s="5">
        <v>1.350819E-2</v>
      </c>
      <c r="L1047" t="s">
        <v>21</v>
      </c>
      <c r="M1047" s="4">
        <v>105415.79300000001</v>
      </c>
      <c r="N1047" s="3">
        <v>578.33860000000004</v>
      </c>
      <c r="O1047" t="s">
        <v>22</v>
      </c>
      <c r="P1047" t="s">
        <v>24</v>
      </c>
      <c r="Q1047" t="s">
        <v>24</v>
      </c>
      <c r="R1047" t="s">
        <v>54</v>
      </c>
      <c r="S1047">
        <v>11</v>
      </c>
    </row>
    <row r="1048" spans="1:19" x14ac:dyDescent="0.3">
      <c r="A1048" s="1">
        <v>41956</v>
      </c>
      <c r="B1048">
        <v>2014</v>
      </c>
      <c r="C1048" t="s">
        <v>52</v>
      </c>
      <c r="D1048" s="4">
        <v>243880</v>
      </c>
      <c r="E1048" s="2">
        <v>410000</v>
      </c>
      <c r="F1048" t="s">
        <v>19</v>
      </c>
      <c r="G1048" t="s">
        <v>20</v>
      </c>
      <c r="H1048">
        <v>3</v>
      </c>
      <c r="I1048">
        <v>1</v>
      </c>
      <c r="J1048">
        <v>905</v>
      </c>
      <c r="K1048" s="5">
        <v>1.350819E-2</v>
      </c>
      <c r="L1048" t="s">
        <v>27</v>
      </c>
      <c r="M1048" s="4">
        <v>166120</v>
      </c>
      <c r="N1048" s="3">
        <v>453.03870000000001</v>
      </c>
      <c r="O1048" t="s">
        <v>22</v>
      </c>
      <c r="P1048" t="s">
        <v>24</v>
      </c>
      <c r="Q1048" t="s">
        <v>24</v>
      </c>
      <c r="R1048" t="s">
        <v>54</v>
      </c>
      <c r="S1048">
        <v>11</v>
      </c>
    </row>
    <row r="1049" spans="1:19" x14ac:dyDescent="0.3">
      <c r="A1049" s="1">
        <v>41957</v>
      </c>
      <c r="B1049">
        <v>2014</v>
      </c>
      <c r="C1049" t="s">
        <v>52</v>
      </c>
      <c r="D1049" s="4">
        <v>444584.20699999999</v>
      </c>
      <c r="E1049" s="2">
        <v>435000</v>
      </c>
      <c r="F1049" t="s">
        <v>19</v>
      </c>
      <c r="G1049" t="s">
        <v>20</v>
      </c>
      <c r="H1049">
        <v>3</v>
      </c>
      <c r="I1049">
        <v>3</v>
      </c>
      <c r="J1049">
        <v>1045</v>
      </c>
      <c r="K1049" s="5">
        <v>1.350819E-2</v>
      </c>
      <c r="L1049" t="s">
        <v>21</v>
      </c>
      <c r="M1049" s="4">
        <v>-9584.2070000000003</v>
      </c>
      <c r="N1049" s="3">
        <v>416.2679</v>
      </c>
      <c r="O1049" t="s">
        <v>33</v>
      </c>
      <c r="P1049" t="s">
        <v>24</v>
      </c>
      <c r="Q1049" t="s">
        <v>24</v>
      </c>
      <c r="R1049" t="s">
        <v>54</v>
      </c>
      <c r="S1049">
        <v>11</v>
      </c>
    </row>
    <row r="1050" spans="1:19" x14ac:dyDescent="0.3">
      <c r="A1050" s="1">
        <v>41958</v>
      </c>
      <c r="B1050">
        <v>2014</v>
      </c>
      <c r="C1050" t="s">
        <v>29</v>
      </c>
      <c r="D1050" s="4">
        <v>121320</v>
      </c>
      <c r="E1050" s="2">
        <v>88500</v>
      </c>
      <c r="F1050" t="s">
        <v>19</v>
      </c>
      <c r="G1050" t="s">
        <v>20</v>
      </c>
      <c r="H1050">
        <v>3</v>
      </c>
      <c r="I1050">
        <v>1</v>
      </c>
      <c r="J1050">
        <v>951</v>
      </c>
      <c r="K1050" s="5">
        <v>1.350819E-2</v>
      </c>
      <c r="L1050" t="s">
        <v>32</v>
      </c>
      <c r="M1050" s="4">
        <v>-32820</v>
      </c>
      <c r="N1050" s="3">
        <v>93.059899999999999</v>
      </c>
      <c r="O1050" t="s">
        <v>33</v>
      </c>
      <c r="P1050" t="s">
        <v>23</v>
      </c>
      <c r="Q1050" t="s">
        <v>24</v>
      </c>
      <c r="R1050" t="s">
        <v>54</v>
      </c>
      <c r="S1050">
        <v>11</v>
      </c>
    </row>
    <row r="1051" spans="1:19" x14ac:dyDescent="0.3">
      <c r="A1051" s="1">
        <v>41959</v>
      </c>
      <c r="B1051">
        <v>2014</v>
      </c>
      <c r="C1051" t="s">
        <v>40</v>
      </c>
      <c r="D1051" s="4">
        <v>315840</v>
      </c>
      <c r="E1051" s="2">
        <v>358000</v>
      </c>
      <c r="F1051" t="s">
        <v>19</v>
      </c>
      <c r="G1051" t="s">
        <v>20</v>
      </c>
      <c r="H1051">
        <v>3</v>
      </c>
      <c r="I1051">
        <v>1</v>
      </c>
      <c r="J1051">
        <v>923</v>
      </c>
      <c r="K1051" s="5">
        <v>1.350819E-2</v>
      </c>
      <c r="L1051" t="s">
        <v>38</v>
      </c>
      <c r="M1051" s="4">
        <v>42160</v>
      </c>
      <c r="N1051" s="3">
        <v>387.8657</v>
      </c>
      <c r="O1051" t="s">
        <v>22</v>
      </c>
      <c r="P1051" t="s">
        <v>24</v>
      </c>
      <c r="Q1051" t="s">
        <v>24</v>
      </c>
      <c r="R1051" t="s">
        <v>54</v>
      </c>
      <c r="S1051">
        <v>11</v>
      </c>
    </row>
    <row r="1052" spans="1:19" x14ac:dyDescent="0.3">
      <c r="A1052" s="1">
        <v>41962</v>
      </c>
      <c r="B1052">
        <v>2014</v>
      </c>
      <c r="C1052" t="s">
        <v>40</v>
      </c>
      <c r="D1052" s="4">
        <v>444584.20699999999</v>
      </c>
      <c r="E1052" s="2">
        <v>176000</v>
      </c>
      <c r="F1052" t="s">
        <v>19</v>
      </c>
      <c r="G1052" t="s">
        <v>20</v>
      </c>
      <c r="H1052">
        <v>3</v>
      </c>
      <c r="I1052">
        <v>2</v>
      </c>
      <c r="J1052">
        <v>907</v>
      </c>
      <c r="K1052" s="5">
        <v>1.350819E-2</v>
      </c>
      <c r="L1052" t="s">
        <v>38</v>
      </c>
      <c r="M1052" s="4">
        <v>-268584.20699999999</v>
      </c>
      <c r="N1052" s="3">
        <v>194.0463</v>
      </c>
      <c r="O1052" t="s">
        <v>33</v>
      </c>
      <c r="P1052" t="s">
        <v>23</v>
      </c>
      <c r="Q1052" t="s">
        <v>24</v>
      </c>
      <c r="R1052" t="s">
        <v>54</v>
      </c>
      <c r="S1052">
        <v>11</v>
      </c>
    </row>
    <row r="1053" spans="1:19" x14ac:dyDescent="0.3">
      <c r="A1053" s="1">
        <v>41963</v>
      </c>
      <c r="B1053">
        <v>2014</v>
      </c>
      <c r="C1053" t="s">
        <v>39</v>
      </c>
      <c r="D1053" s="4">
        <v>427630</v>
      </c>
      <c r="E1053" s="2">
        <v>705000</v>
      </c>
      <c r="F1053" t="s">
        <v>19</v>
      </c>
      <c r="G1053" t="s">
        <v>20</v>
      </c>
      <c r="H1053">
        <v>3</v>
      </c>
      <c r="I1053">
        <v>1</v>
      </c>
      <c r="J1053">
        <v>1032</v>
      </c>
      <c r="K1053" s="5">
        <v>1.350819E-2</v>
      </c>
      <c r="L1053" t="s">
        <v>21</v>
      </c>
      <c r="M1053" s="4">
        <v>277370</v>
      </c>
      <c r="N1053" s="3">
        <v>683.1395</v>
      </c>
      <c r="O1053" t="s">
        <v>22</v>
      </c>
      <c r="P1053" t="s">
        <v>28</v>
      </c>
      <c r="Q1053" t="s">
        <v>24</v>
      </c>
      <c r="R1053" t="s">
        <v>54</v>
      </c>
      <c r="S1053">
        <v>11</v>
      </c>
    </row>
    <row r="1054" spans="1:19" x14ac:dyDescent="0.3">
      <c r="A1054" s="1">
        <v>41964</v>
      </c>
      <c r="B1054">
        <v>2014</v>
      </c>
      <c r="C1054" t="s">
        <v>40</v>
      </c>
      <c r="D1054" s="4">
        <v>139650</v>
      </c>
      <c r="E1054" s="2">
        <v>208000</v>
      </c>
      <c r="F1054" t="s">
        <v>19</v>
      </c>
      <c r="G1054" t="s">
        <v>20</v>
      </c>
      <c r="H1054">
        <v>3</v>
      </c>
      <c r="I1054">
        <v>1</v>
      </c>
      <c r="J1054">
        <v>1008</v>
      </c>
      <c r="K1054" s="5">
        <v>1.350819E-2</v>
      </c>
      <c r="L1054" t="s">
        <v>27</v>
      </c>
      <c r="M1054" s="4">
        <v>68350</v>
      </c>
      <c r="N1054" s="3">
        <v>206.3492</v>
      </c>
      <c r="O1054" t="s">
        <v>22</v>
      </c>
      <c r="P1054" t="s">
        <v>24</v>
      </c>
      <c r="Q1054" t="s">
        <v>24</v>
      </c>
      <c r="R1054" t="s">
        <v>54</v>
      </c>
      <c r="S1054">
        <v>11</v>
      </c>
    </row>
    <row r="1055" spans="1:19" x14ac:dyDescent="0.3">
      <c r="A1055" s="1">
        <v>41969</v>
      </c>
      <c r="B1055">
        <v>2014</v>
      </c>
      <c r="C1055" t="s">
        <v>29</v>
      </c>
      <c r="D1055" s="4">
        <v>169270</v>
      </c>
      <c r="E1055" s="2">
        <v>115000</v>
      </c>
      <c r="F1055" t="s">
        <v>19</v>
      </c>
      <c r="G1055" t="s">
        <v>20</v>
      </c>
      <c r="H1055">
        <v>3</v>
      </c>
      <c r="I1055">
        <v>1</v>
      </c>
      <c r="J1055">
        <v>983</v>
      </c>
      <c r="K1055" s="5">
        <v>1.350819E-2</v>
      </c>
      <c r="L1055" t="s">
        <v>27</v>
      </c>
      <c r="M1055" s="4">
        <v>-54270</v>
      </c>
      <c r="N1055" s="3">
        <v>116.9888</v>
      </c>
      <c r="O1055" t="s">
        <v>33</v>
      </c>
      <c r="P1055" t="s">
        <v>23</v>
      </c>
      <c r="Q1055" t="s">
        <v>24</v>
      </c>
      <c r="R1055" t="s">
        <v>54</v>
      </c>
      <c r="S1055">
        <v>11</v>
      </c>
    </row>
    <row r="1056" spans="1:19" x14ac:dyDescent="0.3">
      <c r="A1056" s="1">
        <v>41970</v>
      </c>
      <c r="B1056">
        <v>2014</v>
      </c>
      <c r="C1056" t="s">
        <v>39</v>
      </c>
      <c r="D1056" s="4">
        <v>194320</v>
      </c>
      <c r="E1056" s="2">
        <v>266000</v>
      </c>
      <c r="F1056" t="s">
        <v>19</v>
      </c>
      <c r="G1056" t="s">
        <v>20</v>
      </c>
      <c r="H1056">
        <v>3</v>
      </c>
      <c r="I1056">
        <v>2</v>
      </c>
      <c r="J1056">
        <v>1111.6589814177564</v>
      </c>
      <c r="K1056" s="5">
        <v>1.350819E-2</v>
      </c>
      <c r="L1056" t="s">
        <v>27</v>
      </c>
      <c r="M1056" s="4">
        <v>71680</v>
      </c>
      <c r="N1056" s="3">
        <v>239.28200000000001</v>
      </c>
      <c r="O1056" t="s">
        <v>22</v>
      </c>
      <c r="P1056" t="s">
        <v>24</v>
      </c>
      <c r="Q1056" t="s">
        <v>24</v>
      </c>
      <c r="R1056" t="s">
        <v>54</v>
      </c>
      <c r="S1056">
        <v>11</v>
      </c>
    </row>
    <row r="1057" spans="1:19" x14ac:dyDescent="0.3">
      <c r="A1057" s="1">
        <v>41971</v>
      </c>
      <c r="B1057">
        <v>2014</v>
      </c>
      <c r="C1057" t="s">
        <v>52</v>
      </c>
      <c r="D1057" s="4">
        <v>266210</v>
      </c>
      <c r="E1057" s="2">
        <v>420000</v>
      </c>
      <c r="F1057" t="s">
        <v>19</v>
      </c>
      <c r="G1057" t="s">
        <v>20</v>
      </c>
      <c r="H1057">
        <v>3</v>
      </c>
      <c r="I1057">
        <v>3</v>
      </c>
      <c r="J1057">
        <v>1022</v>
      </c>
      <c r="K1057" s="5">
        <v>1.350819E-2</v>
      </c>
      <c r="L1057" t="s">
        <v>38</v>
      </c>
      <c r="M1057" s="4">
        <v>153790</v>
      </c>
      <c r="N1057" s="3">
        <v>410.95890000000003</v>
      </c>
      <c r="O1057" t="s">
        <v>22</v>
      </c>
      <c r="P1057" t="s">
        <v>24</v>
      </c>
      <c r="Q1057" t="s">
        <v>24</v>
      </c>
      <c r="R1057" t="s">
        <v>54</v>
      </c>
      <c r="S1057">
        <v>11</v>
      </c>
    </row>
    <row r="1058" spans="1:19" x14ac:dyDescent="0.3">
      <c r="A1058" s="1">
        <v>41972</v>
      </c>
      <c r="B1058">
        <v>2014</v>
      </c>
      <c r="C1058" t="s">
        <v>29</v>
      </c>
      <c r="D1058" s="4">
        <v>444584.20699999999</v>
      </c>
      <c r="E1058" s="2">
        <v>171000</v>
      </c>
      <c r="F1058" t="s">
        <v>19</v>
      </c>
      <c r="G1058" t="s">
        <v>20</v>
      </c>
      <c r="H1058">
        <v>3</v>
      </c>
      <c r="I1058">
        <v>2</v>
      </c>
      <c r="J1058">
        <v>908</v>
      </c>
      <c r="K1058" s="5">
        <v>1.350819E-2</v>
      </c>
      <c r="L1058" t="s">
        <v>38</v>
      </c>
      <c r="M1058" s="4">
        <v>-273584.20699999999</v>
      </c>
      <c r="N1058" s="3">
        <v>188.32599999999999</v>
      </c>
      <c r="O1058" t="s">
        <v>33</v>
      </c>
      <c r="P1058" t="s">
        <v>23</v>
      </c>
      <c r="Q1058" t="s">
        <v>24</v>
      </c>
      <c r="R1058" t="s">
        <v>54</v>
      </c>
      <c r="S1058">
        <v>11</v>
      </c>
    </row>
    <row r="1059" spans="1:19" x14ac:dyDescent="0.3">
      <c r="A1059" s="1">
        <v>41973</v>
      </c>
      <c r="B1059">
        <v>2014</v>
      </c>
      <c r="C1059" t="s">
        <v>39</v>
      </c>
      <c r="D1059" s="4">
        <v>264530</v>
      </c>
      <c r="E1059" s="2">
        <v>185000</v>
      </c>
      <c r="F1059" t="s">
        <v>19</v>
      </c>
      <c r="G1059" t="s">
        <v>20</v>
      </c>
      <c r="H1059">
        <v>3</v>
      </c>
      <c r="I1059">
        <v>1</v>
      </c>
      <c r="J1059">
        <v>1045</v>
      </c>
      <c r="K1059" s="5">
        <v>1.350819E-2</v>
      </c>
      <c r="L1059" t="s">
        <v>21</v>
      </c>
      <c r="M1059" s="4">
        <v>-79530</v>
      </c>
      <c r="N1059" s="3">
        <v>177.0335</v>
      </c>
      <c r="O1059" t="s">
        <v>33</v>
      </c>
      <c r="P1059" t="s">
        <v>23</v>
      </c>
      <c r="Q1059" t="s">
        <v>24</v>
      </c>
      <c r="R1059" t="s">
        <v>54</v>
      </c>
      <c r="S1059">
        <v>11</v>
      </c>
    </row>
    <row r="1060" spans="1:19" x14ac:dyDescent="0.3">
      <c r="A1060" s="1">
        <v>41977</v>
      </c>
      <c r="B1060">
        <v>2014</v>
      </c>
      <c r="C1060" t="s">
        <v>52</v>
      </c>
      <c r="D1060" s="4">
        <v>245700</v>
      </c>
      <c r="E1060" s="2">
        <v>410000</v>
      </c>
      <c r="F1060" t="s">
        <v>19</v>
      </c>
      <c r="G1060" t="s">
        <v>20</v>
      </c>
      <c r="H1060">
        <v>3</v>
      </c>
      <c r="I1060">
        <v>2</v>
      </c>
      <c r="J1060">
        <v>1058</v>
      </c>
      <c r="K1060" s="5">
        <v>1.350819E-2</v>
      </c>
      <c r="L1060" t="s">
        <v>38</v>
      </c>
      <c r="M1060" s="4">
        <v>164300</v>
      </c>
      <c r="N1060" s="3">
        <v>387.52359999999999</v>
      </c>
      <c r="O1060" t="s">
        <v>22</v>
      </c>
      <c r="P1060" t="s">
        <v>24</v>
      </c>
      <c r="Q1060" t="s">
        <v>24</v>
      </c>
      <c r="R1060" t="s">
        <v>55</v>
      </c>
      <c r="S1060">
        <v>12</v>
      </c>
    </row>
    <row r="1061" spans="1:19" x14ac:dyDescent="0.3">
      <c r="A1061" s="1">
        <v>41979</v>
      </c>
      <c r="B1061">
        <v>2014</v>
      </c>
      <c r="C1061" t="s">
        <v>29</v>
      </c>
      <c r="D1061" s="4">
        <v>155450</v>
      </c>
      <c r="E1061" s="2">
        <v>180000</v>
      </c>
      <c r="F1061" t="s">
        <v>36</v>
      </c>
      <c r="G1061" t="s">
        <v>37</v>
      </c>
      <c r="H1061">
        <v>6</v>
      </c>
      <c r="I1061">
        <v>4</v>
      </c>
      <c r="J1061">
        <v>2180</v>
      </c>
      <c r="K1061" s="5">
        <v>1.350819E-2</v>
      </c>
      <c r="L1061" t="s">
        <v>38</v>
      </c>
      <c r="M1061" s="4">
        <v>24550</v>
      </c>
      <c r="N1061" s="3">
        <v>82.568799999999996</v>
      </c>
      <c r="O1061" t="s">
        <v>22</v>
      </c>
      <c r="P1061" t="s">
        <v>23</v>
      </c>
      <c r="Q1061" t="s">
        <v>34</v>
      </c>
      <c r="R1061" t="s">
        <v>55</v>
      </c>
      <c r="S1061">
        <v>12</v>
      </c>
    </row>
    <row r="1062" spans="1:19" x14ac:dyDescent="0.3">
      <c r="A1062" s="1">
        <v>41980</v>
      </c>
      <c r="B1062">
        <v>2014</v>
      </c>
      <c r="C1062" t="s">
        <v>35</v>
      </c>
      <c r="D1062" s="4">
        <v>3384430</v>
      </c>
      <c r="E1062" s="2">
        <v>5650000</v>
      </c>
      <c r="F1062" t="s">
        <v>19</v>
      </c>
      <c r="G1062" t="s">
        <v>20</v>
      </c>
      <c r="H1062">
        <v>3</v>
      </c>
      <c r="I1062">
        <v>2</v>
      </c>
      <c r="J1062">
        <v>1046</v>
      </c>
      <c r="K1062" s="5">
        <v>1.350819E-2</v>
      </c>
      <c r="L1062" t="s">
        <v>21</v>
      </c>
      <c r="M1062" s="4">
        <v>2265570</v>
      </c>
      <c r="N1062" s="3">
        <v>5401.5295999999998</v>
      </c>
      <c r="O1062" t="s">
        <v>22</v>
      </c>
      <c r="P1062" t="s">
        <v>28</v>
      </c>
      <c r="Q1062" t="s">
        <v>24</v>
      </c>
      <c r="R1062" t="s">
        <v>55</v>
      </c>
      <c r="S1062">
        <v>12</v>
      </c>
    </row>
    <row r="1063" spans="1:19" x14ac:dyDescent="0.3">
      <c r="A1063" s="1">
        <v>41983</v>
      </c>
      <c r="B1063">
        <v>2014</v>
      </c>
      <c r="C1063" t="s">
        <v>35</v>
      </c>
      <c r="D1063" s="4">
        <v>804930</v>
      </c>
      <c r="E1063" s="2">
        <v>1435000</v>
      </c>
      <c r="F1063" t="s">
        <v>19</v>
      </c>
      <c r="G1063" t="s">
        <v>20</v>
      </c>
      <c r="H1063">
        <v>3</v>
      </c>
      <c r="I1063">
        <v>2</v>
      </c>
      <c r="J1063">
        <v>1097</v>
      </c>
      <c r="K1063" s="5">
        <v>1.350819E-2</v>
      </c>
      <c r="L1063" t="s">
        <v>27</v>
      </c>
      <c r="M1063" s="4">
        <v>630070</v>
      </c>
      <c r="N1063" s="3">
        <v>1308.1130000000001</v>
      </c>
      <c r="O1063" t="s">
        <v>22</v>
      </c>
      <c r="P1063" t="s">
        <v>28</v>
      </c>
      <c r="Q1063" t="s">
        <v>24</v>
      </c>
      <c r="R1063" t="s">
        <v>55</v>
      </c>
      <c r="S1063">
        <v>12</v>
      </c>
    </row>
    <row r="1064" spans="1:19" x14ac:dyDescent="0.3">
      <c r="A1064" s="1">
        <v>41984</v>
      </c>
      <c r="B1064">
        <v>2014</v>
      </c>
      <c r="C1064" t="s">
        <v>39</v>
      </c>
      <c r="D1064" s="4">
        <v>444584.20699999999</v>
      </c>
      <c r="E1064" s="2">
        <v>776000</v>
      </c>
      <c r="F1064" t="s">
        <v>19</v>
      </c>
      <c r="G1064" t="s">
        <v>20</v>
      </c>
      <c r="H1064">
        <v>3</v>
      </c>
      <c r="I1064">
        <v>1</v>
      </c>
      <c r="J1064">
        <v>1027</v>
      </c>
      <c r="K1064" s="5">
        <v>1.350819E-2</v>
      </c>
      <c r="L1064" t="s">
        <v>32</v>
      </c>
      <c r="M1064" s="4">
        <v>331415.79300000001</v>
      </c>
      <c r="N1064" s="3">
        <v>755.59879999999998</v>
      </c>
      <c r="O1064" t="s">
        <v>22</v>
      </c>
      <c r="P1064" t="s">
        <v>28</v>
      </c>
      <c r="Q1064" t="s">
        <v>24</v>
      </c>
      <c r="R1064" t="s">
        <v>55</v>
      </c>
      <c r="S1064">
        <v>12</v>
      </c>
    </row>
    <row r="1065" spans="1:19" x14ac:dyDescent="0.3">
      <c r="A1065" s="1">
        <v>41987</v>
      </c>
      <c r="B1065">
        <v>2014</v>
      </c>
      <c r="C1065" t="s">
        <v>35</v>
      </c>
      <c r="D1065" s="4">
        <v>313950</v>
      </c>
      <c r="E1065" s="2">
        <v>498750</v>
      </c>
      <c r="F1065" t="s">
        <v>30</v>
      </c>
      <c r="G1065" t="s">
        <v>31</v>
      </c>
      <c r="H1065">
        <v>4</v>
      </c>
      <c r="I1065">
        <v>4</v>
      </c>
      <c r="J1065">
        <v>1327</v>
      </c>
      <c r="K1065" s="5">
        <v>1.350819E-2</v>
      </c>
      <c r="L1065" t="s">
        <v>27</v>
      </c>
      <c r="M1065" s="4">
        <v>184800</v>
      </c>
      <c r="N1065" s="3">
        <v>375.84780000000001</v>
      </c>
      <c r="O1065" t="s">
        <v>22</v>
      </c>
      <c r="P1065" t="s">
        <v>24</v>
      </c>
      <c r="Q1065" t="s">
        <v>34</v>
      </c>
      <c r="R1065" t="s">
        <v>55</v>
      </c>
      <c r="S1065">
        <v>12</v>
      </c>
    </row>
    <row r="1066" spans="1:19" x14ac:dyDescent="0.3">
      <c r="A1066" s="1">
        <v>41989</v>
      </c>
      <c r="B1066">
        <v>2014</v>
      </c>
      <c r="C1066" t="s">
        <v>40</v>
      </c>
      <c r="D1066" s="4">
        <v>176120</v>
      </c>
      <c r="E1066" s="2">
        <v>290000</v>
      </c>
      <c r="F1066" t="s">
        <v>19</v>
      </c>
      <c r="G1066" t="s">
        <v>20</v>
      </c>
      <c r="H1066">
        <v>3</v>
      </c>
      <c r="I1066">
        <v>1</v>
      </c>
      <c r="J1066">
        <v>935</v>
      </c>
      <c r="K1066" s="5">
        <v>1.350819E-2</v>
      </c>
      <c r="L1066" t="s">
        <v>27</v>
      </c>
      <c r="M1066" s="4">
        <v>113880</v>
      </c>
      <c r="N1066" s="3">
        <v>310.16039999999998</v>
      </c>
      <c r="O1066" t="s">
        <v>22</v>
      </c>
      <c r="P1066" t="s">
        <v>24</v>
      </c>
      <c r="Q1066" t="s">
        <v>24</v>
      </c>
      <c r="R1066" t="s">
        <v>55</v>
      </c>
      <c r="S1066">
        <v>12</v>
      </c>
    </row>
    <row r="1067" spans="1:19" x14ac:dyDescent="0.3">
      <c r="A1067" s="1">
        <v>41990</v>
      </c>
      <c r="B1067">
        <v>2014</v>
      </c>
      <c r="C1067" t="s">
        <v>39</v>
      </c>
      <c r="D1067" s="4">
        <v>278180</v>
      </c>
      <c r="E1067" s="2">
        <v>347695</v>
      </c>
      <c r="F1067" t="s">
        <v>19</v>
      </c>
      <c r="G1067" t="s">
        <v>20</v>
      </c>
      <c r="H1067">
        <v>3</v>
      </c>
      <c r="I1067">
        <v>2</v>
      </c>
      <c r="J1067">
        <v>951</v>
      </c>
      <c r="K1067" s="5">
        <v>1.350819E-2</v>
      </c>
      <c r="L1067" t="s">
        <v>21</v>
      </c>
      <c r="M1067" s="4">
        <v>69515</v>
      </c>
      <c r="N1067" s="3">
        <v>365.60989999999998</v>
      </c>
      <c r="O1067" t="s">
        <v>22</v>
      </c>
      <c r="P1067" t="s">
        <v>24</v>
      </c>
      <c r="Q1067" t="s">
        <v>24</v>
      </c>
      <c r="R1067" t="s">
        <v>55</v>
      </c>
      <c r="S1067">
        <v>12</v>
      </c>
    </row>
    <row r="1068" spans="1:19" x14ac:dyDescent="0.3">
      <c r="A1068" s="1">
        <v>41992</v>
      </c>
      <c r="B1068">
        <v>2014</v>
      </c>
      <c r="C1068" t="s">
        <v>26</v>
      </c>
      <c r="D1068" s="4">
        <v>428610</v>
      </c>
      <c r="E1068" s="2">
        <v>746250</v>
      </c>
      <c r="F1068" t="s">
        <v>19</v>
      </c>
      <c r="G1068" t="s">
        <v>20</v>
      </c>
      <c r="H1068">
        <v>3</v>
      </c>
      <c r="I1068">
        <v>2</v>
      </c>
      <c r="J1068">
        <v>1063</v>
      </c>
      <c r="K1068" s="5">
        <v>1.350819E-2</v>
      </c>
      <c r="L1068" t="s">
        <v>21</v>
      </c>
      <c r="M1068" s="4">
        <v>317640</v>
      </c>
      <c r="N1068" s="3">
        <v>702.02260000000001</v>
      </c>
      <c r="O1068" t="s">
        <v>22</v>
      </c>
      <c r="P1068" t="s">
        <v>28</v>
      </c>
      <c r="Q1068" t="s">
        <v>24</v>
      </c>
      <c r="R1068" t="s">
        <v>55</v>
      </c>
      <c r="S1068">
        <v>12</v>
      </c>
    </row>
    <row r="1069" spans="1:19" x14ac:dyDescent="0.3">
      <c r="A1069" s="1">
        <v>41993</v>
      </c>
      <c r="B1069">
        <v>2014</v>
      </c>
      <c r="C1069" t="s">
        <v>39</v>
      </c>
      <c r="D1069" s="4">
        <v>386190</v>
      </c>
      <c r="E1069" s="2">
        <v>435000</v>
      </c>
      <c r="F1069" t="s">
        <v>19</v>
      </c>
      <c r="G1069" t="s">
        <v>20</v>
      </c>
      <c r="H1069">
        <v>3</v>
      </c>
      <c r="I1069">
        <v>2</v>
      </c>
      <c r="J1069">
        <v>990</v>
      </c>
      <c r="K1069" s="5">
        <v>1.350819E-2</v>
      </c>
      <c r="L1069" t="s">
        <v>21</v>
      </c>
      <c r="M1069" s="4">
        <v>48810</v>
      </c>
      <c r="N1069" s="3">
        <v>439.39389999999997</v>
      </c>
      <c r="O1069" t="s">
        <v>22</v>
      </c>
      <c r="P1069" t="s">
        <v>24</v>
      </c>
      <c r="Q1069" t="s">
        <v>24</v>
      </c>
      <c r="R1069" t="s">
        <v>55</v>
      </c>
      <c r="S1069">
        <v>12</v>
      </c>
    </row>
    <row r="1070" spans="1:19" x14ac:dyDescent="0.3">
      <c r="A1070" s="1">
        <v>41994</v>
      </c>
      <c r="B1070">
        <v>2014</v>
      </c>
      <c r="C1070" t="s">
        <v>40</v>
      </c>
      <c r="D1070" s="4">
        <v>200480</v>
      </c>
      <c r="E1070" s="2">
        <v>240000</v>
      </c>
      <c r="F1070" t="s">
        <v>19</v>
      </c>
      <c r="G1070" t="s">
        <v>20</v>
      </c>
      <c r="H1070">
        <v>3</v>
      </c>
      <c r="I1070">
        <v>3</v>
      </c>
      <c r="J1070">
        <v>941</v>
      </c>
      <c r="K1070" s="5">
        <v>1.350819E-2</v>
      </c>
      <c r="L1070" t="s">
        <v>32</v>
      </c>
      <c r="M1070" s="4">
        <v>39520</v>
      </c>
      <c r="N1070" s="3">
        <v>255.0478</v>
      </c>
      <c r="O1070" t="s">
        <v>22</v>
      </c>
      <c r="P1070" t="s">
        <v>24</v>
      </c>
      <c r="Q1070" t="s">
        <v>24</v>
      </c>
      <c r="R1070" t="s">
        <v>55</v>
      </c>
      <c r="S1070">
        <v>12</v>
      </c>
    </row>
    <row r="1071" spans="1:19" x14ac:dyDescent="0.3">
      <c r="A1071" s="1">
        <v>41999</v>
      </c>
      <c r="B1071">
        <v>2014</v>
      </c>
      <c r="C1071" t="s">
        <v>52</v>
      </c>
      <c r="D1071" s="4">
        <v>153930</v>
      </c>
      <c r="E1071" s="2">
        <v>215000</v>
      </c>
      <c r="F1071" t="s">
        <v>19</v>
      </c>
      <c r="G1071" t="s">
        <v>20</v>
      </c>
      <c r="H1071">
        <v>3</v>
      </c>
      <c r="I1071">
        <v>2</v>
      </c>
      <c r="J1071">
        <v>1092</v>
      </c>
      <c r="K1071" s="5">
        <v>1.350819E-2</v>
      </c>
      <c r="L1071" t="s">
        <v>38</v>
      </c>
      <c r="M1071" s="4">
        <v>61070</v>
      </c>
      <c r="N1071" s="3">
        <v>196.88640000000001</v>
      </c>
      <c r="O1071" t="s">
        <v>22</v>
      </c>
      <c r="P1071" t="s">
        <v>24</v>
      </c>
      <c r="Q1071" t="s">
        <v>24</v>
      </c>
      <c r="R1071" t="s">
        <v>55</v>
      </c>
      <c r="S1071">
        <v>12</v>
      </c>
    </row>
    <row r="1072" spans="1:19" x14ac:dyDescent="0.3">
      <c r="A1072" s="1">
        <v>42001</v>
      </c>
      <c r="B1072">
        <v>2014</v>
      </c>
      <c r="C1072" t="s">
        <v>35</v>
      </c>
      <c r="D1072" s="4">
        <v>2124220</v>
      </c>
      <c r="E1072" s="2">
        <v>825000</v>
      </c>
      <c r="F1072" t="s">
        <v>19</v>
      </c>
      <c r="G1072" t="s">
        <v>20</v>
      </c>
      <c r="H1072">
        <v>3</v>
      </c>
      <c r="I1072">
        <v>1</v>
      </c>
      <c r="J1072">
        <v>1089</v>
      </c>
      <c r="K1072" s="5">
        <v>1.350819E-2</v>
      </c>
      <c r="L1072" t="s">
        <v>21</v>
      </c>
      <c r="M1072" s="4">
        <v>-1299220</v>
      </c>
      <c r="N1072" s="3">
        <v>757.57579999999996</v>
      </c>
      <c r="O1072" t="s">
        <v>33</v>
      </c>
      <c r="P1072" t="s">
        <v>28</v>
      </c>
      <c r="Q1072" t="s">
        <v>24</v>
      </c>
      <c r="R1072" t="s">
        <v>55</v>
      </c>
      <c r="S1072">
        <v>12</v>
      </c>
    </row>
    <row r="1073" spans="1:19" x14ac:dyDescent="0.3">
      <c r="A1073" s="1">
        <v>42004</v>
      </c>
      <c r="B1073">
        <v>2014</v>
      </c>
      <c r="C1073" t="s">
        <v>52</v>
      </c>
      <c r="D1073" s="4">
        <v>252140</v>
      </c>
      <c r="E1073" s="2">
        <v>274280</v>
      </c>
      <c r="F1073" t="s">
        <v>19</v>
      </c>
      <c r="G1073" t="s">
        <v>20</v>
      </c>
      <c r="H1073">
        <v>3</v>
      </c>
      <c r="I1073">
        <v>2</v>
      </c>
      <c r="J1073">
        <v>1001</v>
      </c>
      <c r="K1073" s="5">
        <v>1.350819E-2</v>
      </c>
      <c r="L1073" t="s">
        <v>21</v>
      </c>
      <c r="M1073" s="4">
        <v>22140</v>
      </c>
      <c r="N1073" s="3">
        <v>274.00599999999997</v>
      </c>
      <c r="O1073" t="s">
        <v>22</v>
      </c>
      <c r="P1073" t="s">
        <v>24</v>
      </c>
      <c r="Q1073" t="s">
        <v>24</v>
      </c>
      <c r="R1073" t="s">
        <v>55</v>
      </c>
      <c r="S1073">
        <v>12</v>
      </c>
    </row>
    <row r="1074" spans="1:19" x14ac:dyDescent="0.3">
      <c r="A1074" s="1">
        <v>42006</v>
      </c>
      <c r="B1074">
        <v>2015</v>
      </c>
      <c r="C1074" t="s">
        <v>29</v>
      </c>
      <c r="D1074" s="4">
        <v>150340</v>
      </c>
      <c r="E1074" s="2">
        <v>30000</v>
      </c>
      <c r="F1074" t="s">
        <v>30</v>
      </c>
      <c r="G1074" t="s">
        <v>31</v>
      </c>
      <c r="H1074">
        <v>4</v>
      </c>
      <c r="I1074">
        <v>4</v>
      </c>
      <c r="J1074">
        <v>1419</v>
      </c>
      <c r="K1074" s="5">
        <v>1.3402249999999999E-2</v>
      </c>
      <c r="L1074" t="s">
        <v>27</v>
      </c>
      <c r="M1074" s="4">
        <v>-120340</v>
      </c>
      <c r="N1074" s="3">
        <v>21.1416</v>
      </c>
      <c r="O1074" t="s">
        <v>33</v>
      </c>
      <c r="P1074" t="s">
        <v>23</v>
      </c>
      <c r="Q1074" t="s">
        <v>34</v>
      </c>
      <c r="R1074" t="s">
        <v>25</v>
      </c>
      <c r="S1074">
        <v>1</v>
      </c>
    </row>
    <row r="1075" spans="1:19" x14ac:dyDescent="0.3">
      <c r="A1075" s="1">
        <v>42011</v>
      </c>
      <c r="B1075">
        <v>2015</v>
      </c>
      <c r="C1075" t="s">
        <v>26</v>
      </c>
      <c r="D1075" s="4">
        <v>444584.20699999999</v>
      </c>
      <c r="E1075" s="2">
        <v>355000</v>
      </c>
      <c r="F1075" t="s">
        <v>19</v>
      </c>
      <c r="G1075" t="s">
        <v>20</v>
      </c>
      <c r="H1075">
        <v>3</v>
      </c>
      <c r="I1075">
        <v>1</v>
      </c>
      <c r="J1075">
        <v>1001</v>
      </c>
      <c r="K1075" s="5">
        <v>1.3402249999999999E-2</v>
      </c>
      <c r="L1075" t="s">
        <v>27</v>
      </c>
      <c r="M1075" s="4">
        <v>-89584.206999999995</v>
      </c>
      <c r="N1075" s="3">
        <v>354.6454</v>
      </c>
      <c r="O1075" t="s">
        <v>33</v>
      </c>
      <c r="P1075" t="s">
        <v>24</v>
      </c>
      <c r="Q1075" t="s">
        <v>24</v>
      </c>
      <c r="R1075" t="s">
        <v>25</v>
      </c>
      <c r="S1075">
        <v>1</v>
      </c>
    </row>
    <row r="1076" spans="1:19" x14ac:dyDescent="0.3">
      <c r="A1076" s="1">
        <v>42012</v>
      </c>
      <c r="B1076">
        <v>2015</v>
      </c>
      <c r="C1076" t="s">
        <v>35</v>
      </c>
      <c r="D1076" s="4">
        <v>2691430</v>
      </c>
      <c r="E1076" s="2">
        <v>3900000</v>
      </c>
      <c r="F1076" t="s">
        <v>19</v>
      </c>
      <c r="G1076" t="s">
        <v>20</v>
      </c>
      <c r="H1076">
        <v>3</v>
      </c>
      <c r="I1076">
        <v>2</v>
      </c>
      <c r="J1076">
        <v>1111.6589814177564</v>
      </c>
      <c r="K1076" s="5">
        <v>1.3402249999999999E-2</v>
      </c>
      <c r="L1076" t="s">
        <v>32</v>
      </c>
      <c r="M1076" s="4">
        <v>1208570</v>
      </c>
      <c r="N1076" s="3">
        <v>3508.2701000000002</v>
      </c>
      <c r="O1076" t="s">
        <v>22</v>
      </c>
      <c r="P1076" t="s">
        <v>28</v>
      </c>
      <c r="Q1076" t="s">
        <v>24</v>
      </c>
      <c r="R1076" t="s">
        <v>25</v>
      </c>
      <c r="S1076">
        <v>1</v>
      </c>
    </row>
    <row r="1077" spans="1:19" x14ac:dyDescent="0.3">
      <c r="A1077" s="1">
        <v>42020</v>
      </c>
      <c r="B1077">
        <v>2015</v>
      </c>
      <c r="C1077" t="s">
        <v>29</v>
      </c>
      <c r="D1077" s="4">
        <v>240560</v>
      </c>
      <c r="E1077" s="2">
        <v>139620</v>
      </c>
      <c r="F1077" t="s">
        <v>36</v>
      </c>
      <c r="G1077" t="s">
        <v>37</v>
      </c>
      <c r="H1077">
        <v>6</v>
      </c>
      <c r="I1077">
        <v>5</v>
      </c>
      <c r="J1077">
        <v>1875</v>
      </c>
      <c r="K1077" s="5">
        <v>1.3402249999999999E-2</v>
      </c>
      <c r="L1077" t="s">
        <v>21</v>
      </c>
      <c r="M1077" s="4">
        <v>-100940</v>
      </c>
      <c r="N1077" s="3">
        <v>74.463999999999999</v>
      </c>
      <c r="O1077" t="s">
        <v>33</v>
      </c>
      <c r="P1077" t="s">
        <v>23</v>
      </c>
      <c r="Q1077" t="s">
        <v>34</v>
      </c>
      <c r="R1077" t="s">
        <v>25</v>
      </c>
      <c r="S1077">
        <v>1</v>
      </c>
    </row>
    <row r="1078" spans="1:19" x14ac:dyDescent="0.3">
      <c r="A1078" s="1">
        <v>42021</v>
      </c>
      <c r="B1078">
        <v>2015</v>
      </c>
      <c r="C1078" t="s">
        <v>29</v>
      </c>
      <c r="D1078" s="4">
        <v>131460</v>
      </c>
      <c r="E1078" s="2">
        <v>155000</v>
      </c>
      <c r="F1078" t="s">
        <v>19</v>
      </c>
      <c r="G1078" t="s">
        <v>20</v>
      </c>
      <c r="H1078">
        <v>3</v>
      </c>
      <c r="I1078">
        <v>3</v>
      </c>
      <c r="J1078">
        <v>1077</v>
      </c>
      <c r="K1078" s="5">
        <v>1.3402249999999999E-2</v>
      </c>
      <c r="L1078" t="s">
        <v>27</v>
      </c>
      <c r="M1078" s="4">
        <v>23540</v>
      </c>
      <c r="N1078" s="3">
        <v>143.91829999999999</v>
      </c>
      <c r="O1078" t="s">
        <v>22</v>
      </c>
      <c r="P1078" t="s">
        <v>23</v>
      </c>
      <c r="Q1078" t="s">
        <v>24</v>
      </c>
      <c r="R1078" t="s">
        <v>25</v>
      </c>
      <c r="S1078">
        <v>1</v>
      </c>
    </row>
    <row r="1079" spans="1:19" x14ac:dyDescent="0.3">
      <c r="A1079" s="1">
        <v>42026</v>
      </c>
      <c r="B1079">
        <v>2015</v>
      </c>
      <c r="C1079" t="s">
        <v>29</v>
      </c>
      <c r="D1079" s="4">
        <v>133130</v>
      </c>
      <c r="E1079" s="2">
        <v>75000</v>
      </c>
      <c r="F1079" t="s">
        <v>19</v>
      </c>
      <c r="G1079" t="s">
        <v>20</v>
      </c>
      <c r="H1079">
        <v>3</v>
      </c>
      <c r="I1079">
        <v>2</v>
      </c>
      <c r="J1079">
        <v>1066</v>
      </c>
      <c r="K1079" s="5">
        <v>1.3402249999999999E-2</v>
      </c>
      <c r="L1079" t="s">
        <v>38</v>
      </c>
      <c r="M1079" s="4">
        <v>-58130</v>
      </c>
      <c r="N1079" s="3">
        <v>70.356499999999997</v>
      </c>
      <c r="O1079" t="s">
        <v>33</v>
      </c>
      <c r="P1079" t="s">
        <v>23</v>
      </c>
      <c r="Q1079" t="s">
        <v>24</v>
      </c>
      <c r="R1079" t="s">
        <v>25</v>
      </c>
      <c r="S1079">
        <v>1</v>
      </c>
    </row>
    <row r="1080" spans="1:19" x14ac:dyDescent="0.3">
      <c r="A1080" s="1">
        <v>42027</v>
      </c>
      <c r="B1080">
        <v>2015</v>
      </c>
      <c r="C1080" t="s">
        <v>35</v>
      </c>
      <c r="D1080" s="4">
        <v>431760</v>
      </c>
      <c r="E1080" s="2">
        <v>658500</v>
      </c>
      <c r="F1080" t="s">
        <v>19</v>
      </c>
      <c r="G1080" t="s">
        <v>20</v>
      </c>
      <c r="H1080">
        <v>3</v>
      </c>
      <c r="I1080">
        <v>1</v>
      </c>
      <c r="J1080">
        <v>1023</v>
      </c>
      <c r="K1080" s="5">
        <v>1.3402249999999999E-2</v>
      </c>
      <c r="L1080" t="s">
        <v>21</v>
      </c>
      <c r="M1080" s="4">
        <v>226740</v>
      </c>
      <c r="N1080" s="3">
        <v>643.69500000000005</v>
      </c>
      <c r="O1080" t="s">
        <v>22</v>
      </c>
      <c r="P1080" t="s">
        <v>28</v>
      </c>
      <c r="Q1080" t="s">
        <v>24</v>
      </c>
      <c r="R1080" t="s">
        <v>25</v>
      </c>
      <c r="S1080">
        <v>1</v>
      </c>
    </row>
    <row r="1081" spans="1:19" x14ac:dyDescent="0.3">
      <c r="A1081" s="1">
        <v>42028</v>
      </c>
      <c r="B1081">
        <v>2015</v>
      </c>
      <c r="C1081" t="s">
        <v>40</v>
      </c>
      <c r="D1081" s="4">
        <v>124220</v>
      </c>
      <c r="E1081" s="2">
        <v>179900</v>
      </c>
      <c r="F1081" t="s">
        <v>19</v>
      </c>
      <c r="G1081" t="s">
        <v>20</v>
      </c>
      <c r="H1081">
        <v>3</v>
      </c>
      <c r="I1081">
        <v>3</v>
      </c>
      <c r="J1081">
        <v>1111.6589814177564</v>
      </c>
      <c r="K1081" s="5">
        <v>1.3402249999999999E-2</v>
      </c>
      <c r="L1081" t="s">
        <v>38</v>
      </c>
      <c r="M1081" s="4">
        <v>55680</v>
      </c>
      <c r="N1081" s="3">
        <v>161.83019999999999</v>
      </c>
      <c r="O1081" t="s">
        <v>22</v>
      </c>
      <c r="P1081" t="s">
        <v>23</v>
      </c>
      <c r="Q1081" t="s">
        <v>24</v>
      </c>
      <c r="R1081" t="s">
        <v>25</v>
      </c>
      <c r="S1081">
        <v>1</v>
      </c>
    </row>
    <row r="1082" spans="1:19" x14ac:dyDescent="0.3">
      <c r="A1082" s="1">
        <v>42029</v>
      </c>
      <c r="B1082">
        <v>2015</v>
      </c>
      <c r="C1082" t="s">
        <v>26</v>
      </c>
      <c r="D1082" s="4">
        <v>823550</v>
      </c>
      <c r="E1082" s="2">
        <v>1000000</v>
      </c>
      <c r="F1082" t="s">
        <v>19</v>
      </c>
      <c r="G1082" t="s">
        <v>20</v>
      </c>
      <c r="H1082">
        <v>3</v>
      </c>
      <c r="I1082">
        <v>2</v>
      </c>
      <c r="J1082">
        <v>993</v>
      </c>
      <c r="K1082" s="5">
        <v>1.3402249999999999E-2</v>
      </c>
      <c r="L1082" t="s">
        <v>27</v>
      </c>
      <c r="M1082" s="4">
        <v>176450</v>
      </c>
      <c r="N1082" s="3">
        <v>1007.0493</v>
      </c>
      <c r="O1082" t="s">
        <v>22</v>
      </c>
      <c r="P1082" t="s">
        <v>28</v>
      </c>
      <c r="Q1082" t="s">
        <v>24</v>
      </c>
      <c r="R1082" t="s">
        <v>25</v>
      </c>
      <c r="S1082">
        <v>1</v>
      </c>
    </row>
    <row r="1083" spans="1:19" x14ac:dyDescent="0.3">
      <c r="A1083" s="1">
        <v>42032</v>
      </c>
      <c r="B1083">
        <v>2015</v>
      </c>
      <c r="C1083" t="s">
        <v>26</v>
      </c>
      <c r="D1083" s="4">
        <v>347340</v>
      </c>
      <c r="E1083" s="2">
        <v>300000</v>
      </c>
      <c r="F1083" t="s">
        <v>19</v>
      </c>
      <c r="G1083" t="s">
        <v>20</v>
      </c>
      <c r="H1083">
        <v>3</v>
      </c>
      <c r="I1083">
        <v>3</v>
      </c>
      <c r="J1083">
        <v>1083</v>
      </c>
      <c r="K1083" s="5">
        <v>1.3402249999999999E-2</v>
      </c>
      <c r="L1083" t="s">
        <v>38</v>
      </c>
      <c r="M1083" s="4">
        <v>-47340</v>
      </c>
      <c r="N1083" s="3">
        <v>277.00830000000002</v>
      </c>
      <c r="O1083" t="s">
        <v>33</v>
      </c>
      <c r="P1083" t="s">
        <v>24</v>
      </c>
      <c r="Q1083" t="s">
        <v>24</v>
      </c>
      <c r="R1083" t="s">
        <v>25</v>
      </c>
      <c r="S1083">
        <v>1</v>
      </c>
    </row>
    <row r="1084" spans="1:19" x14ac:dyDescent="0.3">
      <c r="A1084" s="1">
        <v>42034</v>
      </c>
      <c r="B1084">
        <v>2015</v>
      </c>
      <c r="C1084" t="s">
        <v>29</v>
      </c>
      <c r="D1084" s="4">
        <v>79400</v>
      </c>
      <c r="E1084" s="2">
        <v>27000</v>
      </c>
      <c r="F1084" t="s">
        <v>19</v>
      </c>
      <c r="G1084" t="s">
        <v>20</v>
      </c>
      <c r="H1084">
        <v>3</v>
      </c>
      <c r="I1084">
        <v>2</v>
      </c>
      <c r="J1084">
        <v>946</v>
      </c>
      <c r="K1084" s="5">
        <v>1.3402249999999999E-2</v>
      </c>
      <c r="L1084" t="s">
        <v>38</v>
      </c>
      <c r="M1084" s="4">
        <v>-52400</v>
      </c>
      <c r="N1084" s="3">
        <v>28.5412</v>
      </c>
      <c r="O1084" t="s">
        <v>33</v>
      </c>
      <c r="P1084" t="s">
        <v>23</v>
      </c>
      <c r="Q1084" t="s">
        <v>24</v>
      </c>
      <c r="R1084" t="s">
        <v>25</v>
      </c>
      <c r="S1084">
        <v>1</v>
      </c>
    </row>
    <row r="1085" spans="1:19" x14ac:dyDescent="0.3">
      <c r="A1085" s="1">
        <v>42035</v>
      </c>
      <c r="B1085">
        <v>2015</v>
      </c>
      <c r="C1085" t="s">
        <v>29</v>
      </c>
      <c r="D1085" s="4">
        <v>138220</v>
      </c>
      <c r="E1085" s="2">
        <v>144000</v>
      </c>
      <c r="F1085" t="s">
        <v>19</v>
      </c>
      <c r="G1085" t="s">
        <v>20</v>
      </c>
      <c r="H1085">
        <v>3</v>
      </c>
      <c r="I1085">
        <v>2</v>
      </c>
      <c r="J1085">
        <v>934</v>
      </c>
      <c r="K1085" s="5">
        <v>1.3402249999999999E-2</v>
      </c>
      <c r="L1085" t="s">
        <v>32</v>
      </c>
      <c r="M1085" s="4">
        <v>5780</v>
      </c>
      <c r="N1085" s="3">
        <v>154.1756</v>
      </c>
      <c r="O1085" t="s">
        <v>22</v>
      </c>
      <c r="P1085" t="s">
        <v>23</v>
      </c>
      <c r="Q1085" t="s">
        <v>24</v>
      </c>
      <c r="R1085" t="s">
        <v>25</v>
      </c>
      <c r="S1085">
        <v>1</v>
      </c>
    </row>
    <row r="1086" spans="1:19" x14ac:dyDescent="0.3">
      <c r="A1086" s="1">
        <v>42036</v>
      </c>
      <c r="B1086">
        <v>2015</v>
      </c>
      <c r="C1086" t="s">
        <v>26</v>
      </c>
      <c r="D1086" s="4">
        <v>268170</v>
      </c>
      <c r="E1086" s="2">
        <v>352500</v>
      </c>
      <c r="F1086" t="s">
        <v>19</v>
      </c>
      <c r="G1086" t="s">
        <v>20</v>
      </c>
      <c r="H1086">
        <v>3</v>
      </c>
      <c r="I1086">
        <v>2</v>
      </c>
      <c r="J1086">
        <v>985</v>
      </c>
      <c r="K1086" s="5">
        <v>1.3402249999999999E-2</v>
      </c>
      <c r="L1086" t="s">
        <v>38</v>
      </c>
      <c r="M1086" s="4">
        <v>84330</v>
      </c>
      <c r="N1086" s="3">
        <v>357.86799999999999</v>
      </c>
      <c r="O1086" t="s">
        <v>22</v>
      </c>
      <c r="P1086" t="s">
        <v>24</v>
      </c>
      <c r="Q1086" t="s">
        <v>24</v>
      </c>
      <c r="R1086" t="s">
        <v>41</v>
      </c>
      <c r="S1086">
        <v>2</v>
      </c>
    </row>
    <row r="1087" spans="1:19" x14ac:dyDescent="0.3">
      <c r="A1087" s="1">
        <v>42039</v>
      </c>
      <c r="B1087">
        <v>2015</v>
      </c>
      <c r="C1087" t="s">
        <v>40</v>
      </c>
      <c r="D1087" s="4">
        <v>275730</v>
      </c>
      <c r="E1087" s="2">
        <v>340000</v>
      </c>
      <c r="F1087" t="s">
        <v>19</v>
      </c>
      <c r="G1087" t="s">
        <v>20</v>
      </c>
      <c r="H1087">
        <v>3</v>
      </c>
      <c r="I1087">
        <v>2</v>
      </c>
      <c r="J1087">
        <v>949</v>
      </c>
      <c r="K1087" s="5">
        <v>1.3402249999999999E-2</v>
      </c>
      <c r="L1087" t="s">
        <v>21</v>
      </c>
      <c r="M1087" s="4">
        <v>64270</v>
      </c>
      <c r="N1087" s="3">
        <v>358.27190000000002</v>
      </c>
      <c r="O1087" t="s">
        <v>22</v>
      </c>
      <c r="P1087" t="s">
        <v>24</v>
      </c>
      <c r="Q1087" t="s">
        <v>24</v>
      </c>
      <c r="R1087" t="s">
        <v>41</v>
      </c>
      <c r="S1087">
        <v>2</v>
      </c>
    </row>
    <row r="1088" spans="1:19" x14ac:dyDescent="0.3">
      <c r="A1088" s="1">
        <v>42040</v>
      </c>
      <c r="B1088">
        <v>2015</v>
      </c>
      <c r="C1088" t="s">
        <v>40</v>
      </c>
      <c r="D1088" s="4">
        <v>362950</v>
      </c>
      <c r="E1088" s="2">
        <v>430000</v>
      </c>
      <c r="F1088" t="s">
        <v>19</v>
      </c>
      <c r="G1088" t="s">
        <v>20</v>
      </c>
      <c r="H1088">
        <v>3</v>
      </c>
      <c r="I1088">
        <v>3</v>
      </c>
      <c r="J1088">
        <v>972</v>
      </c>
      <c r="K1088" s="5">
        <v>1.3402249999999999E-2</v>
      </c>
      <c r="L1088" t="s">
        <v>21</v>
      </c>
      <c r="M1088" s="4">
        <v>67050</v>
      </c>
      <c r="N1088" s="3">
        <v>442.38679999999999</v>
      </c>
      <c r="O1088" t="s">
        <v>22</v>
      </c>
      <c r="P1088" t="s">
        <v>24</v>
      </c>
      <c r="Q1088" t="s">
        <v>24</v>
      </c>
      <c r="R1088" t="s">
        <v>41</v>
      </c>
      <c r="S1088">
        <v>2</v>
      </c>
    </row>
    <row r="1089" spans="1:19" x14ac:dyDescent="0.3">
      <c r="A1089" s="1">
        <v>42046</v>
      </c>
      <c r="B1089">
        <v>2015</v>
      </c>
      <c r="C1089" t="s">
        <v>35</v>
      </c>
      <c r="D1089" s="4">
        <v>591850</v>
      </c>
      <c r="E1089" s="2">
        <v>800000</v>
      </c>
      <c r="F1089" t="s">
        <v>19</v>
      </c>
      <c r="G1089" t="s">
        <v>20</v>
      </c>
      <c r="H1089">
        <v>3</v>
      </c>
      <c r="I1089">
        <v>1</v>
      </c>
      <c r="J1089">
        <v>984</v>
      </c>
      <c r="K1089" s="5">
        <v>1.3402249999999999E-2</v>
      </c>
      <c r="L1089" t="s">
        <v>27</v>
      </c>
      <c r="M1089" s="4">
        <v>208150</v>
      </c>
      <c r="N1089" s="3">
        <v>813.00810000000001</v>
      </c>
      <c r="O1089" t="s">
        <v>22</v>
      </c>
      <c r="P1089" t="s">
        <v>28</v>
      </c>
      <c r="Q1089" t="s">
        <v>24</v>
      </c>
      <c r="R1089" t="s">
        <v>41</v>
      </c>
      <c r="S1089">
        <v>2</v>
      </c>
    </row>
    <row r="1090" spans="1:19" x14ac:dyDescent="0.3">
      <c r="A1090" s="1">
        <v>42047</v>
      </c>
      <c r="B1090">
        <v>2015</v>
      </c>
      <c r="C1090" t="s">
        <v>35</v>
      </c>
      <c r="D1090" s="4">
        <v>4540690</v>
      </c>
      <c r="E1090" s="2">
        <v>5755448</v>
      </c>
      <c r="F1090" t="s">
        <v>19</v>
      </c>
      <c r="G1090" t="s">
        <v>20</v>
      </c>
      <c r="H1090">
        <v>3</v>
      </c>
      <c r="I1090">
        <v>3</v>
      </c>
      <c r="J1090">
        <v>920</v>
      </c>
      <c r="K1090" s="5">
        <v>1.3402249999999999E-2</v>
      </c>
      <c r="L1090" t="s">
        <v>32</v>
      </c>
      <c r="M1090" s="4">
        <v>1214758</v>
      </c>
      <c r="N1090" s="3">
        <v>6255.9216999999999</v>
      </c>
      <c r="O1090" t="s">
        <v>22</v>
      </c>
      <c r="P1090" t="s">
        <v>28</v>
      </c>
      <c r="Q1090" t="s">
        <v>24</v>
      </c>
      <c r="R1090" t="s">
        <v>41</v>
      </c>
      <c r="S1090">
        <v>2</v>
      </c>
    </row>
    <row r="1091" spans="1:19" x14ac:dyDescent="0.3">
      <c r="A1091" s="1">
        <v>42048</v>
      </c>
      <c r="B1091">
        <v>2015</v>
      </c>
      <c r="C1091" t="s">
        <v>26</v>
      </c>
      <c r="D1091" s="4">
        <v>694260</v>
      </c>
      <c r="E1091" s="2">
        <v>925500</v>
      </c>
      <c r="F1091" t="s">
        <v>19</v>
      </c>
      <c r="G1091" t="s">
        <v>20</v>
      </c>
      <c r="H1091">
        <v>3</v>
      </c>
      <c r="I1091">
        <v>3</v>
      </c>
      <c r="J1091">
        <v>1111.6589814177564</v>
      </c>
      <c r="K1091" s="5">
        <v>1.3402249999999999E-2</v>
      </c>
      <c r="L1091" t="s">
        <v>21</v>
      </c>
      <c r="M1091" s="4">
        <v>231240</v>
      </c>
      <c r="N1091" s="3">
        <v>832.53949999999998</v>
      </c>
      <c r="O1091" t="s">
        <v>22</v>
      </c>
      <c r="P1091" t="s">
        <v>28</v>
      </c>
      <c r="Q1091" t="s">
        <v>24</v>
      </c>
      <c r="R1091" t="s">
        <v>41</v>
      </c>
      <c r="S1091">
        <v>2</v>
      </c>
    </row>
    <row r="1092" spans="1:19" x14ac:dyDescent="0.3">
      <c r="A1092" s="1">
        <v>42049</v>
      </c>
      <c r="B1092">
        <v>2015</v>
      </c>
      <c r="C1092" t="s">
        <v>29</v>
      </c>
      <c r="D1092" s="4">
        <v>242170</v>
      </c>
      <c r="E1092" s="2">
        <v>500000</v>
      </c>
      <c r="F1092" t="s">
        <v>19</v>
      </c>
      <c r="G1092" t="s">
        <v>20</v>
      </c>
      <c r="H1092">
        <v>3</v>
      </c>
      <c r="I1092">
        <v>1</v>
      </c>
      <c r="J1092">
        <v>1031</v>
      </c>
      <c r="K1092" s="5">
        <v>1.3402249999999999E-2</v>
      </c>
      <c r="L1092" t="s">
        <v>21</v>
      </c>
      <c r="M1092" s="4">
        <v>257830</v>
      </c>
      <c r="N1092" s="3">
        <v>484.96609999999998</v>
      </c>
      <c r="O1092" t="s">
        <v>22</v>
      </c>
      <c r="P1092" t="s">
        <v>24</v>
      </c>
      <c r="Q1092" t="s">
        <v>24</v>
      </c>
      <c r="R1092" t="s">
        <v>41</v>
      </c>
      <c r="S1092">
        <v>2</v>
      </c>
    </row>
    <row r="1093" spans="1:19" x14ac:dyDescent="0.3">
      <c r="A1093" s="1">
        <v>42055</v>
      </c>
      <c r="B1093">
        <v>2015</v>
      </c>
      <c r="C1093" t="s">
        <v>29</v>
      </c>
      <c r="D1093" s="4">
        <v>444584.20699999999</v>
      </c>
      <c r="E1093" s="2">
        <v>140000</v>
      </c>
      <c r="F1093" t="s">
        <v>19</v>
      </c>
      <c r="G1093" t="s">
        <v>20</v>
      </c>
      <c r="H1093">
        <v>3</v>
      </c>
      <c r="I1093">
        <v>3</v>
      </c>
      <c r="J1093">
        <v>1002</v>
      </c>
      <c r="K1093" s="5">
        <v>1.3402249999999999E-2</v>
      </c>
      <c r="L1093" t="s">
        <v>32</v>
      </c>
      <c r="M1093" s="4">
        <v>-304584.20699999999</v>
      </c>
      <c r="N1093" s="3">
        <v>139.72059999999999</v>
      </c>
      <c r="O1093" t="s">
        <v>33</v>
      </c>
      <c r="P1093" t="s">
        <v>23</v>
      </c>
      <c r="Q1093" t="s">
        <v>24</v>
      </c>
      <c r="R1093" t="s">
        <v>41</v>
      </c>
      <c r="S1093">
        <v>2</v>
      </c>
    </row>
    <row r="1094" spans="1:19" x14ac:dyDescent="0.3">
      <c r="A1094" s="1">
        <v>42056</v>
      </c>
      <c r="B1094">
        <v>2015</v>
      </c>
      <c r="C1094" t="s">
        <v>35</v>
      </c>
      <c r="D1094" s="4">
        <v>5250000</v>
      </c>
      <c r="E1094" s="2">
        <v>5800000</v>
      </c>
      <c r="F1094" t="s">
        <v>19</v>
      </c>
      <c r="G1094" t="s">
        <v>20</v>
      </c>
      <c r="H1094">
        <v>3</v>
      </c>
      <c r="I1094">
        <v>2</v>
      </c>
      <c r="J1094">
        <v>1099</v>
      </c>
      <c r="K1094" s="5">
        <v>1.3402249999999999E-2</v>
      </c>
      <c r="L1094" t="s">
        <v>38</v>
      </c>
      <c r="M1094" s="4">
        <v>550000</v>
      </c>
      <c r="N1094" s="3">
        <v>5277.5249999999996</v>
      </c>
      <c r="O1094" t="s">
        <v>22</v>
      </c>
      <c r="P1094" t="s">
        <v>28</v>
      </c>
      <c r="Q1094" t="s">
        <v>24</v>
      </c>
      <c r="R1094" t="s">
        <v>41</v>
      </c>
      <c r="S1094">
        <v>2</v>
      </c>
    </row>
    <row r="1095" spans="1:19" x14ac:dyDescent="0.3">
      <c r="A1095" s="1">
        <v>42057</v>
      </c>
      <c r="B1095">
        <v>2015</v>
      </c>
      <c r="C1095" t="s">
        <v>26</v>
      </c>
      <c r="D1095" s="4">
        <v>469140</v>
      </c>
      <c r="E1095" s="2">
        <v>600000</v>
      </c>
      <c r="F1095" t="s">
        <v>19</v>
      </c>
      <c r="G1095" t="s">
        <v>20</v>
      </c>
      <c r="H1095">
        <v>3</v>
      </c>
      <c r="I1095">
        <v>2</v>
      </c>
      <c r="J1095">
        <v>1004</v>
      </c>
      <c r="K1095" s="5">
        <v>1.3402249999999999E-2</v>
      </c>
      <c r="L1095" t="s">
        <v>27</v>
      </c>
      <c r="M1095" s="4">
        <v>130860</v>
      </c>
      <c r="N1095" s="3">
        <v>597.6096</v>
      </c>
      <c r="O1095" t="s">
        <v>22</v>
      </c>
      <c r="P1095" t="s">
        <v>28</v>
      </c>
      <c r="Q1095" t="s">
        <v>24</v>
      </c>
      <c r="R1095" t="s">
        <v>41</v>
      </c>
      <c r="S1095">
        <v>2</v>
      </c>
    </row>
    <row r="1096" spans="1:19" x14ac:dyDescent="0.3">
      <c r="A1096" s="1">
        <v>42060</v>
      </c>
      <c r="B1096">
        <v>2015</v>
      </c>
      <c r="C1096" t="s">
        <v>29</v>
      </c>
      <c r="D1096" s="4">
        <v>120270</v>
      </c>
      <c r="E1096" s="2">
        <v>88000</v>
      </c>
      <c r="F1096" t="s">
        <v>19</v>
      </c>
      <c r="G1096" t="s">
        <v>20</v>
      </c>
      <c r="H1096">
        <v>3</v>
      </c>
      <c r="I1096">
        <v>2</v>
      </c>
      <c r="J1096">
        <v>1073</v>
      </c>
      <c r="K1096" s="5">
        <v>1.3402249999999999E-2</v>
      </c>
      <c r="L1096" t="s">
        <v>21</v>
      </c>
      <c r="M1096" s="4">
        <v>-32270</v>
      </c>
      <c r="N1096" s="3">
        <v>82.013000000000005</v>
      </c>
      <c r="O1096" t="s">
        <v>33</v>
      </c>
      <c r="P1096" t="s">
        <v>23</v>
      </c>
      <c r="Q1096" t="s">
        <v>24</v>
      </c>
      <c r="R1096" t="s">
        <v>41</v>
      </c>
      <c r="S1096">
        <v>2</v>
      </c>
    </row>
    <row r="1097" spans="1:19" x14ac:dyDescent="0.3">
      <c r="A1097" s="1">
        <v>42061</v>
      </c>
      <c r="B1097">
        <v>2015</v>
      </c>
      <c r="C1097" t="s">
        <v>29</v>
      </c>
      <c r="D1097" s="4">
        <v>153260</v>
      </c>
      <c r="E1097" s="2">
        <v>186000</v>
      </c>
      <c r="F1097" t="s">
        <v>19</v>
      </c>
      <c r="G1097" t="s">
        <v>20</v>
      </c>
      <c r="H1097">
        <v>3</v>
      </c>
      <c r="I1097">
        <v>2</v>
      </c>
      <c r="J1097">
        <v>1040</v>
      </c>
      <c r="K1097" s="5">
        <v>1.3402249999999999E-2</v>
      </c>
      <c r="L1097" t="s">
        <v>32</v>
      </c>
      <c r="M1097" s="4">
        <v>32740</v>
      </c>
      <c r="N1097" s="3">
        <v>178.84620000000001</v>
      </c>
      <c r="O1097" t="s">
        <v>22</v>
      </c>
      <c r="P1097" t="s">
        <v>23</v>
      </c>
      <c r="Q1097" t="s">
        <v>24</v>
      </c>
      <c r="R1097" t="s">
        <v>41</v>
      </c>
      <c r="S1097">
        <v>2</v>
      </c>
    </row>
    <row r="1098" spans="1:19" x14ac:dyDescent="0.3">
      <c r="A1098" s="1">
        <v>42062</v>
      </c>
      <c r="B1098">
        <v>2015</v>
      </c>
      <c r="C1098" t="s">
        <v>29</v>
      </c>
      <c r="D1098" s="4">
        <v>96330</v>
      </c>
      <c r="E1098" s="2">
        <v>109000</v>
      </c>
      <c r="F1098" t="s">
        <v>19</v>
      </c>
      <c r="G1098" t="s">
        <v>20</v>
      </c>
      <c r="H1098">
        <v>3</v>
      </c>
      <c r="I1098">
        <v>1</v>
      </c>
      <c r="J1098">
        <v>922</v>
      </c>
      <c r="K1098" s="5">
        <v>1.3402249999999999E-2</v>
      </c>
      <c r="L1098" t="s">
        <v>38</v>
      </c>
      <c r="M1098" s="4">
        <v>12670</v>
      </c>
      <c r="N1098" s="3">
        <v>118.2213</v>
      </c>
      <c r="O1098" t="s">
        <v>22</v>
      </c>
      <c r="P1098" t="s">
        <v>23</v>
      </c>
      <c r="Q1098" t="s">
        <v>24</v>
      </c>
      <c r="R1098" t="s">
        <v>41</v>
      </c>
      <c r="S1098">
        <v>2</v>
      </c>
    </row>
    <row r="1099" spans="1:19" x14ac:dyDescent="0.3">
      <c r="A1099" s="1">
        <v>42063</v>
      </c>
      <c r="B1099">
        <v>2015</v>
      </c>
      <c r="C1099" t="s">
        <v>26</v>
      </c>
      <c r="D1099" s="4">
        <v>411040</v>
      </c>
      <c r="E1099" s="2">
        <v>462500</v>
      </c>
      <c r="F1099" t="s">
        <v>19</v>
      </c>
      <c r="G1099" t="s">
        <v>20</v>
      </c>
      <c r="H1099">
        <v>3</v>
      </c>
      <c r="I1099">
        <v>1</v>
      </c>
      <c r="J1099">
        <v>1059</v>
      </c>
      <c r="K1099" s="5">
        <v>1.3402249999999999E-2</v>
      </c>
      <c r="L1099" t="s">
        <v>38</v>
      </c>
      <c r="M1099" s="4">
        <v>51460</v>
      </c>
      <c r="N1099" s="3">
        <v>436.7328</v>
      </c>
      <c r="O1099" t="s">
        <v>22</v>
      </c>
      <c r="P1099" t="s">
        <v>24</v>
      </c>
      <c r="Q1099" t="s">
        <v>24</v>
      </c>
      <c r="R1099" t="s">
        <v>41</v>
      </c>
      <c r="S1099">
        <v>2</v>
      </c>
    </row>
    <row r="1100" spans="1:19" x14ac:dyDescent="0.3">
      <c r="A1100" s="1">
        <v>42064</v>
      </c>
      <c r="B1100">
        <v>2015</v>
      </c>
      <c r="C1100" t="s">
        <v>35</v>
      </c>
      <c r="D1100" s="4">
        <v>4068680</v>
      </c>
      <c r="E1100" s="2">
        <v>5200000</v>
      </c>
      <c r="F1100" t="s">
        <v>19</v>
      </c>
      <c r="G1100" t="s">
        <v>20</v>
      </c>
      <c r="H1100">
        <v>3</v>
      </c>
      <c r="I1100">
        <v>3</v>
      </c>
      <c r="J1100">
        <v>906</v>
      </c>
      <c r="K1100" s="5">
        <v>1.3402249999999999E-2</v>
      </c>
      <c r="L1100" t="s">
        <v>21</v>
      </c>
      <c r="M1100" s="4">
        <v>1131320</v>
      </c>
      <c r="N1100" s="3">
        <v>5739.5142999999998</v>
      </c>
      <c r="O1100" t="s">
        <v>22</v>
      </c>
      <c r="P1100" t="s">
        <v>28</v>
      </c>
      <c r="Q1100" t="s">
        <v>24</v>
      </c>
      <c r="R1100" t="s">
        <v>44</v>
      </c>
      <c r="S1100">
        <v>3</v>
      </c>
    </row>
    <row r="1101" spans="1:19" x14ac:dyDescent="0.3">
      <c r="A1101" s="1">
        <v>42067</v>
      </c>
      <c r="B1101">
        <v>2015</v>
      </c>
      <c r="C1101" t="s">
        <v>35</v>
      </c>
      <c r="D1101" s="4">
        <v>444584.20699999999</v>
      </c>
      <c r="E1101" s="2">
        <v>533900</v>
      </c>
      <c r="F1101" t="s">
        <v>19</v>
      </c>
      <c r="G1101" t="s">
        <v>20</v>
      </c>
      <c r="H1101">
        <v>3</v>
      </c>
      <c r="I1101">
        <v>1</v>
      </c>
      <c r="J1101">
        <v>988</v>
      </c>
      <c r="K1101" s="5">
        <v>1.3402249999999999E-2</v>
      </c>
      <c r="L1101" t="s">
        <v>38</v>
      </c>
      <c r="M1101" s="4">
        <v>89315.793000000005</v>
      </c>
      <c r="N1101" s="3">
        <v>540.38459999999998</v>
      </c>
      <c r="O1101" t="s">
        <v>22</v>
      </c>
      <c r="P1101" t="s">
        <v>24</v>
      </c>
      <c r="Q1101" t="s">
        <v>24</v>
      </c>
      <c r="R1101" t="s">
        <v>44</v>
      </c>
      <c r="S1101">
        <v>3</v>
      </c>
    </row>
    <row r="1102" spans="1:19" x14ac:dyDescent="0.3">
      <c r="A1102" s="1">
        <v>42068</v>
      </c>
      <c r="B1102">
        <v>2015</v>
      </c>
      <c r="C1102" t="s">
        <v>26</v>
      </c>
      <c r="D1102" s="4">
        <v>288260</v>
      </c>
      <c r="E1102" s="2">
        <v>254400</v>
      </c>
      <c r="F1102" t="s">
        <v>30</v>
      </c>
      <c r="G1102" t="s">
        <v>31</v>
      </c>
      <c r="H1102">
        <v>4</v>
      </c>
      <c r="I1102">
        <v>2</v>
      </c>
      <c r="J1102">
        <v>1246</v>
      </c>
      <c r="K1102" s="5">
        <v>1.3402249999999999E-2</v>
      </c>
      <c r="L1102" t="s">
        <v>27</v>
      </c>
      <c r="M1102" s="4">
        <v>-33860</v>
      </c>
      <c r="N1102" s="3">
        <v>204.17339999999999</v>
      </c>
      <c r="O1102" t="s">
        <v>33</v>
      </c>
      <c r="P1102" t="s">
        <v>24</v>
      </c>
      <c r="Q1102" t="s">
        <v>24</v>
      </c>
      <c r="R1102" t="s">
        <v>44</v>
      </c>
      <c r="S1102">
        <v>3</v>
      </c>
    </row>
    <row r="1103" spans="1:19" x14ac:dyDescent="0.3">
      <c r="A1103" s="1">
        <v>42069</v>
      </c>
      <c r="B1103">
        <v>2015</v>
      </c>
      <c r="C1103" t="s">
        <v>39</v>
      </c>
      <c r="D1103" s="4">
        <v>268240</v>
      </c>
      <c r="E1103" s="2">
        <v>295000</v>
      </c>
      <c r="F1103" t="s">
        <v>19</v>
      </c>
      <c r="G1103" t="s">
        <v>20</v>
      </c>
      <c r="H1103">
        <v>3</v>
      </c>
      <c r="I1103">
        <v>1</v>
      </c>
      <c r="J1103">
        <v>1092</v>
      </c>
      <c r="K1103" s="5">
        <v>1.3402249999999999E-2</v>
      </c>
      <c r="L1103" t="s">
        <v>21</v>
      </c>
      <c r="M1103" s="4">
        <v>26760</v>
      </c>
      <c r="N1103" s="3">
        <v>270.1465</v>
      </c>
      <c r="O1103" t="s">
        <v>22</v>
      </c>
      <c r="P1103" t="s">
        <v>24</v>
      </c>
      <c r="Q1103" t="s">
        <v>24</v>
      </c>
      <c r="R1103" t="s">
        <v>44</v>
      </c>
      <c r="S1103">
        <v>3</v>
      </c>
    </row>
    <row r="1104" spans="1:19" x14ac:dyDescent="0.3">
      <c r="A1104" s="1">
        <v>42070</v>
      </c>
      <c r="B1104">
        <v>2015</v>
      </c>
      <c r="C1104" t="s">
        <v>52</v>
      </c>
      <c r="D1104" s="4">
        <v>155610</v>
      </c>
      <c r="E1104" s="2">
        <v>232000</v>
      </c>
      <c r="F1104" t="s">
        <v>19</v>
      </c>
      <c r="G1104" t="s">
        <v>20</v>
      </c>
      <c r="H1104">
        <v>3</v>
      </c>
      <c r="I1104">
        <v>3</v>
      </c>
      <c r="J1104">
        <v>1004</v>
      </c>
      <c r="K1104" s="5">
        <v>1.3402249999999999E-2</v>
      </c>
      <c r="L1104" t="s">
        <v>38</v>
      </c>
      <c r="M1104" s="4">
        <v>76390</v>
      </c>
      <c r="N1104" s="3">
        <v>231.07570000000001</v>
      </c>
      <c r="O1104" t="s">
        <v>22</v>
      </c>
      <c r="P1104" t="s">
        <v>24</v>
      </c>
      <c r="Q1104" t="s">
        <v>24</v>
      </c>
      <c r="R1104" t="s">
        <v>44</v>
      </c>
      <c r="S1104">
        <v>3</v>
      </c>
    </row>
    <row r="1105" spans="1:19" x14ac:dyDescent="0.3">
      <c r="A1105" s="1">
        <v>42074</v>
      </c>
      <c r="B1105">
        <v>2015</v>
      </c>
      <c r="C1105" t="s">
        <v>39</v>
      </c>
      <c r="D1105" s="4">
        <v>1060430</v>
      </c>
      <c r="E1105" s="2">
        <v>1215000</v>
      </c>
      <c r="F1105" t="s">
        <v>19</v>
      </c>
      <c r="G1105" t="s">
        <v>20</v>
      </c>
      <c r="H1105">
        <v>3</v>
      </c>
      <c r="I1105">
        <v>2</v>
      </c>
      <c r="J1105">
        <v>1045</v>
      </c>
      <c r="K1105" s="5">
        <v>1.3402249999999999E-2</v>
      </c>
      <c r="L1105" t="s">
        <v>27</v>
      </c>
      <c r="M1105" s="4">
        <v>154570</v>
      </c>
      <c r="N1105" s="3">
        <v>1162.6794</v>
      </c>
      <c r="O1105" t="s">
        <v>22</v>
      </c>
      <c r="P1105" t="s">
        <v>28</v>
      </c>
      <c r="Q1105" t="s">
        <v>24</v>
      </c>
      <c r="R1105" t="s">
        <v>44</v>
      </c>
      <c r="S1105">
        <v>3</v>
      </c>
    </row>
    <row r="1106" spans="1:19" x14ac:dyDescent="0.3">
      <c r="A1106" s="1">
        <v>42075</v>
      </c>
      <c r="B1106">
        <v>2015</v>
      </c>
      <c r="C1106" t="s">
        <v>29</v>
      </c>
      <c r="D1106" s="4">
        <v>175520</v>
      </c>
      <c r="E1106" s="2">
        <v>75000</v>
      </c>
      <c r="F1106" t="s">
        <v>30</v>
      </c>
      <c r="G1106" t="s">
        <v>31</v>
      </c>
      <c r="H1106">
        <v>4</v>
      </c>
      <c r="I1106">
        <v>4</v>
      </c>
      <c r="J1106">
        <v>1368</v>
      </c>
      <c r="K1106" s="5">
        <v>1.3402249999999999E-2</v>
      </c>
      <c r="L1106" t="s">
        <v>32</v>
      </c>
      <c r="M1106" s="4">
        <v>-100520</v>
      </c>
      <c r="N1106" s="3">
        <v>54.824599999999997</v>
      </c>
      <c r="O1106" t="s">
        <v>33</v>
      </c>
      <c r="P1106" t="s">
        <v>23</v>
      </c>
      <c r="Q1106" t="s">
        <v>34</v>
      </c>
      <c r="R1106" t="s">
        <v>44</v>
      </c>
      <c r="S1106">
        <v>3</v>
      </c>
    </row>
    <row r="1107" spans="1:19" x14ac:dyDescent="0.3">
      <c r="A1107" s="1">
        <v>42076</v>
      </c>
      <c r="B1107">
        <v>2015</v>
      </c>
      <c r="C1107" t="s">
        <v>39</v>
      </c>
      <c r="D1107" s="4">
        <v>829570</v>
      </c>
      <c r="E1107" s="2">
        <v>700000</v>
      </c>
      <c r="F1107" t="s">
        <v>19</v>
      </c>
      <c r="G1107" t="s">
        <v>20</v>
      </c>
      <c r="H1107">
        <v>3</v>
      </c>
      <c r="I1107">
        <v>2</v>
      </c>
      <c r="J1107">
        <v>912</v>
      </c>
      <c r="K1107" s="5">
        <v>1.3402249999999999E-2</v>
      </c>
      <c r="L1107" t="s">
        <v>21</v>
      </c>
      <c r="M1107" s="4">
        <v>-129570</v>
      </c>
      <c r="N1107" s="3">
        <v>767.54390000000001</v>
      </c>
      <c r="O1107" t="s">
        <v>33</v>
      </c>
      <c r="P1107" t="s">
        <v>28</v>
      </c>
      <c r="Q1107" t="s">
        <v>24</v>
      </c>
      <c r="R1107" t="s">
        <v>44</v>
      </c>
      <c r="S1107">
        <v>3</v>
      </c>
    </row>
    <row r="1108" spans="1:19" x14ac:dyDescent="0.3">
      <c r="A1108" s="1">
        <v>42077</v>
      </c>
      <c r="B1108">
        <v>2015</v>
      </c>
      <c r="C1108" t="s">
        <v>52</v>
      </c>
      <c r="D1108" s="4">
        <v>162540</v>
      </c>
      <c r="E1108" s="2">
        <v>215000</v>
      </c>
      <c r="F1108" t="s">
        <v>19</v>
      </c>
      <c r="G1108" t="s">
        <v>20</v>
      </c>
      <c r="H1108">
        <v>3</v>
      </c>
      <c r="I1108">
        <v>2</v>
      </c>
      <c r="J1108">
        <v>929</v>
      </c>
      <c r="K1108" s="5">
        <v>1.3402249999999999E-2</v>
      </c>
      <c r="L1108" t="s">
        <v>32</v>
      </c>
      <c r="M1108" s="4">
        <v>52460</v>
      </c>
      <c r="N1108" s="3">
        <v>231.4316</v>
      </c>
      <c r="O1108" t="s">
        <v>22</v>
      </c>
      <c r="P1108" t="s">
        <v>24</v>
      </c>
      <c r="Q1108" t="s">
        <v>24</v>
      </c>
      <c r="R1108" t="s">
        <v>44</v>
      </c>
      <c r="S1108">
        <v>3</v>
      </c>
    </row>
    <row r="1109" spans="1:19" x14ac:dyDescent="0.3">
      <c r="A1109" s="1">
        <v>42083</v>
      </c>
      <c r="B1109">
        <v>2015</v>
      </c>
      <c r="C1109" t="s">
        <v>39</v>
      </c>
      <c r="D1109" s="4">
        <v>558110</v>
      </c>
      <c r="E1109" s="2">
        <v>845000</v>
      </c>
      <c r="F1109" t="s">
        <v>19</v>
      </c>
      <c r="G1109" t="s">
        <v>20</v>
      </c>
      <c r="H1109">
        <v>3</v>
      </c>
      <c r="I1109">
        <v>3</v>
      </c>
      <c r="J1109">
        <v>1111.6589814177564</v>
      </c>
      <c r="K1109" s="5">
        <v>1.3402249999999999E-2</v>
      </c>
      <c r="L1109" t="s">
        <v>27</v>
      </c>
      <c r="M1109" s="4">
        <v>286890</v>
      </c>
      <c r="N1109" s="3">
        <v>760.12519999999995</v>
      </c>
      <c r="O1109" t="s">
        <v>22</v>
      </c>
      <c r="P1109" t="s">
        <v>28</v>
      </c>
      <c r="Q1109" t="s">
        <v>24</v>
      </c>
      <c r="R1109" t="s">
        <v>44</v>
      </c>
      <c r="S1109">
        <v>3</v>
      </c>
    </row>
    <row r="1110" spans="1:19" x14ac:dyDescent="0.3">
      <c r="A1110" s="1">
        <v>42088</v>
      </c>
      <c r="B1110">
        <v>2015</v>
      </c>
      <c r="C1110" t="s">
        <v>52</v>
      </c>
      <c r="D1110" s="4">
        <v>149660</v>
      </c>
      <c r="E1110" s="2">
        <v>160000</v>
      </c>
      <c r="F1110" t="s">
        <v>19</v>
      </c>
      <c r="G1110" t="s">
        <v>20</v>
      </c>
      <c r="H1110">
        <v>3</v>
      </c>
      <c r="I1110">
        <v>1</v>
      </c>
      <c r="J1110">
        <v>1066</v>
      </c>
      <c r="K1110" s="5">
        <v>1.3402249999999999E-2</v>
      </c>
      <c r="L1110" t="s">
        <v>21</v>
      </c>
      <c r="M1110" s="4">
        <v>10340</v>
      </c>
      <c r="N1110" s="3">
        <v>150.09379999999999</v>
      </c>
      <c r="O1110" t="s">
        <v>22</v>
      </c>
      <c r="P1110" t="s">
        <v>23</v>
      </c>
      <c r="Q1110" t="s">
        <v>24</v>
      </c>
      <c r="R1110" t="s">
        <v>44</v>
      </c>
      <c r="S1110">
        <v>3</v>
      </c>
    </row>
    <row r="1111" spans="1:19" x14ac:dyDescent="0.3">
      <c r="A1111" s="1">
        <v>42089</v>
      </c>
      <c r="B1111">
        <v>2015</v>
      </c>
      <c r="C1111" t="s">
        <v>29</v>
      </c>
      <c r="D1111" s="4">
        <v>135960</v>
      </c>
      <c r="E1111" s="2">
        <v>21000</v>
      </c>
      <c r="F1111" t="s">
        <v>30</v>
      </c>
      <c r="G1111" t="s">
        <v>31</v>
      </c>
      <c r="H1111">
        <v>4</v>
      </c>
      <c r="I1111">
        <v>3</v>
      </c>
      <c r="J1111">
        <v>1385</v>
      </c>
      <c r="K1111" s="5">
        <v>1.3402249999999999E-2</v>
      </c>
      <c r="L1111" t="s">
        <v>27</v>
      </c>
      <c r="M1111" s="4">
        <v>-114960</v>
      </c>
      <c r="N1111" s="3">
        <v>15.1625</v>
      </c>
      <c r="O1111" t="s">
        <v>33</v>
      </c>
      <c r="P1111" t="s">
        <v>23</v>
      </c>
      <c r="Q1111" t="s">
        <v>34</v>
      </c>
      <c r="R1111" t="s">
        <v>44</v>
      </c>
      <c r="S1111">
        <v>3</v>
      </c>
    </row>
    <row r="1112" spans="1:19" x14ac:dyDescent="0.3">
      <c r="A1112" s="1">
        <v>42090</v>
      </c>
      <c r="B1112">
        <v>2015</v>
      </c>
      <c r="C1112" t="s">
        <v>39</v>
      </c>
      <c r="D1112" s="4">
        <v>275660</v>
      </c>
      <c r="E1112" s="2">
        <v>440000</v>
      </c>
      <c r="F1112" t="s">
        <v>19</v>
      </c>
      <c r="G1112" t="s">
        <v>20</v>
      </c>
      <c r="H1112">
        <v>3</v>
      </c>
      <c r="I1112">
        <v>3</v>
      </c>
      <c r="J1112">
        <v>949</v>
      </c>
      <c r="K1112" s="5">
        <v>1.3402249999999999E-2</v>
      </c>
      <c r="L1112" t="s">
        <v>21</v>
      </c>
      <c r="M1112" s="4">
        <v>164340</v>
      </c>
      <c r="N1112" s="3">
        <v>463.64589999999998</v>
      </c>
      <c r="O1112" t="s">
        <v>22</v>
      </c>
      <c r="P1112" t="s">
        <v>24</v>
      </c>
      <c r="Q1112" t="s">
        <v>24</v>
      </c>
      <c r="R1112" t="s">
        <v>44</v>
      </c>
      <c r="S1112">
        <v>3</v>
      </c>
    </row>
    <row r="1113" spans="1:19" x14ac:dyDescent="0.3">
      <c r="A1113" s="1">
        <v>42091</v>
      </c>
      <c r="B1113">
        <v>2015</v>
      </c>
      <c r="C1113" t="s">
        <v>39</v>
      </c>
      <c r="D1113" s="4">
        <v>508900</v>
      </c>
      <c r="E1113" s="2">
        <v>633000</v>
      </c>
      <c r="F1113" t="s">
        <v>19</v>
      </c>
      <c r="G1113" t="s">
        <v>20</v>
      </c>
      <c r="H1113">
        <v>3</v>
      </c>
      <c r="I1113">
        <v>2</v>
      </c>
      <c r="J1113">
        <v>980</v>
      </c>
      <c r="K1113" s="5">
        <v>1.3402249999999999E-2</v>
      </c>
      <c r="L1113" t="s">
        <v>32</v>
      </c>
      <c r="M1113" s="4">
        <v>124100</v>
      </c>
      <c r="N1113" s="3">
        <v>645.91840000000002</v>
      </c>
      <c r="O1113" t="s">
        <v>22</v>
      </c>
      <c r="P1113" t="s">
        <v>28</v>
      </c>
      <c r="Q1113" t="s">
        <v>24</v>
      </c>
      <c r="R1113" t="s">
        <v>44</v>
      </c>
      <c r="S1113">
        <v>3</v>
      </c>
    </row>
    <row r="1114" spans="1:19" x14ac:dyDescent="0.3">
      <c r="A1114" s="1">
        <v>42097</v>
      </c>
      <c r="B1114">
        <v>2015</v>
      </c>
      <c r="C1114" t="s">
        <v>26</v>
      </c>
      <c r="D1114" s="4">
        <v>921480</v>
      </c>
      <c r="E1114" s="2">
        <v>635000</v>
      </c>
      <c r="F1114" t="s">
        <v>19</v>
      </c>
      <c r="G1114" t="s">
        <v>20</v>
      </c>
      <c r="H1114">
        <v>3</v>
      </c>
      <c r="I1114">
        <v>1</v>
      </c>
      <c r="J1114">
        <v>947</v>
      </c>
      <c r="K1114" s="5">
        <v>1.3402249999999999E-2</v>
      </c>
      <c r="L1114" t="s">
        <v>38</v>
      </c>
      <c r="M1114" s="4">
        <v>-286480</v>
      </c>
      <c r="N1114" s="3">
        <v>670.5385</v>
      </c>
      <c r="O1114" t="s">
        <v>33</v>
      </c>
      <c r="P1114" t="s">
        <v>28</v>
      </c>
      <c r="Q1114" t="s">
        <v>24</v>
      </c>
      <c r="R1114" t="s">
        <v>45</v>
      </c>
      <c r="S1114">
        <v>4</v>
      </c>
    </row>
    <row r="1115" spans="1:19" x14ac:dyDescent="0.3">
      <c r="A1115" s="1">
        <v>42099</v>
      </c>
      <c r="B1115">
        <v>2015</v>
      </c>
      <c r="C1115" t="s">
        <v>35</v>
      </c>
      <c r="D1115" s="4">
        <v>1460760</v>
      </c>
      <c r="E1115" s="2">
        <v>1797000</v>
      </c>
      <c r="F1115" t="s">
        <v>19</v>
      </c>
      <c r="G1115" t="s">
        <v>20</v>
      </c>
      <c r="H1115">
        <v>3</v>
      </c>
      <c r="I1115">
        <v>2</v>
      </c>
      <c r="J1115">
        <v>978</v>
      </c>
      <c r="K1115" s="5">
        <v>1.3402249999999999E-2</v>
      </c>
      <c r="L1115" t="s">
        <v>38</v>
      </c>
      <c r="M1115" s="4">
        <v>336240</v>
      </c>
      <c r="N1115" s="3">
        <v>1837.4232999999999</v>
      </c>
      <c r="O1115" t="s">
        <v>22</v>
      </c>
      <c r="P1115" t="s">
        <v>28</v>
      </c>
      <c r="Q1115" t="s">
        <v>24</v>
      </c>
      <c r="R1115" t="s">
        <v>45</v>
      </c>
      <c r="S1115">
        <v>4</v>
      </c>
    </row>
    <row r="1116" spans="1:19" x14ac:dyDescent="0.3">
      <c r="A1116" s="1">
        <v>42104</v>
      </c>
      <c r="B1116">
        <v>2015</v>
      </c>
      <c r="C1116" t="s">
        <v>39</v>
      </c>
      <c r="D1116" s="4">
        <v>243250</v>
      </c>
      <c r="E1116" s="2">
        <v>340000</v>
      </c>
      <c r="F1116" t="s">
        <v>19</v>
      </c>
      <c r="G1116" t="s">
        <v>20</v>
      </c>
      <c r="H1116">
        <v>3</v>
      </c>
      <c r="I1116">
        <v>2</v>
      </c>
      <c r="J1116">
        <v>1011</v>
      </c>
      <c r="K1116" s="5">
        <v>1.3402249999999999E-2</v>
      </c>
      <c r="L1116" t="s">
        <v>21</v>
      </c>
      <c r="M1116" s="4">
        <v>96750</v>
      </c>
      <c r="N1116" s="3">
        <v>336.30070000000001</v>
      </c>
      <c r="O1116" t="s">
        <v>22</v>
      </c>
      <c r="P1116" t="s">
        <v>24</v>
      </c>
      <c r="Q1116" t="s">
        <v>24</v>
      </c>
      <c r="R1116" t="s">
        <v>45</v>
      </c>
      <c r="S1116">
        <v>4</v>
      </c>
    </row>
    <row r="1117" spans="1:19" x14ac:dyDescent="0.3">
      <c r="A1117" s="1">
        <v>42105</v>
      </c>
      <c r="B1117">
        <v>2015</v>
      </c>
      <c r="C1117" t="s">
        <v>35</v>
      </c>
      <c r="D1117" s="4">
        <v>264110</v>
      </c>
      <c r="E1117" s="2">
        <v>360000</v>
      </c>
      <c r="F1117" t="s">
        <v>30</v>
      </c>
      <c r="G1117" t="s">
        <v>31</v>
      </c>
      <c r="H1117">
        <v>4</v>
      </c>
      <c r="I1117">
        <v>4</v>
      </c>
      <c r="J1117">
        <v>1111.6589814177564</v>
      </c>
      <c r="K1117" s="5">
        <v>1.3402249999999999E-2</v>
      </c>
      <c r="L1117" t="s">
        <v>27</v>
      </c>
      <c r="M1117" s="4">
        <v>95890</v>
      </c>
      <c r="N1117" s="3">
        <v>323.84030000000001</v>
      </c>
      <c r="O1117" t="s">
        <v>22</v>
      </c>
      <c r="P1117" t="s">
        <v>24</v>
      </c>
      <c r="Q1117" t="s">
        <v>24</v>
      </c>
      <c r="R1117" t="s">
        <v>45</v>
      </c>
      <c r="S1117">
        <v>4</v>
      </c>
    </row>
    <row r="1118" spans="1:19" x14ac:dyDescent="0.3">
      <c r="A1118" s="1">
        <v>42106</v>
      </c>
      <c r="B1118">
        <v>2015</v>
      </c>
      <c r="C1118" t="s">
        <v>35</v>
      </c>
      <c r="D1118" s="4">
        <v>843850</v>
      </c>
      <c r="E1118" s="2">
        <v>660000</v>
      </c>
      <c r="F1118" t="s">
        <v>19</v>
      </c>
      <c r="G1118" t="s">
        <v>20</v>
      </c>
      <c r="H1118">
        <v>3</v>
      </c>
      <c r="I1118">
        <v>1</v>
      </c>
      <c r="J1118">
        <v>1056</v>
      </c>
      <c r="K1118" s="5">
        <v>1.3402249999999999E-2</v>
      </c>
      <c r="L1118" t="s">
        <v>21</v>
      </c>
      <c r="M1118" s="4">
        <v>-183850</v>
      </c>
      <c r="N1118" s="3">
        <v>625</v>
      </c>
      <c r="O1118" t="s">
        <v>33</v>
      </c>
      <c r="P1118" t="s">
        <v>28</v>
      </c>
      <c r="Q1118" t="s">
        <v>24</v>
      </c>
      <c r="R1118" t="s">
        <v>45</v>
      </c>
      <c r="S1118">
        <v>4</v>
      </c>
    </row>
    <row r="1119" spans="1:19" x14ac:dyDescent="0.3">
      <c r="A1119" s="1">
        <v>42109</v>
      </c>
      <c r="B1119">
        <v>2015</v>
      </c>
      <c r="C1119" t="s">
        <v>39</v>
      </c>
      <c r="D1119" s="4">
        <v>326130</v>
      </c>
      <c r="E1119" s="2">
        <v>451000</v>
      </c>
      <c r="F1119" t="s">
        <v>19</v>
      </c>
      <c r="G1119" t="s">
        <v>20</v>
      </c>
      <c r="H1119">
        <v>3</v>
      </c>
      <c r="I1119">
        <v>2</v>
      </c>
      <c r="J1119">
        <v>914</v>
      </c>
      <c r="K1119" s="5">
        <v>1.3402249999999999E-2</v>
      </c>
      <c r="L1119" t="s">
        <v>32</v>
      </c>
      <c r="M1119" s="4">
        <v>124870</v>
      </c>
      <c r="N1119" s="3">
        <v>493.43540000000002</v>
      </c>
      <c r="O1119" t="s">
        <v>22</v>
      </c>
      <c r="P1119" t="s">
        <v>24</v>
      </c>
      <c r="Q1119" t="s">
        <v>24</v>
      </c>
      <c r="R1119" t="s">
        <v>45</v>
      </c>
      <c r="S1119">
        <v>4</v>
      </c>
    </row>
    <row r="1120" spans="1:19" x14ac:dyDescent="0.3">
      <c r="A1120" s="1">
        <v>42110</v>
      </c>
      <c r="B1120">
        <v>2015</v>
      </c>
      <c r="C1120" t="s">
        <v>26</v>
      </c>
      <c r="D1120" s="4">
        <v>444584.20699999999</v>
      </c>
      <c r="E1120" s="2">
        <v>1222000</v>
      </c>
      <c r="F1120" t="s">
        <v>19</v>
      </c>
      <c r="G1120" t="s">
        <v>20</v>
      </c>
      <c r="H1120">
        <v>3</v>
      </c>
      <c r="I1120">
        <v>3</v>
      </c>
      <c r="J1120">
        <v>938</v>
      </c>
      <c r="K1120" s="5">
        <v>1.3402249999999999E-2</v>
      </c>
      <c r="L1120" t="s">
        <v>38</v>
      </c>
      <c r="M1120" s="4">
        <v>777415.79299999995</v>
      </c>
      <c r="N1120" s="3">
        <v>1302.7719</v>
      </c>
      <c r="O1120" t="s">
        <v>22</v>
      </c>
      <c r="P1120" t="s">
        <v>28</v>
      </c>
      <c r="Q1120" t="s">
        <v>24</v>
      </c>
      <c r="R1120" t="s">
        <v>45</v>
      </c>
      <c r="S1120">
        <v>4</v>
      </c>
    </row>
    <row r="1121" spans="1:19" x14ac:dyDescent="0.3">
      <c r="A1121" s="1">
        <v>42112</v>
      </c>
      <c r="B1121">
        <v>2015</v>
      </c>
      <c r="C1121" t="s">
        <v>40</v>
      </c>
      <c r="D1121" s="4">
        <v>1096760</v>
      </c>
      <c r="E1121" s="2">
        <v>1587500</v>
      </c>
      <c r="F1121" t="s">
        <v>19</v>
      </c>
      <c r="G1121" t="s">
        <v>20</v>
      </c>
      <c r="H1121">
        <v>3</v>
      </c>
      <c r="I1121">
        <v>2</v>
      </c>
      <c r="J1121">
        <v>1050</v>
      </c>
      <c r="K1121" s="5">
        <v>1.3402249999999999E-2</v>
      </c>
      <c r="L1121" t="s">
        <v>21</v>
      </c>
      <c r="M1121" s="4">
        <v>490740</v>
      </c>
      <c r="N1121" s="3">
        <v>1511.9048</v>
      </c>
      <c r="O1121" t="s">
        <v>22</v>
      </c>
      <c r="P1121" t="s">
        <v>28</v>
      </c>
      <c r="Q1121" t="s">
        <v>24</v>
      </c>
      <c r="R1121" t="s">
        <v>45</v>
      </c>
      <c r="S1121">
        <v>4</v>
      </c>
    </row>
    <row r="1122" spans="1:19" x14ac:dyDescent="0.3">
      <c r="A1122" s="1">
        <v>42116</v>
      </c>
      <c r="B1122">
        <v>2015</v>
      </c>
      <c r="C1122" t="s">
        <v>40</v>
      </c>
      <c r="D1122" s="4">
        <v>159490</v>
      </c>
      <c r="E1122" s="2">
        <v>113400</v>
      </c>
      <c r="F1122" t="s">
        <v>19</v>
      </c>
      <c r="G1122" t="s">
        <v>20</v>
      </c>
      <c r="H1122">
        <v>3</v>
      </c>
      <c r="I1122">
        <v>1</v>
      </c>
      <c r="J1122">
        <v>1111.6589814177564</v>
      </c>
      <c r="K1122" s="5">
        <v>1.3402249999999999E-2</v>
      </c>
      <c r="L1122" t="s">
        <v>32</v>
      </c>
      <c r="M1122" s="4">
        <v>-46090</v>
      </c>
      <c r="N1122" s="3">
        <v>102.0097</v>
      </c>
      <c r="O1122" t="s">
        <v>33</v>
      </c>
      <c r="P1122" t="s">
        <v>23</v>
      </c>
      <c r="Q1122" t="s">
        <v>24</v>
      </c>
      <c r="R1122" t="s">
        <v>45</v>
      </c>
      <c r="S1122">
        <v>4</v>
      </c>
    </row>
    <row r="1123" spans="1:19" x14ac:dyDescent="0.3">
      <c r="A1123" s="1">
        <v>42117</v>
      </c>
      <c r="B1123">
        <v>2015</v>
      </c>
      <c r="C1123" t="s">
        <v>39</v>
      </c>
      <c r="D1123" s="4">
        <v>304710</v>
      </c>
      <c r="E1123" s="2">
        <v>485000</v>
      </c>
      <c r="F1123" t="s">
        <v>19</v>
      </c>
      <c r="G1123" t="s">
        <v>20</v>
      </c>
      <c r="H1123">
        <v>3</v>
      </c>
      <c r="I1123">
        <v>1</v>
      </c>
      <c r="J1123">
        <v>922</v>
      </c>
      <c r="K1123" s="5">
        <v>1.3402249999999999E-2</v>
      </c>
      <c r="L1123" t="s">
        <v>32</v>
      </c>
      <c r="M1123" s="4">
        <v>180290</v>
      </c>
      <c r="N1123" s="3">
        <v>526.03039999999999</v>
      </c>
      <c r="O1123" t="s">
        <v>22</v>
      </c>
      <c r="P1123" t="s">
        <v>24</v>
      </c>
      <c r="Q1123" t="s">
        <v>24</v>
      </c>
      <c r="R1123" t="s">
        <v>45</v>
      </c>
      <c r="S1123">
        <v>4</v>
      </c>
    </row>
    <row r="1124" spans="1:19" x14ac:dyDescent="0.3">
      <c r="A1124" s="1">
        <v>42119</v>
      </c>
      <c r="B1124">
        <v>2015</v>
      </c>
      <c r="C1124" t="s">
        <v>29</v>
      </c>
      <c r="D1124" s="4">
        <v>152690</v>
      </c>
      <c r="E1124" s="2">
        <v>195000</v>
      </c>
      <c r="F1124" t="s">
        <v>19</v>
      </c>
      <c r="G1124" t="s">
        <v>20</v>
      </c>
      <c r="H1124">
        <v>3</v>
      </c>
      <c r="I1124">
        <v>1</v>
      </c>
      <c r="J1124">
        <v>900</v>
      </c>
      <c r="K1124" s="5">
        <v>1.3402249999999999E-2</v>
      </c>
      <c r="L1124" t="s">
        <v>32</v>
      </c>
      <c r="M1124" s="4">
        <v>42310</v>
      </c>
      <c r="N1124" s="3">
        <v>216.66669999999999</v>
      </c>
      <c r="O1124" t="s">
        <v>22</v>
      </c>
      <c r="P1124" t="s">
        <v>23</v>
      </c>
      <c r="Q1124" t="s">
        <v>24</v>
      </c>
      <c r="R1124" t="s">
        <v>45</v>
      </c>
      <c r="S1124">
        <v>4</v>
      </c>
    </row>
    <row r="1125" spans="1:19" x14ac:dyDescent="0.3">
      <c r="A1125" s="1">
        <v>42123</v>
      </c>
      <c r="B1125">
        <v>2015</v>
      </c>
      <c r="C1125" t="s">
        <v>40</v>
      </c>
      <c r="D1125" s="4">
        <v>444584.20699999999</v>
      </c>
      <c r="E1125" s="2">
        <v>660000</v>
      </c>
      <c r="F1125" t="s">
        <v>19</v>
      </c>
      <c r="G1125" t="s">
        <v>20</v>
      </c>
      <c r="H1125">
        <v>3</v>
      </c>
      <c r="I1125">
        <v>3</v>
      </c>
      <c r="J1125">
        <v>1090</v>
      </c>
      <c r="K1125" s="5">
        <v>1.3402249999999999E-2</v>
      </c>
      <c r="L1125" t="s">
        <v>27</v>
      </c>
      <c r="M1125" s="4">
        <v>215415.79300000001</v>
      </c>
      <c r="N1125" s="3">
        <v>605.50459999999998</v>
      </c>
      <c r="O1125" t="s">
        <v>22</v>
      </c>
      <c r="P1125" t="s">
        <v>28</v>
      </c>
      <c r="Q1125" t="s">
        <v>24</v>
      </c>
      <c r="R1125" t="s">
        <v>45</v>
      </c>
      <c r="S1125">
        <v>4</v>
      </c>
    </row>
    <row r="1126" spans="1:19" x14ac:dyDescent="0.3">
      <c r="A1126" s="1">
        <v>42124</v>
      </c>
      <c r="B1126">
        <v>2015</v>
      </c>
      <c r="C1126" t="s">
        <v>26</v>
      </c>
      <c r="D1126" s="4">
        <v>290780</v>
      </c>
      <c r="E1126" s="2">
        <v>326000</v>
      </c>
      <c r="F1126" t="s">
        <v>19</v>
      </c>
      <c r="G1126" t="s">
        <v>20</v>
      </c>
      <c r="H1126">
        <v>3</v>
      </c>
      <c r="I1126">
        <v>3</v>
      </c>
      <c r="J1126">
        <v>1019</v>
      </c>
      <c r="K1126" s="5">
        <v>1.3402249999999999E-2</v>
      </c>
      <c r="L1126" t="s">
        <v>38</v>
      </c>
      <c r="M1126" s="4">
        <v>35220</v>
      </c>
      <c r="N1126" s="3">
        <v>319.92149999999998</v>
      </c>
      <c r="O1126" t="s">
        <v>22</v>
      </c>
      <c r="P1126" t="s">
        <v>24</v>
      </c>
      <c r="Q1126" t="s">
        <v>24</v>
      </c>
      <c r="R1126" t="s">
        <v>45</v>
      </c>
      <c r="S1126">
        <v>4</v>
      </c>
    </row>
    <row r="1127" spans="1:19" x14ac:dyDescent="0.3">
      <c r="A1127" s="1">
        <v>42125</v>
      </c>
      <c r="B1127">
        <v>2015</v>
      </c>
      <c r="C1127" t="s">
        <v>26</v>
      </c>
      <c r="D1127" s="4">
        <v>386050</v>
      </c>
      <c r="E1127" s="2">
        <v>508500</v>
      </c>
      <c r="F1127" t="s">
        <v>19</v>
      </c>
      <c r="G1127" t="s">
        <v>20</v>
      </c>
      <c r="H1127">
        <v>3</v>
      </c>
      <c r="I1127">
        <v>2</v>
      </c>
      <c r="J1127">
        <v>990</v>
      </c>
      <c r="K1127" s="5">
        <v>1.3402249999999999E-2</v>
      </c>
      <c r="L1127" t="s">
        <v>32</v>
      </c>
      <c r="M1127" s="4">
        <v>122450</v>
      </c>
      <c r="N1127" s="3">
        <v>513.63639999999998</v>
      </c>
      <c r="O1127" t="s">
        <v>22</v>
      </c>
      <c r="P1127" t="s">
        <v>24</v>
      </c>
      <c r="Q1127" t="s">
        <v>24</v>
      </c>
      <c r="R1127" t="s">
        <v>47</v>
      </c>
      <c r="S1127">
        <v>5</v>
      </c>
    </row>
    <row r="1128" spans="1:19" x14ac:dyDescent="0.3">
      <c r="A1128" s="1">
        <v>42126</v>
      </c>
      <c r="B1128">
        <v>2015</v>
      </c>
      <c r="C1128" t="s">
        <v>40</v>
      </c>
      <c r="D1128" s="4">
        <v>991340</v>
      </c>
      <c r="E1128" s="2">
        <v>1282500</v>
      </c>
      <c r="F1128" t="s">
        <v>19</v>
      </c>
      <c r="G1128" t="s">
        <v>20</v>
      </c>
      <c r="H1128">
        <v>3</v>
      </c>
      <c r="I1128">
        <v>3</v>
      </c>
      <c r="J1128">
        <v>984</v>
      </c>
      <c r="K1128" s="5">
        <v>1.3402249999999999E-2</v>
      </c>
      <c r="L1128" t="s">
        <v>32</v>
      </c>
      <c r="M1128" s="4">
        <v>291160</v>
      </c>
      <c r="N1128" s="3">
        <v>1303.3536999999999</v>
      </c>
      <c r="O1128" t="s">
        <v>22</v>
      </c>
      <c r="P1128" t="s">
        <v>28</v>
      </c>
      <c r="Q1128" t="s">
        <v>24</v>
      </c>
      <c r="R1128" t="s">
        <v>47</v>
      </c>
      <c r="S1128">
        <v>5</v>
      </c>
    </row>
    <row r="1129" spans="1:19" x14ac:dyDescent="0.3">
      <c r="A1129" s="1">
        <v>42127</v>
      </c>
      <c r="B1129">
        <v>2015</v>
      </c>
      <c r="C1129" t="s">
        <v>26</v>
      </c>
      <c r="D1129" s="4">
        <v>1158150</v>
      </c>
      <c r="E1129" s="2">
        <v>1435000</v>
      </c>
      <c r="F1129" t="s">
        <v>19</v>
      </c>
      <c r="G1129" t="s">
        <v>20</v>
      </c>
      <c r="H1129">
        <v>3</v>
      </c>
      <c r="I1129">
        <v>3</v>
      </c>
      <c r="J1129">
        <v>1111.6589814177564</v>
      </c>
      <c r="K1129" s="5">
        <v>1.3402249999999999E-2</v>
      </c>
      <c r="L1129" t="s">
        <v>27</v>
      </c>
      <c r="M1129" s="4">
        <v>276850</v>
      </c>
      <c r="N1129" s="3">
        <v>1290.8634999999999</v>
      </c>
      <c r="O1129" t="s">
        <v>22</v>
      </c>
      <c r="P1129" t="s">
        <v>28</v>
      </c>
      <c r="Q1129" t="s">
        <v>24</v>
      </c>
      <c r="R1129" t="s">
        <v>47</v>
      </c>
      <c r="S1129">
        <v>5</v>
      </c>
    </row>
    <row r="1130" spans="1:19" x14ac:dyDescent="0.3">
      <c r="A1130" s="1">
        <v>42130</v>
      </c>
      <c r="B1130">
        <v>2015</v>
      </c>
      <c r="C1130" t="s">
        <v>39</v>
      </c>
      <c r="D1130" s="4">
        <v>209440</v>
      </c>
      <c r="E1130" s="2">
        <v>274000</v>
      </c>
      <c r="F1130" t="s">
        <v>19</v>
      </c>
      <c r="G1130" t="s">
        <v>20</v>
      </c>
      <c r="H1130">
        <v>3</v>
      </c>
      <c r="I1130">
        <v>3</v>
      </c>
      <c r="J1130">
        <v>1111.6589814177564</v>
      </c>
      <c r="K1130" s="5">
        <v>1.3402249999999999E-2</v>
      </c>
      <c r="L1130" t="s">
        <v>21</v>
      </c>
      <c r="M1130" s="4">
        <v>64560</v>
      </c>
      <c r="N1130" s="3">
        <v>246.4785</v>
      </c>
      <c r="O1130" t="s">
        <v>22</v>
      </c>
      <c r="P1130" t="s">
        <v>24</v>
      </c>
      <c r="Q1130" t="s">
        <v>24</v>
      </c>
      <c r="R1130" t="s">
        <v>47</v>
      </c>
      <c r="S1130">
        <v>5</v>
      </c>
    </row>
    <row r="1131" spans="1:19" x14ac:dyDescent="0.3">
      <c r="A1131" s="1">
        <v>42131</v>
      </c>
      <c r="B1131">
        <v>2015</v>
      </c>
      <c r="C1131" t="s">
        <v>35</v>
      </c>
      <c r="D1131" s="4">
        <v>632240</v>
      </c>
      <c r="E1131" s="2">
        <v>1190000</v>
      </c>
      <c r="F1131" t="s">
        <v>19</v>
      </c>
      <c r="G1131" t="s">
        <v>20</v>
      </c>
      <c r="H1131">
        <v>3</v>
      </c>
      <c r="I1131">
        <v>2</v>
      </c>
      <c r="J1131">
        <v>930</v>
      </c>
      <c r="K1131" s="5">
        <v>1.3402249999999999E-2</v>
      </c>
      <c r="L1131" t="s">
        <v>27</v>
      </c>
      <c r="M1131" s="4">
        <v>557760</v>
      </c>
      <c r="N1131" s="3">
        <v>1279.5699</v>
      </c>
      <c r="O1131" t="s">
        <v>22</v>
      </c>
      <c r="P1131" t="s">
        <v>28</v>
      </c>
      <c r="Q1131" t="s">
        <v>24</v>
      </c>
      <c r="R1131" t="s">
        <v>47</v>
      </c>
      <c r="S1131">
        <v>5</v>
      </c>
    </row>
    <row r="1132" spans="1:19" x14ac:dyDescent="0.3">
      <c r="A1132" s="1">
        <v>42132</v>
      </c>
      <c r="B1132">
        <v>2015</v>
      </c>
      <c r="C1132" t="s">
        <v>35</v>
      </c>
      <c r="D1132" s="4">
        <v>548310</v>
      </c>
      <c r="E1132" s="2">
        <v>800000</v>
      </c>
      <c r="F1132" t="s">
        <v>42</v>
      </c>
      <c r="G1132" t="s">
        <v>43</v>
      </c>
      <c r="H1132">
        <v>8</v>
      </c>
      <c r="I1132">
        <v>7</v>
      </c>
      <c r="J1132">
        <v>2681</v>
      </c>
      <c r="K1132" s="5">
        <v>1.3402249999999999E-2</v>
      </c>
      <c r="L1132" t="s">
        <v>32</v>
      </c>
      <c r="M1132" s="4">
        <v>251690</v>
      </c>
      <c r="N1132" s="3">
        <v>298.39609999999999</v>
      </c>
      <c r="O1132" t="s">
        <v>22</v>
      </c>
      <c r="P1132" t="s">
        <v>28</v>
      </c>
      <c r="Q1132" t="s">
        <v>34</v>
      </c>
      <c r="R1132" t="s">
        <v>47</v>
      </c>
      <c r="S1132">
        <v>5</v>
      </c>
    </row>
    <row r="1133" spans="1:19" x14ac:dyDescent="0.3">
      <c r="A1133" s="1">
        <v>42133</v>
      </c>
      <c r="B1133">
        <v>2015</v>
      </c>
      <c r="C1133" t="s">
        <v>40</v>
      </c>
      <c r="D1133" s="4">
        <v>357490</v>
      </c>
      <c r="E1133" s="2">
        <v>460000</v>
      </c>
      <c r="F1133" t="s">
        <v>19</v>
      </c>
      <c r="G1133" t="s">
        <v>20</v>
      </c>
      <c r="H1133">
        <v>3</v>
      </c>
      <c r="I1133">
        <v>3</v>
      </c>
      <c r="J1133">
        <v>1031</v>
      </c>
      <c r="K1133" s="5">
        <v>1.3402249999999999E-2</v>
      </c>
      <c r="L1133" t="s">
        <v>32</v>
      </c>
      <c r="M1133" s="4">
        <v>102510</v>
      </c>
      <c r="N1133" s="3">
        <v>446.16879999999998</v>
      </c>
      <c r="O1133" t="s">
        <v>22</v>
      </c>
      <c r="P1133" t="s">
        <v>24</v>
      </c>
      <c r="Q1133" t="s">
        <v>24</v>
      </c>
      <c r="R1133" t="s">
        <v>47</v>
      </c>
      <c r="S1133">
        <v>5</v>
      </c>
    </row>
    <row r="1134" spans="1:19" x14ac:dyDescent="0.3">
      <c r="A1134" s="1">
        <v>42134</v>
      </c>
      <c r="B1134">
        <v>2015</v>
      </c>
      <c r="C1134" t="s">
        <v>39</v>
      </c>
      <c r="D1134" s="4">
        <v>161910</v>
      </c>
      <c r="E1134" s="2">
        <v>177900</v>
      </c>
      <c r="F1134" t="s">
        <v>19</v>
      </c>
      <c r="G1134" t="s">
        <v>20</v>
      </c>
      <c r="H1134">
        <v>3</v>
      </c>
      <c r="I1134">
        <v>1</v>
      </c>
      <c r="J1134">
        <v>1082</v>
      </c>
      <c r="K1134" s="5">
        <v>1.3402249999999999E-2</v>
      </c>
      <c r="L1134" t="s">
        <v>27</v>
      </c>
      <c r="M1134" s="4">
        <v>15990</v>
      </c>
      <c r="N1134" s="3">
        <v>164.4177</v>
      </c>
      <c r="O1134" t="s">
        <v>22</v>
      </c>
      <c r="P1134" t="s">
        <v>23</v>
      </c>
      <c r="Q1134" t="s">
        <v>24</v>
      </c>
      <c r="R1134" t="s">
        <v>47</v>
      </c>
      <c r="S1134">
        <v>5</v>
      </c>
    </row>
    <row r="1135" spans="1:19" x14ac:dyDescent="0.3">
      <c r="A1135" s="1">
        <v>42138</v>
      </c>
      <c r="B1135">
        <v>2015</v>
      </c>
      <c r="C1135" t="s">
        <v>40</v>
      </c>
      <c r="D1135" s="4">
        <v>351120</v>
      </c>
      <c r="E1135" s="2">
        <v>500000</v>
      </c>
      <c r="F1135" t="s">
        <v>19</v>
      </c>
      <c r="G1135" t="s">
        <v>20</v>
      </c>
      <c r="H1135">
        <v>3</v>
      </c>
      <c r="I1135">
        <v>2</v>
      </c>
      <c r="J1135">
        <v>971</v>
      </c>
      <c r="K1135" s="5">
        <v>1.3402249999999999E-2</v>
      </c>
      <c r="L1135" t="s">
        <v>21</v>
      </c>
      <c r="M1135" s="4">
        <v>148880</v>
      </c>
      <c r="N1135" s="3">
        <v>514.93309999999997</v>
      </c>
      <c r="O1135" t="s">
        <v>22</v>
      </c>
      <c r="P1135" t="s">
        <v>24</v>
      </c>
      <c r="Q1135" t="s">
        <v>24</v>
      </c>
      <c r="R1135" t="s">
        <v>47</v>
      </c>
      <c r="S1135">
        <v>5</v>
      </c>
    </row>
    <row r="1136" spans="1:19" x14ac:dyDescent="0.3">
      <c r="A1136" s="1">
        <v>42139</v>
      </c>
      <c r="B1136">
        <v>2015</v>
      </c>
      <c r="C1136" t="s">
        <v>29</v>
      </c>
      <c r="D1136" s="4">
        <v>159780</v>
      </c>
      <c r="E1136" s="2">
        <v>46666</v>
      </c>
      <c r="F1136" t="s">
        <v>30</v>
      </c>
      <c r="G1136" t="s">
        <v>31</v>
      </c>
      <c r="H1136">
        <v>4</v>
      </c>
      <c r="I1136">
        <v>4</v>
      </c>
      <c r="J1136">
        <v>1345</v>
      </c>
      <c r="K1136" s="5">
        <v>1.3402249999999999E-2</v>
      </c>
      <c r="L1136" t="s">
        <v>32</v>
      </c>
      <c r="M1136" s="4">
        <v>-113114</v>
      </c>
      <c r="N1136" s="3">
        <v>34.695900000000002</v>
      </c>
      <c r="O1136" t="s">
        <v>33</v>
      </c>
      <c r="P1136" t="s">
        <v>23</v>
      </c>
      <c r="Q1136" t="s">
        <v>34</v>
      </c>
      <c r="R1136" t="s">
        <v>47</v>
      </c>
      <c r="S1136">
        <v>5</v>
      </c>
    </row>
    <row r="1137" spans="1:19" x14ac:dyDescent="0.3">
      <c r="A1137" s="1">
        <v>42140</v>
      </c>
      <c r="B1137">
        <v>2015</v>
      </c>
      <c r="C1137" t="s">
        <v>35</v>
      </c>
      <c r="D1137" s="4">
        <v>508340</v>
      </c>
      <c r="E1137" s="2">
        <v>455000</v>
      </c>
      <c r="F1137" t="s">
        <v>19</v>
      </c>
      <c r="G1137" t="s">
        <v>20</v>
      </c>
      <c r="H1137">
        <v>3</v>
      </c>
      <c r="I1137">
        <v>1</v>
      </c>
      <c r="J1137">
        <v>990</v>
      </c>
      <c r="K1137" s="5">
        <v>1.3402249999999999E-2</v>
      </c>
      <c r="L1137" t="s">
        <v>38</v>
      </c>
      <c r="M1137" s="4">
        <v>-53340</v>
      </c>
      <c r="N1137" s="3">
        <v>459.596</v>
      </c>
      <c r="O1137" t="s">
        <v>33</v>
      </c>
      <c r="P1137" t="s">
        <v>24</v>
      </c>
      <c r="Q1137" t="s">
        <v>24</v>
      </c>
      <c r="R1137" t="s">
        <v>47</v>
      </c>
      <c r="S1137">
        <v>5</v>
      </c>
    </row>
    <row r="1138" spans="1:19" x14ac:dyDescent="0.3">
      <c r="A1138" s="1">
        <v>42141</v>
      </c>
      <c r="B1138">
        <v>2015</v>
      </c>
      <c r="C1138" t="s">
        <v>39</v>
      </c>
      <c r="D1138" s="4">
        <v>716660</v>
      </c>
      <c r="E1138" s="2">
        <v>1187500</v>
      </c>
      <c r="F1138" t="s">
        <v>19</v>
      </c>
      <c r="G1138" t="s">
        <v>20</v>
      </c>
      <c r="H1138">
        <v>3</v>
      </c>
      <c r="I1138">
        <v>3</v>
      </c>
      <c r="J1138">
        <v>1074</v>
      </c>
      <c r="K1138" s="5">
        <v>1.3402249999999999E-2</v>
      </c>
      <c r="L1138" t="s">
        <v>21</v>
      </c>
      <c r="M1138" s="4">
        <v>470840</v>
      </c>
      <c r="N1138" s="3">
        <v>1105.6796999999999</v>
      </c>
      <c r="O1138" t="s">
        <v>22</v>
      </c>
      <c r="P1138" t="s">
        <v>28</v>
      </c>
      <c r="Q1138" t="s">
        <v>24</v>
      </c>
      <c r="R1138" t="s">
        <v>47</v>
      </c>
      <c r="S1138">
        <v>5</v>
      </c>
    </row>
    <row r="1139" spans="1:19" x14ac:dyDescent="0.3">
      <c r="A1139" s="1">
        <v>42144</v>
      </c>
      <c r="B1139">
        <v>2015</v>
      </c>
      <c r="C1139" t="s">
        <v>35</v>
      </c>
      <c r="D1139" s="4">
        <v>2138290</v>
      </c>
      <c r="E1139" s="2">
        <v>2565000</v>
      </c>
      <c r="F1139" t="s">
        <v>19</v>
      </c>
      <c r="G1139" t="s">
        <v>20</v>
      </c>
      <c r="H1139">
        <v>3</v>
      </c>
      <c r="I1139">
        <v>3</v>
      </c>
      <c r="J1139">
        <v>1061</v>
      </c>
      <c r="K1139" s="5">
        <v>1.3402249999999999E-2</v>
      </c>
      <c r="L1139" t="s">
        <v>27</v>
      </c>
      <c r="M1139" s="4">
        <v>426710</v>
      </c>
      <c r="N1139" s="3">
        <v>2417.5306</v>
      </c>
      <c r="O1139" t="s">
        <v>22</v>
      </c>
      <c r="P1139" t="s">
        <v>28</v>
      </c>
      <c r="Q1139" t="s">
        <v>24</v>
      </c>
      <c r="R1139" t="s">
        <v>47</v>
      </c>
      <c r="S1139">
        <v>5</v>
      </c>
    </row>
    <row r="1140" spans="1:19" x14ac:dyDescent="0.3">
      <c r="A1140" s="1">
        <v>42145</v>
      </c>
      <c r="B1140">
        <v>2015</v>
      </c>
      <c r="C1140" t="s">
        <v>39</v>
      </c>
      <c r="D1140" s="4">
        <v>198450</v>
      </c>
      <c r="E1140" s="2">
        <v>185000</v>
      </c>
      <c r="F1140" t="s">
        <v>19</v>
      </c>
      <c r="G1140" t="s">
        <v>20</v>
      </c>
      <c r="H1140">
        <v>3</v>
      </c>
      <c r="I1140">
        <v>2</v>
      </c>
      <c r="J1140">
        <v>902</v>
      </c>
      <c r="K1140" s="5">
        <v>1.3402249999999999E-2</v>
      </c>
      <c r="L1140" t="s">
        <v>38</v>
      </c>
      <c r="M1140" s="4">
        <v>-13450</v>
      </c>
      <c r="N1140" s="3">
        <v>205.09979999999999</v>
      </c>
      <c r="O1140" t="s">
        <v>33</v>
      </c>
      <c r="P1140" t="s">
        <v>23</v>
      </c>
      <c r="Q1140" t="s">
        <v>24</v>
      </c>
      <c r="R1140" t="s">
        <v>47</v>
      </c>
      <c r="S1140">
        <v>5</v>
      </c>
    </row>
    <row r="1141" spans="1:19" x14ac:dyDescent="0.3">
      <c r="A1141" s="1">
        <v>42147</v>
      </c>
      <c r="B1141">
        <v>2015</v>
      </c>
      <c r="C1141" t="s">
        <v>52</v>
      </c>
      <c r="D1141" s="4">
        <v>235340</v>
      </c>
      <c r="E1141" s="2">
        <v>360000</v>
      </c>
      <c r="F1141" t="s">
        <v>19</v>
      </c>
      <c r="G1141" t="s">
        <v>20</v>
      </c>
      <c r="H1141">
        <v>3</v>
      </c>
      <c r="I1141">
        <v>2</v>
      </c>
      <c r="J1141">
        <v>966</v>
      </c>
      <c r="K1141" s="5">
        <v>1.3402249999999999E-2</v>
      </c>
      <c r="L1141" t="s">
        <v>27</v>
      </c>
      <c r="M1141" s="4">
        <v>124660</v>
      </c>
      <c r="N1141" s="3">
        <v>372.67079999999999</v>
      </c>
      <c r="O1141" t="s">
        <v>22</v>
      </c>
      <c r="P1141" t="s">
        <v>24</v>
      </c>
      <c r="Q1141" t="s">
        <v>24</v>
      </c>
      <c r="R1141" t="s">
        <v>47</v>
      </c>
      <c r="S1141">
        <v>5</v>
      </c>
    </row>
    <row r="1142" spans="1:19" x14ac:dyDescent="0.3">
      <c r="A1142" s="1">
        <v>42148</v>
      </c>
      <c r="B1142">
        <v>2015</v>
      </c>
      <c r="C1142" t="s">
        <v>39</v>
      </c>
      <c r="D1142" s="4">
        <v>523040</v>
      </c>
      <c r="E1142" s="2">
        <v>745000</v>
      </c>
      <c r="F1142" t="s">
        <v>19</v>
      </c>
      <c r="G1142" t="s">
        <v>20</v>
      </c>
      <c r="H1142">
        <v>3</v>
      </c>
      <c r="I1142">
        <v>1</v>
      </c>
      <c r="J1142">
        <v>1099</v>
      </c>
      <c r="K1142" s="5">
        <v>1.3402249999999999E-2</v>
      </c>
      <c r="L1142" t="s">
        <v>32</v>
      </c>
      <c r="M1142" s="4">
        <v>221960</v>
      </c>
      <c r="N1142" s="3">
        <v>677.88900000000001</v>
      </c>
      <c r="O1142" t="s">
        <v>22</v>
      </c>
      <c r="P1142" t="s">
        <v>28</v>
      </c>
      <c r="Q1142" t="s">
        <v>24</v>
      </c>
      <c r="R1142" t="s">
        <v>47</v>
      </c>
      <c r="S1142">
        <v>5</v>
      </c>
    </row>
    <row r="1143" spans="1:19" x14ac:dyDescent="0.3">
      <c r="A1143" s="1">
        <v>42152</v>
      </c>
      <c r="B1143">
        <v>2015</v>
      </c>
      <c r="C1143" t="s">
        <v>29</v>
      </c>
      <c r="D1143" s="4">
        <v>106440</v>
      </c>
      <c r="E1143" s="2">
        <v>90000</v>
      </c>
      <c r="F1143" t="s">
        <v>19</v>
      </c>
      <c r="G1143" t="s">
        <v>20</v>
      </c>
      <c r="H1143">
        <v>3</v>
      </c>
      <c r="I1143">
        <v>1</v>
      </c>
      <c r="J1143">
        <v>1048</v>
      </c>
      <c r="K1143" s="5">
        <v>1.3402249999999999E-2</v>
      </c>
      <c r="L1143" t="s">
        <v>38</v>
      </c>
      <c r="M1143" s="4">
        <v>-16440</v>
      </c>
      <c r="N1143" s="3">
        <v>85.877899999999997</v>
      </c>
      <c r="O1143" t="s">
        <v>33</v>
      </c>
      <c r="P1143" t="s">
        <v>23</v>
      </c>
      <c r="Q1143" t="s">
        <v>24</v>
      </c>
      <c r="R1143" t="s">
        <v>47</v>
      </c>
      <c r="S1143">
        <v>5</v>
      </c>
    </row>
    <row r="1144" spans="1:19" x14ac:dyDescent="0.3">
      <c r="A1144" s="1">
        <v>42155</v>
      </c>
      <c r="B1144">
        <v>2015</v>
      </c>
      <c r="C1144" t="s">
        <v>39</v>
      </c>
      <c r="D1144" s="4">
        <v>398230</v>
      </c>
      <c r="E1144" s="2">
        <v>238000</v>
      </c>
      <c r="F1144" t="s">
        <v>19</v>
      </c>
      <c r="G1144" t="s">
        <v>20</v>
      </c>
      <c r="H1144">
        <v>3</v>
      </c>
      <c r="I1144">
        <v>3</v>
      </c>
      <c r="J1144">
        <v>1056</v>
      </c>
      <c r="K1144" s="5">
        <v>1.3402249999999999E-2</v>
      </c>
      <c r="L1144" t="s">
        <v>21</v>
      </c>
      <c r="M1144" s="4">
        <v>-160230</v>
      </c>
      <c r="N1144" s="3">
        <v>225.37880000000001</v>
      </c>
      <c r="O1144" t="s">
        <v>33</v>
      </c>
      <c r="P1144" t="s">
        <v>24</v>
      </c>
      <c r="Q1144" t="s">
        <v>24</v>
      </c>
      <c r="R1144" t="s">
        <v>47</v>
      </c>
      <c r="S1144">
        <v>5</v>
      </c>
    </row>
    <row r="1145" spans="1:19" x14ac:dyDescent="0.3">
      <c r="A1145" s="1">
        <v>42158</v>
      </c>
      <c r="B1145">
        <v>2015</v>
      </c>
      <c r="C1145" t="s">
        <v>52</v>
      </c>
      <c r="D1145" s="4">
        <v>167860</v>
      </c>
      <c r="E1145" s="2">
        <v>115000</v>
      </c>
      <c r="F1145" t="s">
        <v>19</v>
      </c>
      <c r="G1145" t="s">
        <v>20</v>
      </c>
      <c r="H1145">
        <v>3</v>
      </c>
      <c r="I1145">
        <v>3</v>
      </c>
      <c r="J1145">
        <v>908</v>
      </c>
      <c r="K1145" s="5">
        <v>1.3402249999999999E-2</v>
      </c>
      <c r="L1145" t="s">
        <v>27</v>
      </c>
      <c r="M1145" s="4">
        <v>-52860</v>
      </c>
      <c r="N1145" s="3">
        <v>126.652</v>
      </c>
      <c r="O1145" t="s">
        <v>33</v>
      </c>
      <c r="P1145" t="s">
        <v>23</v>
      </c>
      <c r="Q1145" t="s">
        <v>24</v>
      </c>
      <c r="R1145" t="s">
        <v>48</v>
      </c>
      <c r="S1145">
        <v>6</v>
      </c>
    </row>
    <row r="1146" spans="1:19" x14ac:dyDescent="0.3">
      <c r="A1146" s="1">
        <v>42159</v>
      </c>
      <c r="B1146">
        <v>2015</v>
      </c>
      <c r="C1146" t="s">
        <v>40</v>
      </c>
      <c r="D1146" s="4">
        <v>456960</v>
      </c>
      <c r="E1146" s="2">
        <v>596000</v>
      </c>
      <c r="F1146" t="s">
        <v>19</v>
      </c>
      <c r="G1146" t="s">
        <v>20</v>
      </c>
      <c r="H1146">
        <v>3</v>
      </c>
      <c r="I1146">
        <v>3</v>
      </c>
      <c r="J1146">
        <v>1098</v>
      </c>
      <c r="K1146" s="5">
        <v>1.3402249999999999E-2</v>
      </c>
      <c r="L1146" t="s">
        <v>32</v>
      </c>
      <c r="M1146" s="4">
        <v>139040</v>
      </c>
      <c r="N1146" s="3">
        <v>542.80510000000004</v>
      </c>
      <c r="O1146" t="s">
        <v>22</v>
      </c>
      <c r="P1146" t="s">
        <v>24</v>
      </c>
      <c r="Q1146" t="s">
        <v>24</v>
      </c>
      <c r="R1146" t="s">
        <v>48</v>
      </c>
      <c r="S1146">
        <v>6</v>
      </c>
    </row>
    <row r="1147" spans="1:19" x14ac:dyDescent="0.3">
      <c r="A1147" s="1">
        <v>42160</v>
      </c>
      <c r="B1147">
        <v>2015</v>
      </c>
      <c r="C1147" t="s">
        <v>40</v>
      </c>
      <c r="D1147" s="4">
        <v>3941350</v>
      </c>
      <c r="E1147" s="2">
        <v>5600000</v>
      </c>
      <c r="F1147" t="s">
        <v>19</v>
      </c>
      <c r="G1147" t="s">
        <v>20</v>
      </c>
      <c r="H1147">
        <v>3</v>
      </c>
      <c r="I1147">
        <v>2</v>
      </c>
      <c r="J1147">
        <v>1046</v>
      </c>
      <c r="K1147" s="5">
        <v>1.3402249999999999E-2</v>
      </c>
      <c r="L1147" t="s">
        <v>27</v>
      </c>
      <c r="M1147" s="4">
        <v>1658650</v>
      </c>
      <c r="N1147" s="3">
        <v>5353.7285000000002</v>
      </c>
      <c r="O1147" t="s">
        <v>22</v>
      </c>
      <c r="P1147" t="s">
        <v>28</v>
      </c>
      <c r="Q1147" t="s">
        <v>24</v>
      </c>
      <c r="R1147" t="s">
        <v>48</v>
      </c>
      <c r="S1147">
        <v>6</v>
      </c>
    </row>
    <row r="1148" spans="1:19" x14ac:dyDescent="0.3">
      <c r="A1148" s="1">
        <v>42161</v>
      </c>
      <c r="B1148">
        <v>2015</v>
      </c>
      <c r="C1148" t="s">
        <v>52</v>
      </c>
      <c r="D1148" s="4">
        <v>123060</v>
      </c>
      <c r="E1148" s="2">
        <v>132000</v>
      </c>
      <c r="F1148" t="s">
        <v>19</v>
      </c>
      <c r="G1148" t="s">
        <v>20</v>
      </c>
      <c r="H1148">
        <v>3</v>
      </c>
      <c r="I1148">
        <v>2</v>
      </c>
      <c r="J1148">
        <v>931</v>
      </c>
      <c r="K1148" s="5">
        <v>1.3402249999999999E-2</v>
      </c>
      <c r="L1148" t="s">
        <v>21</v>
      </c>
      <c r="M1148" s="4">
        <v>8940</v>
      </c>
      <c r="N1148" s="3">
        <v>141.78299999999999</v>
      </c>
      <c r="O1148" t="s">
        <v>22</v>
      </c>
      <c r="P1148" t="s">
        <v>23</v>
      </c>
      <c r="Q1148" t="s">
        <v>24</v>
      </c>
      <c r="R1148" t="s">
        <v>48</v>
      </c>
      <c r="S1148">
        <v>6</v>
      </c>
    </row>
    <row r="1149" spans="1:19" x14ac:dyDescent="0.3">
      <c r="A1149" s="1">
        <v>42162</v>
      </c>
      <c r="B1149">
        <v>2015</v>
      </c>
      <c r="C1149" t="s">
        <v>39</v>
      </c>
      <c r="D1149" s="4">
        <v>416080</v>
      </c>
      <c r="E1149" s="2">
        <v>650000</v>
      </c>
      <c r="F1149" t="s">
        <v>19</v>
      </c>
      <c r="G1149" t="s">
        <v>20</v>
      </c>
      <c r="H1149">
        <v>3</v>
      </c>
      <c r="I1149">
        <v>2</v>
      </c>
      <c r="J1149">
        <v>928</v>
      </c>
      <c r="K1149" s="5">
        <v>1.3402249999999999E-2</v>
      </c>
      <c r="L1149" t="s">
        <v>38</v>
      </c>
      <c r="M1149" s="4">
        <v>233920</v>
      </c>
      <c r="N1149" s="3">
        <v>700.43100000000004</v>
      </c>
      <c r="O1149" t="s">
        <v>22</v>
      </c>
      <c r="P1149" t="s">
        <v>28</v>
      </c>
      <c r="Q1149" t="s">
        <v>24</v>
      </c>
      <c r="R1149" t="s">
        <v>48</v>
      </c>
      <c r="S1149">
        <v>6</v>
      </c>
    </row>
    <row r="1150" spans="1:19" x14ac:dyDescent="0.3">
      <c r="A1150" s="1">
        <v>42165</v>
      </c>
      <c r="B1150">
        <v>2015</v>
      </c>
      <c r="C1150" t="s">
        <v>52</v>
      </c>
      <c r="D1150" s="4">
        <v>220640</v>
      </c>
      <c r="E1150" s="2">
        <v>412000</v>
      </c>
      <c r="F1150" t="s">
        <v>19</v>
      </c>
      <c r="G1150" t="s">
        <v>20</v>
      </c>
      <c r="H1150">
        <v>3</v>
      </c>
      <c r="I1150">
        <v>3</v>
      </c>
      <c r="J1150">
        <v>952</v>
      </c>
      <c r="K1150" s="5">
        <v>1.3402249999999999E-2</v>
      </c>
      <c r="L1150" t="s">
        <v>21</v>
      </c>
      <c r="M1150" s="4">
        <v>191360</v>
      </c>
      <c r="N1150" s="3">
        <v>432.7731</v>
      </c>
      <c r="O1150" t="s">
        <v>22</v>
      </c>
      <c r="P1150" t="s">
        <v>24</v>
      </c>
      <c r="Q1150" t="s">
        <v>24</v>
      </c>
      <c r="R1150" t="s">
        <v>48</v>
      </c>
      <c r="S1150">
        <v>6</v>
      </c>
    </row>
    <row r="1151" spans="1:19" x14ac:dyDescent="0.3">
      <c r="A1151" s="1">
        <v>42166</v>
      </c>
      <c r="B1151">
        <v>2015</v>
      </c>
      <c r="C1151" t="s">
        <v>29</v>
      </c>
      <c r="D1151" s="4">
        <v>241410</v>
      </c>
      <c r="E1151" s="2">
        <v>288660</v>
      </c>
      <c r="F1151" t="s">
        <v>30</v>
      </c>
      <c r="G1151" t="s">
        <v>31</v>
      </c>
      <c r="H1151">
        <v>4</v>
      </c>
      <c r="I1151">
        <v>4</v>
      </c>
      <c r="J1151">
        <v>1458</v>
      </c>
      <c r="K1151" s="5">
        <v>1.3402249999999999E-2</v>
      </c>
      <c r="L1151" t="s">
        <v>32</v>
      </c>
      <c r="M1151" s="4">
        <v>47250</v>
      </c>
      <c r="N1151" s="3">
        <v>197.98349999999999</v>
      </c>
      <c r="O1151" t="s">
        <v>22</v>
      </c>
      <c r="P1151" t="s">
        <v>24</v>
      </c>
      <c r="Q1151" t="s">
        <v>34</v>
      </c>
      <c r="R1151" t="s">
        <v>48</v>
      </c>
      <c r="S1151">
        <v>6</v>
      </c>
    </row>
    <row r="1152" spans="1:19" x14ac:dyDescent="0.3">
      <c r="A1152" s="1">
        <v>42167</v>
      </c>
      <c r="B1152">
        <v>2015</v>
      </c>
      <c r="C1152" t="s">
        <v>29</v>
      </c>
      <c r="D1152" s="4">
        <v>156810</v>
      </c>
      <c r="E1152" s="2">
        <v>65000</v>
      </c>
      <c r="F1152" t="s">
        <v>19</v>
      </c>
      <c r="G1152" t="s">
        <v>20</v>
      </c>
      <c r="H1152">
        <v>3</v>
      </c>
      <c r="I1152">
        <v>3</v>
      </c>
      <c r="J1152">
        <v>1073</v>
      </c>
      <c r="K1152" s="5">
        <v>1.3402249999999999E-2</v>
      </c>
      <c r="L1152" t="s">
        <v>32</v>
      </c>
      <c r="M1152" s="4">
        <v>-91810</v>
      </c>
      <c r="N1152" s="3">
        <v>60.577800000000003</v>
      </c>
      <c r="O1152" t="s">
        <v>33</v>
      </c>
      <c r="P1152" t="s">
        <v>23</v>
      </c>
      <c r="Q1152" t="s">
        <v>24</v>
      </c>
      <c r="R1152" t="s">
        <v>48</v>
      </c>
      <c r="S1152">
        <v>6</v>
      </c>
    </row>
    <row r="1153" spans="1:19" x14ac:dyDescent="0.3">
      <c r="A1153" s="1">
        <v>42168</v>
      </c>
      <c r="B1153">
        <v>2015</v>
      </c>
      <c r="C1153" t="s">
        <v>26</v>
      </c>
      <c r="D1153" s="4">
        <v>266840</v>
      </c>
      <c r="E1153" s="2">
        <v>372500</v>
      </c>
      <c r="F1153" t="s">
        <v>19</v>
      </c>
      <c r="G1153" t="s">
        <v>20</v>
      </c>
      <c r="H1153">
        <v>3</v>
      </c>
      <c r="I1153">
        <v>2</v>
      </c>
      <c r="J1153">
        <v>962</v>
      </c>
      <c r="K1153" s="5">
        <v>1.3402249999999999E-2</v>
      </c>
      <c r="L1153" t="s">
        <v>21</v>
      </c>
      <c r="M1153" s="4">
        <v>105660</v>
      </c>
      <c r="N1153" s="3">
        <v>387.21409999999997</v>
      </c>
      <c r="O1153" t="s">
        <v>22</v>
      </c>
      <c r="P1153" t="s">
        <v>24</v>
      </c>
      <c r="Q1153" t="s">
        <v>24</v>
      </c>
      <c r="R1153" t="s">
        <v>48</v>
      </c>
      <c r="S1153">
        <v>6</v>
      </c>
    </row>
    <row r="1154" spans="1:19" x14ac:dyDescent="0.3">
      <c r="A1154" s="1">
        <v>42169</v>
      </c>
      <c r="B1154">
        <v>2015</v>
      </c>
      <c r="C1154" t="s">
        <v>40</v>
      </c>
      <c r="D1154" s="4">
        <v>1176770</v>
      </c>
      <c r="E1154" s="2">
        <v>1600000</v>
      </c>
      <c r="F1154" t="s">
        <v>19</v>
      </c>
      <c r="G1154" t="s">
        <v>20</v>
      </c>
      <c r="H1154">
        <v>3</v>
      </c>
      <c r="I1154">
        <v>1</v>
      </c>
      <c r="J1154">
        <v>1066</v>
      </c>
      <c r="K1154" s="5">
        <v>1.3402249999999999E-2</v>
      </c>
      <c r="L1154" t="s">
        <v>21</v>
      </c>
      <c r="M1154" s="4">
        <v>423230</v>
      </c>
      <c r="N1154" s="3">
        <v>1500.9381000000001</v>
      </c>
      <c r="O1154" t="s">
        <v>22</v>
      </c>
      <c r="P1154" t="s">
        <v>28</v>
      </c>
      <c r="Q1154" t="s">
        <v>24</v>
      </c>
      <c r="R1154" t="s">
        <v>48</v>
      </c>
      <c r="S1154">
        <v>6</v>
      </c>
    </row>
    <row r="1155" spans="1:19" x14ac:dyDescent="0.3">
      <c r="A1155" s="1">
        <v>42173</v>
      </c>
      <c r="B1155">
        <v>2015</v>
      </c>
      <c r="C1155" t="s">
        <v>52</v>
      </c>
      <c r="D1155" s="4">
        <v>244300</v>
      </c>
      <c r="E1155" s="2">
        <v>420000</v>
      </c>
      <c r="F1155" t="s">
        <v>19</v>
      </c>
      <c r="G1155" t="s">
        <v>20</v>
      </c>
      <c r="H1155">
        <v>3</v>
      </c>
      <c r="I1155">
        <v>2</v>
      </c>
      <c r="J1155">
        <v>1111.6589814177564</v>
      </c>
      <c r="K1155" s="5">
        <v>1.3402249999999999E-2</v>
      </c>
      <c r="L1155" t="s">
        <v>32</v>
      </c>
      <c r="M1155" s="4">
        <v>175700</v>
      </c>
      <c r="N1155" s="3">
        <v>377.81369999999998</v>
      </c>
      <c r="O1155" t="s">
        <v>22</v>
      </c>
      <c r="P1155" t="s">
        <v>24</v>
      </c>
      <c r="Q1155" t="s">
        <v>24</v>
      </c>
      <c r="R1155" t="s">
        <v>48</v>
      </c>
      <c r="S1155">
        <v>6</v>
      </c>
    </row>
    <row r="1156" spans="1:19" x14ac:dyDescent="0.3">
      <c r="A1156" s="1">
        <v>42175</v>
      </c>
      <c r="B1156">
        <v>2015</v>
      </c>
      <c r="C1156" t="s">
        <v>40</v>
      </c>
      <c r="D1156" s="4">
        <v>1379140</v>
      </c>
      <c r="E1156" s="2">
        <v>2100000</v>
      </c>
      <c r="F1156" t="s">
        <v>19</v>
      </c>
      <c r="G1156" t="s">
        <v>20</v>
      </c>
      <c r="H1156">
        <v>3</v>
      </c>
      <c r="I1156">
        <v>2</v>
      </c>
      <c r="J1156">
        <v>1029</v>
      </c>
      <c r="K1156" s="5">
        <v>1.3402249999999999E-2</v>
      </c>
      <c r="L1156" t="s">
        <v>38</v>
      </c>
      <c r="M1156" s="4">
        <v>720860</v>
      </c>
      <c r="N1156" s="3">
        <v>2040.8163</v>
      </c>
      <c r="O1156" t="s">
        <v>22</v>
      </c>
      <c r="P1156" t="s">
        <v>28</v>
      </c>
      <c r="Q1156" t="s">
        <v>24</v>
      </c>
      <c r="R1156" t="s">
        <v>48</v>
      </c>
      <c r="S1156">
        <v>6</v>
      </c>
    </row>
    <row r="1157" spans="1:19" x14ac:dyDescent="0.3">
      <c r="A1157" s="1">
        <v>42179</v>
      </c>
      <c r="B1157">
        <v>2015</v>
      </c>
      <c r="C1157" t="s">
        <v>52</v>
      </c>
      <c r="D1157" s="4">
        <v>287630</v>
      </c>
      <c r="E1157" s="2">
        <v>400000</v>
      </c>
      <c r="F1157" t="s">
        <v>19</v>
      </c>
      <c r="G1157" t="s">
        <v>20</v>
      </c>
      <c r="H1157">
        <v>3</v>
      </c>
      <c r="I1157">
        <v>2</v>
      </c>
      <c r="J1157">
        <v>951</v>
      </c>
      <c r="K1157" s="5">
        <v>1.3402249999999999E-2</v>
      </c>
      <c r="L1157" t="s">
        <v>32</v>
      </c>
      <c r="M1157" s="4">
        <v>112370</v>
      </c>
      <c r="N1157" s="3">
        <v>420.60989999999998</v>
      </c>
      <c r="O1157" t="s">
        <v>22</v>
      </c>
      <c r="P1157" t="s">
        <v>24</v>
      </c>
      <c r="Q1157" t="s">
        <v>24</v>
      </c>
      <c r="R1157" t="s">
        <v>48</v>
      </c>
      <c r="S1157">
        <v>6</v>
      </c>
    </row>
    <row r="1158" spans="1:19" x14ac:dyDescent="0.3">
      <c r="A1158" s="1">
        <v>42180</v>
      </c>
      <c r="B1158">
        <v>2015</v>
      </c>
      <c r="C1158" t="s">
        <v>35</v>
      </c>
      <c r="D1158" s="4">
        <v>598640</v>
      </c>
      <c r="E1158" s="2">
        <v>1030000</v>
      </c>
      <c r="F1158" t="s">
        <v>19</v>
      </c>
      <c r="G1158" t="s">
        <v>20</v>
      </c>
      <c r="H1158">
        <v>3</v>
      </c>
      <c r="I1158">
        <v>3</v>
      </c>
      <c r="J1158">
        <v>1111.6589814177564</v>
      </c>
      <c r="K1158" s="5">
        <v>1.3402249999999999E-2</v>
      </c>
      <c r="L1158" t="s">
        <v>21</v>
      </c>
      <c r="M1158" s="4">
        <v>431360</v>
      </c>
      <c r="N1158" s="3">
        <v>926.54309999999998</v>
      </c>
      <c r="O1158" t="s">
        <v>22</v>
      </c>
      <c r="P1158" t="s">
        <v>28</v>
      </c>
      <c r="Q1158" t="s">
        <v>24</v>
      </c>
      <c r="R1158" t="s">
        <v>48</v>
      </c>
      <c r="S1158">
        <v>6</v>
      </c>
    </row>
    <row r="1159" spans="1:19" x14ac:dyDescent="0.3">
      <c r="A1159" s="1">
        <v>42181</v>
      </c>
      <c r="B1159">
        <v>2015</v>
      </c>
      <c r="C1159" t="s">
        <v>35</v>
      </c>
      <c r="D1159" s="4">
        <v>1563310</v>
      </c>
      <c r="E1159" s="2">
        <v>2390000</v>
      </c>
      <c r="F1159" t="s">
        <v>19</v>
      </c>
      <c r="G1159" t="s">
        <v>20</v>
      </c>
      <c r="H1159">
        <v>3</v>
      </c>
      <c r="I1159">
        <v>2</v>
      </c>
      <c r="J1159">
        <v>932</v>
      </c>
      <c r="K1159" s="5">
        <v>1.3402249999999999E-2</v>
      </c>
      <c r="L1159" t="s">
        <v>21</v>
      </c>
      <c r="M1159" s="4">
        <v>826690</v>
      </c>
      <c r="N1159" s="3">
        <v>2564.3777</v>
      </c>
      <c r="O1159" t="s">
        <v>22</v>
      </c>
      <c r="P1159" t="s">
        <v>28</v>
      </c>
      <c r="Q1159" t="s">
        <v>24</v>
      </c>
      <c r="R1159" t="s">
        <v>48</v>
      </c>
      <c r="S1159">
        <v>6</v>
      </c>
    </row>
    <row r="1160" spans="1:19" x14ac:dyDescent="0.3">
      <c r="A1160" s="1">
        <v>42183</v>
      </c>
      <c r="B1160">
        <v>2015</v>
      </c>
      <c r="C1160" t="s">
        <v>35</v>
      </c>
      <c r="D1160" s="4">
        <v>444584.20699999999</v>
      </c>
      <c r="E1160" s="2">
        <v>1487500</v>
      </c>
      <c r="F1160" t="s">
        <v>19</v>
      </c>
      <c r="G1160" t="s">
        <v>20</v>
      </c>
      <c r="H1160">
        <v>3</v>
      </c>
      <c r="I1160">
        <v>2</v>
      </c>
      <c r="J1160">
        <v>980</v>
      </c>
      <c r="K1160" s="5">
        <v>1.3402249999999999E-2</v>
      </c>
      <c r="L1160" t="s">
        <v>32</v>
      </c>
      <c r="M1160" s="4">
        <v>1042915.7929999999</v>
      </c>
      <c r="N1160" s="3">
        <v>1517.8570999999999</v>
      </c>
      <c r="O1160" t="s">
        <v>22</v>
      </c>
      <c r="P1160" t="s">
        <v>28</v>
      </c>
      <c r="Q1160" t="s">
        <v>24</v>
      </c>
      <c r="R1160" t="s">
        <v>48</v>
      </c>
      <c r="S1160">
        <v>6</v>
      </c>
    </row>
    <row r="1161" spans="1:19" x14ac:dyDescent="0.3">
      <c r="A1161" s="1">
        <v>42186</v>
      </c>
      <c r="B1161">
        <v>2015</v>
      </c>
      <c r="C1161" t="s">
        <v>29</v>
      </c>
      <c r="D1161" s="4">
        <v>239280</v>
      </c>
      <c r="E1161" s="2">
        <v>290000</v>
      </c>
      <c r="F1161" t="s">
        <v>30</v>
      </c>
      <c r="G1161" t="s">
        <v>31</v>
      </c>
      <c r="H1161">
        <v>4</v>
      </c>
      <c r="I1161">
        <v>3</v>
      </c>
      <c r="J1161">
        <v>1360</v>
      </c>
      <c r="K1161" s="5">
        <v>1.3402249999999999E-2</v>
      </c>
      <c r="L1161" t="s">
        <v>38</v>
      </c>
      <c r="M1161" s="4">
        <v>50720</v>
      </c>
      <c r="N1161" s="3">
        <v>213.2353</v>
      </c>
      <c r="O1161" t="s">
        <v>22</v>
      </c>
      <c r="P1161" t="s">
        <v>24</v>
      </c>
      <c r="Q1161" t="s">
        <v>34</v>
      </c>
      <c r="R1161" t="s">
        <v>49</v>
      </c>
      <c r="S1161">
        <v>7</v>
      </c>
    </row>
    <row r="1162" spans="1:19" x14ac:dyDescent="0.3">
      <c r="A1162" s="1">
        <v>42187</v>
      </c>
      <c r="B1162">
        <v>2015</v>
      </c>
      <c r="C1162" t="s">
        <v>35</v>
      </c>
      <c r="D1162" s="4">
        <v>508480</v>
      </c>
      <c r="E1162" s="2">
        <v>949000</v>
      </c>
      <c r="F1162" t="s">
        <v>19</v>
      </c>
      <c r="G1162" t="s">
        <v>20</v>
      </c>
      <c r="H1162">
        <v>3</v>
      </c>
      <c r="I1162">
        <v>1</v>
      </c>
      <c r="J1162">
        <v>1088</v>
      </c>
      <c r="K1162" s="5">
        <v>1.3402249999999999E-2</v>
      </c>
      <c r="L1162" t="s">
        <v>27</v>
      </c>
      <c r="M1162" s="4">
        <v>440520</v>
      </c>
      <c r="N1162" s="3">
        <v>872.24260000000004</v>
      </c>
      <c r="O1162" t="s">
        <v>22</v>
      </c>
      <c r="P1162" t="s">
        <v>28</v>
      </c>
      <c r="Q1162" t="s">
        <v>24</v>
      </c>
      <c r="R1162" t="s">
        <v>49</v>
      </c>
      <c r="S1162">
        <v>7</v>
      </c>
    </row>
    <row r="1163" spans="1:19" x14ac:dyDescent="0.3">
      <c r="A1163" s="1">
        <v>42188</v>
      </c>
      <c r="B1163">
        <v>2015</v>
      </c>
      <c r="C1163" t="s">
        <v>26</v>
      </c>
      <c r="D1163" s="4">
        <v>385070</v>
      </c>
      <c r="E1163" s="2">
        <v>513000</v>
      </c>
      <c r="F1163" t="s">
        <v>19</v>
      </c>
      <c r="G1163" t="s">
        <v>20</v>
      </c>
      <c r="H1163">
        <v>3</v>
      </c>
      <c r="I1163">
        <v>1</v>
      </c>
      <c r="J1163">
        <v>1111.6589814177564</v>
      </c>
      <c r="K1163" s="5">
        <v>1.3402249999999999E-2</v>
      </c>
      <c r="L1163" t="s">
        <v>38</v>
      </c>
      <c r="M1163" s="4">
        <v>127930</v>
      </c>
      <c r="N1163" s="3">
        <v>461.47250000000003</v>
      </c>
      <c r="O1163" t="s">
        <v>22</v>
      </c>
      <c r="P1163" t="s">
        <v>24</v>
      </c>
      <c r="Q1163" t="s">
        <v>24</v>
      </c>
      <c r="R1163" t="s">
        <v>49</v>
      </c>
      <c r="S1163">
        <v>7</v>
      </c>
    </row>
    <row r="1164" spans="1:19" x14ac:dyDescent="0.3">
      <c r="A1164" s="1">
        <v>42193</v>
      </c>
      <c r="B1164">
        <v>2015</v>
      </c>
      <c r="C1164" t="s">
        <v>40</v>
      </c>
      <c r="D1164" s="4">
        <v>182050</v>
      </c>
      <c r="E1164" s="2">
        <v>220000</v>
      </c>
      <c r="F1164" t="s">
        <v>19</v>
      </c>
      <c r="G1164" t="s">
        <v>20</v>
      </c>
      <c r="H1164">
        <v>3</v>
      </c>
      <c r="I1164">
        <v>1</v>
      </c>
      <c r="J1164">
        <v>1062</v>
      </c>
      <c r="K1164" s="5">
        <v>1.3402249999999999E-2</v>
      </c>
      <c r="L1164" t="s">
        <v>32</v>
      </c>
      <c r="M1164" s="4">
        <v>37950</v>
      </c>
      <c r="N1164" s="3">
        <v>207.15629999999999</v>
      </c>
      <c r="O1164" t="s">
        <v>22</v>
      </c>
      <c r="P1164" t="s">
        <v>24</v>
      </c>
      <c r="Q1164" t="s">
        <v>24</v>
      </c>
      <c r="R1164" t="s">
        <v>49</v>
      </c>
      <c r="S1164">
        <v>7</v>
      </c>
    </row>
    <row r="1165" spans="1:19" x14ac:dyDescent="0.3">
      <c r="A1165" s="1">
        <v>42195</v>
      </c>
      <c r="B1165">
        <v>2015</v>
      </c>
      <c r="C1165" t="s">
        <v>35</v>
      </c>
      <c r="D1165" s="4">
        <v>706300</v>
      </c>
      <c r="E1165" s="2">
        <v>658000</v>
      </c>
      <c r="F1165" t="s">
        <v>19</v>
      </c>
      <c r="G1165" t="s">
        <v>20</v>
      </c>
      <c r="H1165">
        <v>3</v>
      </c>
      <c r="I1165">
        <v>1</v>
      </c>
      <c r="J1165">
        <v>1111.6589814177564</v>
      </c>
      <c r="K1165" s="5">
        <v>1.3402249999999999E-2</v>
      </c>
      <c r="L1165" t="s">
        <v>38</v>
      </c>
      <c r="M1165" s="4">
        <v>-48300</v>
      </c>
      <c r="N1165" s="3">
        <v>591.90809999999999</v>
      </c>
      <c r="O1165" t="s">
        <v>33</v>
      </c>
      <c r="P1165" t="s">
        <v>28</v>
      </c>
      <c r="Q1165" t="s">
        <v>24</v>
      </c>
      <c r="R1165" t="s">
        <v>49</v>
      </c>
      <c r="S1165">
        <v>7</v>
      </c>
    </row>
    <row r="1166" spans="1:19" x14ac:dyDescent="0.3">
      <c r="A1166" s="1">
        <v>42196</v>
      </c>
      <c r="B1166">
        <v>2015</v>
      </c>
      <c r="C1166" t="s">
        <v>52</v>
      </c>
      <c r="D1166" s="4">
        <v>444584.20699999999</v>
      </c>
      <c r="E1166" s="2">
        <v>159000</v>
      </c>
      <c r="F1166" t="s">
        <v>19</v>
      </c>
      <c r="G1166" t="s">
        <v>20</v>
      </c>
      <c r="H1166">
        <v>3</v>
      </c>
      <c r="I1166">
        <v>3</v>
      </c>
      <c r="J1166">
        <v>1100</v>
      </c>
      <c r="K1166" s="5">
        <v>1.3402249999999999E-2</v>
      </c>
      <c r="L1166" t="s">
        <v>32</v>
      </c>
      <c r="M1166" s="4">
        <v>-285584.20699999999</v>
      </c>
      <c r="N1166" s="3">
        <v>144.5455</v>
      </c>
      <c r="O1166" t="s">
        <v>33</v>
      </c>
      <c r="P1166" t="s">
        <v>23</v>
      </c>
      <c r="Q1166" t="s">
        <v>24</v>
      </c>
      <c r="R1166" t="s">
        <v>49</v>
      </c>
      <c r="S1166">
        <v>7</v>
      </c>
    </row>
    <row r="1167" spans="1:19" x14ac:dyDescent="0.3">
      <c r="A1167" s="1">
        <v>42197</v>
      </c>
      <c r="B1167">
        <v>2015</v>
      </c>
      <c r="C1167" t="s">
        <v>39</v>
      </c>
      <c r="D1167" s="4">
        <v>444584.20699999999</v>
      </c>
      <c r="E1167" s="2">
        <v>774000</v>
      </c>
      <c r="F1167" t="s">
        <v>19</v>
      </c>
      <c r="G1167" t="s">
        <v>20</v>
      </c>
      <c r="H1167">
        <v>3</v>
      </c>
      <c r="I1167">
        <v>2</v>
      </c>
      <c r="J1167">
        <v>1060</v>
      </c>
      <c r="K1167" s="5">
        <v>1.3402249999999999E-2</v>
      </c>
      <c r="L1167" t="s">
        <v>27</v>
      </c>
      <c r="M1167" s="4">
        <v>329415.79300000001</v>
      </c>
      <c r="N1167" s="3">
        <v>730.18870000000004</v>
      </c>
      <c r="O1167" t="s">
        <v>22</v>
      </c>
      <c r="P1167" t="s">
        <v>28</v>
      </c>
      <c r="Q1167" t="s">
        <v>24</v>
      </c>
      <c r="R1167" t="s">
        <v>49</v>
      </c>
      <c r="S1167">
        <v>7</v>
      </c>
    </row>
    <row r="1168" spans="1:19" x14ac:dyDescent="0.3">
      <c r="A1168" s="1">
        <v>42202</v>
      </c>
      <c r="B1168">
        <v>2015</v>
      </c>
      <c r="C1168" t="s">
        <v>52</v>
      </c>
      <c r="D1168" s="4">
        <v>173460</v>
      </c>
      <c r="E1168" s="2">
        <v>247500</v>
      </c>
      <c r="F1168" t="s">
        <v>19</v>
      </c>
      <c r="G1168" t="s">
        <v>20</v>
      </c>
      <c r="H1168">
        <v>3</v>
      </c>
      <c r="I1168">
        <v>2</v>
      </c>
      <c r="J1168">
        <v>1062</v>
      </c>
      <c r="K1168" s="5">
        <v>1.3402249999999999E-2</v>
      </c>
      <c r="L1168" t="s">
        <v>32</v>
      </c>
      <c r="M1168" s="4">
        <v>74040</v>
      </c>
      <c r="N1168" s="3">
        <v>233.05080000000001</v>
      </c>
      <c r="O1168" t="s">
        <v>22</v>
      </c>
      <c r="P1168" t="s">
        <v>24</v>
      </c>
      <c r="Q1168" t="s">
        <v>24</v>
      </c>
      <c r="R1168" t="s">
        <v>49</v>
      </c>
      <c r="S1168">
        <v>7</v>
      </c>
    </row>
    <row r="1169" spans="1:19" x14ac:dyDescent="0.3">
      <c r="A1169" s="1">
        <v>42204</v>
      </c>
      <c r="B1169">
        <v>2015</v>
      </c>
      <c r="C1169" t="s">
        <v>35</v>
      </c>
      <c r="D1169" s="4">
        <v>1362410</v>
      </c>
      <c r="E1169" s="2">
        <v>1800000</v>
      </c>
      <c r="F1169" t="s">
        <v>19</v>
      </c>
      <c r="G1169" t="s">
        <v>20</v>
      </c>
      <c r="H1169">
        <v>3</v>
      </c>
      <c r="I1169">
        <v>3</v>
      </c>
      <c r="J1169">
        <v>996</v>
      </c>
      <c r="K1169" s="5">
        <v>1.3402249999999999E-2</v>
      </c>
      <c r="L1169" t="s">
        <v>21</v>
      </c>
      <c r="M1169" s="4">
        <v>437590</v>
      </c>
      <c r="N1169" s="3">
        <v>1807.2289000000001</v>
      </c>
      <c r="O1169" t="s">
        <v>22</v>
      </c>
      <c r="P1169" t="s">
        <v>28</v>
      </c>
      <c r="Q1169" t="s">
        <v>24</v>
      </c>
      <c r="R1169" t="s">
        <v>49</v>
      </c>
      <c r="S1169">
        <v>7</v>
      </c>
    </row>
    <row r="1170" spans="1:19" x14ac:dyDescent="0.3">
      <c r="A1170" s="1">
        <v>42208</v>
      </c>
      <c r="B1170">
        <v>2015</v>
      </c>
      <c r="C1170" t="s">
        <v>52</v>
      </c>
      <c r="D1170" s="4">
        <v>303660</v>
      </c>
      <c r="E1170" s="2">
        <v>500000</v>
      </c>
      <c r="F1170" t="s">
        <v>19</v>
      </c>
      <c r="G1170" t="s">
        <v>20</v>
      </c>
      <c r="H1170">
        <v>3</v>
      </c>
      <c r="I1170">
        <v>2</v>
      </c>
      <c r="J1170">
        <v>1068</v>
      </c>
      <c r="K1170" s="5">
        <v>1.3402249999999999E-2</v>
      </c>
      <c r="L1170" t="s">
        <v>21</v>
      </c>
      <c r="M1170" s="4">
        <v>196340</v>
      </c>
      <c r="N1170" s="3">
        <v>468.16480000000001</v>
      </c>
      <c r="O1170" t="s">
        <v>22</v>
      </c>
      <c r="P1170" t="s">
        <v>24</v>
      </c>
      <c r="Q1170" t="s">
        <v>24</v>
      </c>
      <c r="R1170" t="s">
        <v>49</v>
      </c>
      <c r="S1170">
        <v>7</v>
      </c>
    </row>
    <row r="1171" spans="1:19" x14ac:dyDescent="0.3">
      <c r="A1171" s="1">
        <v>42209</v>
      </c>
      <c r="B1171">
        <v>2015</v>
      </c>
      <c r="C1171" t="s">
        <v>29</v>
      </c>
      <c r="D1171" s="4">
        <v>444584.20699999999</v>
      </c>
      <c r="E1171" s="2">
        <v>184000</v>
      </c>
      <c r="F1171" t="s">
        <v>30</v>
      </c>
      <c r="G1171" t="s">
        <v>31</v>
      </c>
      <c r="H1171">
        <v>4</v>
      </c>
      <c r="I1171">
        <v>4</v>
      </c>
      <c r="J1171">
        <v>1313</v>
      </c>
      <c r="K1171" s="5">
        <v>1.3402249999999999E-2</v>
      </c>
      <c r="L1171" t="s">
        <v>21</v>
      </c>
      <c r="M1171" s="4">
        <v>-260584.20699999999</v>
      </c>
      <c r="N1171" s="3">
        <v>140.1371</v>
      </c>
      <c r="O1171" t="s">
        <v>33</v>
      </c>
      <c r="P1171" t="s">
        <v>23</v>
      </c>
      <c r="Q1171" t="s">
        <v>34</v>
      </c>
      <c r="R1171" t="s">
        <v>49</v>
      </c>
      <c r="S1171">
        <v>7</v>
      </c>
    </row>
    <row r="1172" spans="1:19" x14ac:dyDescent="0.3">
      <c r="A1172" s="1">
        <v>42210</v>
      </c>
      <c r="B1172">
        <v>2015</v>
      </c>
      <c r="C1172" t="s">
        <v>40</v>
      </c>
      <c r="D1172" s="4">
        <v>444584.20699999999</v>
      </c>
      <c r="E1172" s="2">
        <v>485000</v>
      </c>
      <c r="F1172" t="s">
        <v>19</v>
      </c>
      <c r="G1172" t="s">
        <v>20</v>
      </c>
      <c r="H1172">
        <v>3</v>
      </c>
      <c r="I1172">
        <v>1</v>
      </c>
      <c r="J1172">
        <v>1094</v>
      </c>
      <c r="K1172" s="5">
        <v>1.3402249999999999E-2</v>
      </c>
      <c r="L1172" t="s">
        <v>27</v>
      </c>
      <c r="M1172" s="4">
        <v>40415.792999999998</v>
      </c>
      <c r="N1172" s="3">
        <v>443.3272</v>
      </c>
      <c r="O1172" t="s">
        <v>22</v>
      </c>
      <c r="P1172" t="s">
        <v>24</v>
      </c>
      <c r="Q1172" t="s">
        <v>24</v>
      </c>
      <c r="R1172" t="s">
        <v>49</v>
      </c>
      <c r="S1172">
        <v>7</v>
      </c>
    </row>
    <row r="1173" spans="1:19" x14ac:dyDescent="0.3">
      <c r="A1173" s="1">
        <v>42214</v>
      </c>
      <c r="B1173">
        <v>2015</v>
      </c>
      <c r="C1173" t="s">
        <v>40</v>
      </c>
      <c r="D1173" s="4">
        <v>345660</v>
      </c>
      <c r="E1173" s="2">
        <v>550000</v>
      </c>
      <c r="F1173" t="s">
        <v>19</v>
      </c>
      <c r="G1173" t="s">
        <v>20</v>
      </c>
      <c r="H1173">
        <v>3</v>
      </c>
      <c r="I1173">
        <v>3</v>
      </c>
      <c r="J1173">
        <v>1111.6589814177564</v>
      </c>
      <c r="K1173" s="5">
        <v>1.3402249999999999E-2</v>
      </c>
      <c r="L1173" t="s">
        <v>32</v>
      </c>
      <c r="M1173" s="4">
        <v>204340</v>
      </c>
      <c r="N1173" s="3">
        <v>494.75599999999997</v>
      </c>
      <c r="O1173" t="s">
        <v>22</v>
      </c>
      <c r="P1173" t="s">
        <v>24</v>
      </c>
      <c r="Q1173" t="s">
        <v>24</v>
      </c>
      <c r="R1173" t="s">
        <v>49</v>
      </c>
      <c r="S1173">
        <v>7</v>
      </c>
    </row>
    <row r="1174" spans="1:19" x14ac:dyDescent="0.3">
      <c r="A1174" s="1">
        <v>42217</v>
      </c>
      <c r="B1174">
        <v>2015</v>
      </c>
      <c r="C1174" t="s">
        <v>39</v>
      </c>
      <c r="D1174" s="4">
        <v>204610</v>
      </c>
      <c r="E1174" s="2">
        <v>340000</v>
      </c>
      <c r="F1174" t="s">
        <v>19</v>
      </c>
      <c r="G1174" t="s">
        <v>20</v>
      </c>
      <c r="H1174">
        <v>3</v>
      </c>
      <c r="I1174">
        <v>1</v>
      </c>
      <c r="J1174">
        <v>955</v>
      </c>
      <c r="K1174" s="5">
        <v>1.3402249999999999E-2</v>
      </c>
      <c r="L1174" t="s">
        <v>27</v>
      </c>
      <c r="M1174" s="4">
        <v>135390</v>
      </c>
      <c r="N1174" s="3">
        <v>356.02089999999998</v>
      </c>
      <c r="O1174" t="s">
        <v>22</v>
      </c>
      <c r="P1174" t="s">
        <v>24</v>
      </c>
      <c r="Q1174" t="s">
        <v>24</v>
      </c>
      <c r="R1174" t="s">
        <v>50</v>
      </c>
      <c r="S1174">
        <v>8</v>
      </c>
    </row>
    <row r="1175" spans="1:19" x14ac:dyDescent="0.3">
      <c r="A1175" s="1">
        <v>42218</v>
      </c>
      <c r="B1175">
        <v>2015</v>
      </c>
      <c r="C1175" t="s">
        <v>35</v>
      </c>
      <c r="D1175" s="4">
        <v>444584.20699999999</v>
      </c>
      <c r="E1175" s="2">
        <v>2850000</v>
      </c>
      <c r="F1175" t="s">
        <v>19</v>
      </c>
      <c r="G1175" t="s">
        <v>20</v>
      </c>
      <c r="H1175">
        <v>3</v>
      </c>
      <c r="I1175">
        <v>3</v>
      </c>
      <c r="J1175">
        <v>1057</v>
      </c>
      <c r="K1175" s="5">
        <v>1.3402249999999999E-2</v>
      </c>
      <c r="L1175" t="s">
        <v>32</v>
      </c>
      <c r="M1175" s="4">
        <v>2405415.7930000001</v>
      </c>
      <c r="N1175" s="3">
        <v>2696.3103000000001</v>
      </c>
      <c r="O1175" t="s">
        <v>22</v>
      </c>
      <c r="P1175" t="s">
        <v>28</v>
      </c>
      <c r="Q1175" t="s">
        <v>24</v>
      </c>
      <c r="R1175" t="s">
        <v>50</v>
      </c>
      <c r="S1175">
        <v>8</v>
      </c>
    </row>
    <row r="1176" spans="1:19" x14ac:dyDescent="0.3">
      <c r="A1176" s="1">
        <v>42222</v>
      </c>
      <c r="B1176">
        <v>2015</v>
      </c>
      <c r="C1176" t="s">
        <v>35</v>
      </c>
      <c r="D1176" s="4">
        <v>1050280</v>
      </c>
      <c r="E1176" s="2">
        <v>1780000</v>
      </c>
      <c r="F1176" t="s">
        <v>19</v>
      </c>
      <c r="G1176" t="s">
        <v>20</v>
      </c>
      <c r="H1176">
        <v>3</v>
      </c>
      <c r="I1176">
        <v>3</v>
      </c>
      <c r="J1176">
        <v>1075</v>
      </c>
      <c r="K1176" s="5">
        <v>1.3402249999999999E-2</v>
      </c>
      <c r="L1176" t="s">
        <v>38</v>
      </c>
      <c r="M1176" s="4">
        <v>729720</v>
      </c>
      <c r="N1176" s="3">
        <v>1655.8140000000001</v>
      </c>
      <c r="O1176" t="s">
        <v>22</v>
      </c>
      <c r="P1176" t="s">
        <v>28</v>
      </c>
      <c r="Q1176" t="s">
        <v>24</v>
      </c>
      <c r="R1176" t="s">
        <v>50</v>
      </c>
      <c r="S1176">
        <v>8</v>
      </c>
    </row>
    <row r="1177" spans="1:19" x14ac:dyDescent="0.3">
      <c r="A1177" s="1">
        <v>42223</v>
      </c>
      <c r="B1177">
        <v>2015</v>
      </c>
      <c r="C1177" t="s">
        <v>29</v>
      </c>
      <c r="D1177" s="4">
        <v>186030</v>
      </c>
      <c r="E1177" s="2">
        <v>150000</v>
      </c>
      <c r="F1177" t="s">
        <v>36</v>
      </c>
      <c r="G1177" t="s">
        <v>37</v>
      </c>
      <c r="H1177">
        <v>6</v>
      </c>
      <c r="I1177">
        <v>5</v>
      </c>
      <c r="J1177">
        <v>1111.6589814177564</v>
      </c>
      <c r="K1177" s="5">
        <v>1.3402249999999999E-2</v>
      </c>
      <c r="L1177" t="s">
        <v>32</v>
      </c>
      <c r="M1177" s="4">
        <v>-36030</v>
      </c>
      <c r="N1177" s="3">
        <v>134.93350000000001</v>
      </c>
      <c r="O1177" t="s">
        <v>33</v>
      </c>
      <c r="P1177" t="s">
        <v>23</v>
      </c>
      <c r="Q1177" t="s">
        <v>24</v>
      </c>
      <c r="R1177" t="s">
        <v>50</v>
      </c>
      <c r="S1177">
        <v>8</v>
      </c>
    </row>
    <row r="1178" spans="1:19" x14ac:dyDescent="0.3">
      <c r="A1178" s="1">
        <v>42224</v>
      </c>
      <c r="B1178">
        <v>2015</v>
      </c>
      <c r="C1178" t="s">
        <v>29</v>
      </c>
      <c r="D1178" s="4">
        <v>444584.20699999999</v>
      </c>
      <c r="E1178" s="2">
        <v>76500</v>
      </c>
      <c r="F1178" t="s">
        <v>19</v>
      </c>
      <c r="G1178" t="s">
        <v>20</v>
      </c>
      <c r="H1178">
        <v>3</v>
      </c>
      <c r="I1178">
        <v>1</v>
      </c>
      <c r="J1178">
        <v>1022</v>
      </c>
      <c r="K1178" s="5">
        <v>1.3402249999999999E-2</v>
      </c>
      <c r="L1178" t="s">
        <v>21</v>
      </c>
      <c r="M1178" s="4">
        <v>-368084.20699999999</v>
      </c>
      <c r="N1178" s="3">
        <v>74.853200000000001</v>
      </c>
      <c r="O1178" t="s">
        <v>33</v>
      </c>
      <c r="P1178" t="s">
        <v>23</v>
      </c>
      <c r="Q1178" t="s">
        <v>24</v>
      </c>
      <c r="R1178" t="s">
        <v>50</v>
      </c>
      <c r="S1178">
        <v>8</v>
      </c>
    </row>
    <row r="1179" spans="1:19" x14ac:dyDescent="0.3">
      <c r="A1179" s="1">
        <v>42225</v>
      </c>
      <c r="B1179">
        <v>2015</v>
      </c>
      <c r="C1179" t="s">
        <v>35</v>
      </c>
      <c r="D1179" s="4">
        <v>444584.20699999999</v>
      </c>
      <c r="E1179" s="2">
        <v>1550000</v>
      </c>
      <c r="F1179" t="s">
        <v>19</v>
      </c>
      <c r="G1179" t="s">
        <v>20</v>
      </c>
      <c r="H1179">
        <v>3</v>
      </c>
      <c r="I1179">
        <v>3</v>
      </c>
      <c r="J1179">
        <v>1090</v>
      </c>
      <c r="K1179" s="5">
        <v>1.3402249999999999E-2</v>
      </c>
      <c r="L1179" t="s">
        <v>27</v>
      </c>
      <c r="M1179" s="4">
        <v>1105415.7930000001</v>
      </c>
      <c r="N1179" s="3">
        <v>1422.0183</v>
      </c>
      <c r="O1179" t="s">
        <v>22</v>
      </c>
      <c r="P1179" t="s">
        <v>28</v>
      </c>
      <c r="Q1179" t="s">
        <v>24</v>
      </c>
      <c r="R1179" t="s">
        <v>50</v>
      </c>
      <c r="S1179">
        <v>8</v>
      </c>
    </row>
    <row r="1180" spans="1:19" x14ac:dyDescent="0.3">
      <c r="A1180" s="1">
        <v>42228</v>
      </c>
      <c r="B1180">
        <v>2015</v>
      </c>
      <c r="C1180" t="s">
        <v>52</v>
      </c>
      <c r="D1180" s="4">
        <v>280350</v>
      </c>
      <c r="E1180" s="2">
        <v>481000</v>
      </c>
      <c r="F1180" t="s">
        <v>19</v>
      </c>
      <c r="G1180" t="s">
        <v>20</v>
      </c>
      <c r="H1180">
        <v>3</v>
      </c>
      <c r="I1180">
        <v>1</v>
      </c>
      <c r="J1180">
        <v>942</v>
      </c>
      <c r="K1180" s="5">
        <v>1.3402249999999999E-2</v>
      </c>
      <c r="L1180" t="s">
        <v>21</v>
      </c>
      <c r="M1180" s="4">
        <v>200650</v>
      </c>
      <c r="N1180" s="3">
        <v>510.6157</v>
      </c>
      <c r="O1180" t="s">
        <v>22</v>
      </c>
      <c r="P1180" t="s">
        <v>24</v>
      </c>
      <c r="Q1180" t="s">
        <v>24</v>
      </c>
      <c r="R1180" t="s">
        <v>50</v>
      </c>
      <c r="S1180">
        <v>8</v>
      </c>
    </row>
    <row r="1181" spans="1:19" x14ac:dyDescent="0.3">
      <c r="A1181" s="1">
        <v>42229</v>
      </c>
      <c r="B1181">
        <v>2015</v>
      </c>
      <c r="C1181" t="s">
        <v>52</v>
      </c>
      <c r="D1181" s="4">
        <v>187390</v>
      </c>
      <c r="E1181" s="2">
        <v>410000</v>
      </c>
      <c r="F1181" t="s">
        <v>19</v>
      </c>
      <c r="G1181" t="s">
        <v>20</v>
      </c>
      <c r="H1181">
        <v>3</v>
      </c>
      <c r="I1181">
        <v>2</v>
      </c>
      <c r="J1181">
        <v>1111.6589814177564</v>
      </c>
      <c r="K1181" s="5">
        <v>1.3402249999999999E-2</v>
      </c>
      <c r="L1181" t="s">
        <v>38</v>
      </c>
      <c r="M1181" s="4">
        <v>222610</v>
      </c>
      <c r="N1181" s="3">
        <v>368.81810000000002</v>
      </c>
      <c r="O1181" t="s">
        <v>22</v>
      </c>
      <c r="P1181" t="s">
        <v>24</v>
      </c>
      <c r="Q1181" t="s">
        <v>24</v>
      </c>
      <c r="R1181" t="s">
        <v>50</v>
      </c>
      <c r="S1181">
        <v>8</v>
      </c>
    </row>
    <row r="1182" spans="1:19" x14ac:dyDescent="0.3">
      <c r="A1182" s="1">
        <v>42231</v>
      </c>
      <c r="B1182">
        <v>2015</v>
      </c>
      <c r="C1182" t="s">
        <v>35</v>
      </c>
      <c r="D1182" s="4">
        <v>1005480</v>
      </c>
      <c r="E1182" s="2">
        <v>1045000</v>
      </c>
      <c r="F1182" t="s">
        <v>19</v>
      </c>
      <c r="G1182" t="s">
        <v>20</v>
      </c>
      <c r="H1182">
        <v>3</v>
      </c>
      <c r="I1182">
        <v>1</v>
      </c>
      <c r="J1182">
        <v>928</v>
      </c>
      <c r="K1182" s="5">
        <v>1.3402249999999999E-2</v>
      </c>
      <c r="L1182" t="s">
        <v>38</v>
      </c>
      <c r="M1182" s="4">
        <v>39520</v>
      </c>
      <c r="N1182" s="3">
        <v>1126.0776000000001</v>
      </c>
      <c r="O1182" t="s">
        <v>22</v>
      </c>
      <c r="P1182" t="s">
        <v>28</v>
      </c>
      <c r="Q1182" t="s">
        <v>24</v>
      </c>
      <c r="R1182" t="s">
        <v>50</v>
      </c>
      <c r="S1182">
        <v>8</v>
      </c>
    </row>
    <row r="1183" spans="1:19" x14ac:dyDescent="0.3">
      <c r="A1183" s="1">
        <v>42232</v>
      </c>
      <c r="B1183">
        <v>2015</v>
      </c>
      <c r="C1183" t="s">
        <v>39</v>
      </c>
      <c r="D1183" s="4">
        <v>1409940</v>
      </c>
      <c r="E1183" s="2">
        <v>1800000</v>
      </c>
      <c r="F1183" t="s">
        <v>19</v>
      </c>
      <c r="G1183" t="s">
        <v>20</v>
      </c>
      <c r="H1183">
        <v>3</v>
      </c>
      <c r="I1183">
        <v>1</v>
      </c>
      <c r="J1183">
        <v>1099</v>
      </c>
      <c r="K1183" s="5">
        <v>1.3402249999999999E-2</v>
      </c>
      <c r="L1183" t="s">
        <v>27</v>
      </c>
      <c r="M1183" s="4">
        <v>390060</v>
      </c>
      <c r="N1183" s="3">
        <v>1637.8525999999999</v>
      </c>
      <c r="O1183" t="s">
        <v>22</v>
      </c>
      <c r="P1183" t="s">
        <v>28</v>
      </c>
      <c r="Q1183" t="s">
        <v>24</v>
      </c>
      <c r="R1183" t="s">
        <v>50</v>
      </c>
      <c r="S1183">
        <v>8</v>
      </c>
    </row>
    <row r="1184" spans="1:19" x14ac:dyDescent="0.3">
      <c r="A1184" s="1">
        <v>42235</v>
      </c>
      <c r="B1184">
        <v>2015</v>
      </c>
      <c r="C1184" t="s">
        <v>52</v>
      </c>
      <c r="D1184" s="4">
        <v>215320</v>
      </c>
      <c r="E1184" s="2">
        <v>340000</v>
      </c>
      <c r="F1184" t="s">
        <v>19</v>
      </c>
      <c r="G1184" t="s">
        <v>20</v>
      </c>
      <c r="H1184">
        <v>3</v>
      </c>
      <c r="I1184">
        <v>1</v>
      </c>
      <c r="J1184">
        <v>1111.6589814177564</v>
      </c>
      <c r="K1184" s="5">
        <v>1.3402249999999999E-2</v>
      </c>
      <c r="L1184" t="s">
        <v>38</v>
      </c>
      <c r="M1184" s="4">
        <v>124680</v>
      </c>
      <c r="N1184" s="3">
        <v>305.8492</v>
      </c>
      <c r="O1184" t="s">
        <v>22</v>
      </c>
      <c r="P1184" t="s">
        <v>24</v>
      </c>
      <c r="Q1184" t="s">
        <v>24</v>
      </c>
      <c r="R1184" t="s">
        <v>50</v>
      </c>
      <c r="S1184">
        <v>8</v>
      </c>
    </row>
    <row r="1185" spans="1:19" x14ac:dyDescent="0.3">
      <c r="A1185" s="1">
        <v>42236</v>
      </c>
      <c r="B1185">
        <v>2015</v>
      </c>
      <c r="C1185" t="s">
        <v>40</v>
      </c>
      <c r="D1185" s="4">
        <v>129780</v>
      </c>
      <c r="E1185" s="2">
        <v>230000</v>
      </c>
      <c r="F1185" t="s">
        <v>19</v>
      </c>
      <c r="G1185" t="s">
        <v>20</v>
      </c>
      <c r="H1185">
        <v>3</v>
      </c>
      <c r="I1185">
        <v>2</v>
      </c>
      <c r="J1185">
        <v>963</v>
      </c>
      <c r="K1185" s="5">
        <v>1.3402249999999999E-2</v>
      </c>
      <c r="L1185" t="s">
        <v>27</v>
      </c>
      <c r="M1185" s="4">
        <v>100220</v>
      </c>
      <c r="N1185" s="3">
        <v>238.83699999999999</v>
      </c>
      <c r="O1185" t="s">
        <v>22</v>
      </c>
      <c r="P1185" t="s">
        <v>24</v>
      </c>
      <c r="Q1185" t="s">
        <v>24</v>
      </c>
      <c r="R1185" t="s">
        <v>50</v>
      </c>
      <c r="S1185">
        <v>8</v>
      </c>
    </row>
    <row r="1186" spans="1:19" x14ac:dyDescent="0.3">
      <c r="A1186" s="1">
        <v>42237</v>
      </c>
      <c r="B1186">
        <v>2015</v>
      </c>
      <c r="C1186" t="s">
        <v>29</v>
      </c>
      <c r="D1186" s="4">
        <v>216530</v>
      </c>
      <c r="E1186" s="2">
        <v>150000</v>
      </c>
      <c r="F1186" t="s">
        <v>42</v>
      </c>
      <c r="G1186" t="s">
        <v>43</v>
      </c>
      <c r="H1186">
        <v>8</v>
      </c>
      <c r="I1186">
        <v>8</v>
      </c>
      <c r="J1186">
        <v>2531</v>
      </c>
      <c r="K1186" s="5">
        <v>1.3402249999999999E-2</v>
      </c>
      <c r="L1186" t="s">
        <v>27</v>
      </c>
      <c r="M1186" s="4">
        <v>-66530</v>
      </c>
      <c r="N1186" s="3">
        <v>59.265099999999997</v>
      </c>
      <c r="O1186" t="s">
        <v>33</v>
      </c>
      <c r="P1186" t="s">
        <v>23</v>
      </c>
      <c r="Q1186" t="s">
        <v>34</v>
      </c>
      <c r="R1186" t="s">
        <v>50</v>
      </c>
      <c r="S1186">
        <v>8</v>
      </c>
    </row>
    <row r="1187" spans="1:19" x14ac:dyDescent="0.3">
      <c r="A1187" s="1">
        <v>42238</v>
      </c>
      <c r="B1187">
        <v>2015</v>
      </c>
      <c r="C1187" t="s">
        <v>26</v>
      </c>
      <c r="D1187" s="4">
        <v>720440</v>
      </c>
      <c r="E1187" s="2">
        <v>1115000</v>
      </c>
      <c r="F1187" t="s">
        <v>19</v>
      </c>
      <c r="G1187" t="s">
        <v>20</v>
      </c>
      <c r="H1187">
        <v>3</v>
      </c>
      <c r="I1187">
        <v>1</v>
      </c>
      <c r="J1187">
        <v>928</v>
      </c>
      <c r="K1187" s="5">
        <v>1.3402249999999999E-2</v>
      </c>
      <c r="L1187" t="s">
        <v>21</v>
      </c>
      <c r="M1187" s="4">
        <v>394560</v>
      </c>
      <c r="N1187" s="3">
        <v>1201.5085999999999</v>
      </c>
      <c r="O1187" t="s">
        <v>22</v>
      </c>
      <c r="P1187" t="s">
        <v>28</v>
      </c>
      <c r="Q1187" t="s">
        <v>24</v>
      </c>
      <c r="R1187" t="s">
        <v>50</v>
      </c>
      <c r="S1187">
        <v>8</v>
      </c>
    </row>
    <row r="1188" spans="1:19" x14ac:dyDescent="0.3">
      <c r="A1188" s="1">
        <v>42239</v>
      </c>
      <c r="B1188">
        <v>2015</v>
      </c>
      <c r="C1188" t="s">
        <v>26</v>
      </c>
      <c r="D1188" s="4">
        <v>466550</v>
      </c>
      <c r="E1188" s="2">
        <v>700000</v>
      </c>
      <c r="F1188" t="s">
        <v>19</v>
      </c>
      <c r="G1188" t="s">
        <v>20</v>
      </c>
      <c r="H1188">
        <v>3</v>
      </c>
      <c r="I1188">
        <v>1</v>
      </c>
      <c r="J1188">
        <v>981</v>
      </c>
      <c r="K1188" s="5">
        <v>1.3402249999999999E-2</v>
      </c>
      <c r="L1188" t="s">
        <v>32</v>
      </c>
      <c r="M1188" s="4">
        <v>233450</v>
      </c>
      <c r="N1188" s="3">
        <v>713.55759999999998</v>
      </c>
      <c r="O1188" t="s">
        <v>22</v>
      </c>
      <c r="P1188" t="s">
        <v>28</v>
      </c>
      <c r="Q1188" t="s">
        <v>24</v>
      </c>
      <c r="R1188" t="s">
        <v>50</v>
      </c>
      <c r="S1188">
        <v>8</v>
      </c>
    </row>
    <row r="1189" spans="1:19" x14ac:dyDescent="0.3">
      <c r="A1189" s="1">
        <v>42242</v>
      </c>
      <c r="B1189">
        <v>2015</v>
      </c>
      <c r="C1189" t="s">
        <v>39</v>
      </c>
      <c r="D1189" s="4">
        <v>341250</v>
      </c>
      <c r="E1189" s="2">
        <v>785000</v>
      </c>
      <c r="F1189" t="s">
        <v>19</v>
      </c>
      <c r="G1189" t="s">
        <v>20</v>
      </c>
      <c r="H1189">
        <v>3</v>
      </c>
      <c r="I1189">
        <v>3</v>
      </c>
      <c r="J1189">
        <v>1002</v>
      </c>
      <c r="K1189" s="5">
        <v>1.3402249999999999E-2</v>
      </c>
      <c r="L1189" t="s">
        <v>27</v>
      </c>
      <c r="M1189" s="4">
        <v>443750</v>
      </c>
      <c r="N1189" s="3">
        <v>783.43309999999997</v>
      </c>
      <c r="O1189" t="s">
        <v>22</v>
      </c>
      <c r="P1189" t="s">
        <v>28</v>
      </c>
      <c r="Q1189" t="s">
        <v>24</v>
      </c>
      <c r="R1189" t="s">
        <v>50</v>
      </c>
      <c r="S1189">
        <v>8</v>
      </c>
    </row>
    <row r="1190" spans="1:19" x14ac:dyDescent="0.3">
      <c r="A1190" s="1">
        <v>42243</v>
      </c>
      <c r="B1190">
        <v>2015</v>
      </c>
      <c r="C1190" t="s">
        <v>29</v>
      </c>
      <c r="D1190" s="4">
        <v>444584.20699999999</v>
      </c>
      <c r="E1190" s="2">
        <v>280000</v>
      </c>
      <c r="F1190" t="s">
        <v>36</v>
      </c>
      <c r="G1190" t="s">
        <v>37</v>
      </c>
      <c r="H1190">
        <v>6</v>
      </c>
      <c r="I1190">
        <v>6</v>
      </c>
      <c r="J1190">
        <v>1111.6589814177564</v>
      </c>
      <c r="K1190" s="5">
        <v>1.3402249999999999E-2</v>
      </c>
      <c r="L1190" t="s">
        <v>21</v>
      </c>
      <c r="M1190" s="4">
        <v>-164584.20699999999</v>
      </c>
      <c r="N1190" s="3">
        <v>251.8758</v>
      </c>
      <c r="O1190" t="s">
        <v>33</v>
      </c>
      <c r="P1190" t="s">
        <v>24</v>
      </c>
      <c r="Q1190" t="s">
        <v>24</v>
      </c>
      <c r="R1190" t="s">
        <v>50</v>
      </c>
      <c r="S1190">
        <v>8</v>
      </c>
    </row>
    <row r="1191" spans="1:19" x14ac:dyDescent="0.3">
      <c r="A1191" s="1">
        <v>42244</v>
      </c>
      <c r="B1191">
        <v>2015</v>
      </c>
      <c r="C1191" t="s">
        <v>52</v>
      </c>
      <c r="D1191" s="4">
        <v>256480</v>
      </c>
      <c r="E1191" s="2">
        <v>490000</v>
      </c>
      <c r="F1191" t="s">
        <v>19</v>
      </c>
      <c r="G1191" t="s">
        <v>20</v>
      </c>
      <c r="H1191">
        <v>3</v>
      </c>
      <c r="I1191">
        <v>2</v>
      </c>
      <c r="J1191">
        <v>1029</v>
      </c>
      <c r="K1191" s="5">
        <v>1.3402249999999999E-2</v>
      </c>
      <c r="L1191" t="s">
        <v>32</v>
      </c>
      <c r="M1191" s="4">
        <v>233520</v>
      </c>
      <c r="N1191" s="3">
        <v>476.19049999999999</v>
      </c>
      <c r="O1191" t="s">
        <v>22</v>
      </c>
      <c r="P1191" t="s">
        <v>24</v>
      </c>
      <c r="Q1191" t="s">
        <v>24</v>
      </c>
      <c r="R1191" t="s">
        <v>50</v>
      </c>
      <c r="S1191">
        <v>8</v>
      </c>
    </row>
    <row r="1192" spans="1:19" x14ac:dyDescent="0.3">
      <c r="A1192" s="1">
        <v>42245</v>
      </c>
      <c r="B1192">
        <v>2015</v>
      </c>
      <c r="C1192" t="s">
        <v>39</v>
      </c>
      <c r="D1192" s="4">
        <v>444584.20699999999</v>
      </c>
      <c r="E1192" s="2">
        <v>1005500</v>
      </c>
      <c r="F1192" t="s">
        <v>19</v>
      </c>
      <c r="G1192" t="s">
        <v>20</v>
      </c>
      <c r="H1192">
        <v>3</v>
      </c>
      <c r="I1192">
        <v>1</v>
      </c>
      <c r="J1192">
        <v>1033</v>
      </c>
      <c r="K1192" s="5">
        <v>1.3402249999999999E-2</v>
      </c>
      <c r="L1192" t="s">
        <v>27</v>
      </c>
      <c r="M1192" s="4">
        <v>560915.79299999995</v>
      </c>
      <c r="N1192" s="3">
        <v>973.37850000000003</v>
      </c>
      <c r="O1192" t="s">
        <v>22</v>
      </c>
      <c r="P1192" t="s">
        <v>28</v>
      </c>
      <c r="Q1192" t="s">
        <v>24</v>
      </c>
      <c r="R1192" t="s">
        <v>50</v>
      </c>
      <c r="S1192">
        <v>8</v>
      </c>
    </row>
    <row r="1193" spans="1:19" x14ac:dyDescent="0.3">
      <c r="A1193" s="1">
        <v>42246</v>
      </c>
      <c r="B1193">
        <v>2015</v>
      </c>
      <c r="C1193" t="s">
        <v>26</v>
      </c>
      <c r="D1193" s="4">
        <v>253610</v>
      </c>
      <c r="E1193" s="2">
        <v>382500</v>
      </c>
      <c r="F1193" t="s">
        <v>19</v>
      </c>
      <c r="G1193" t="s">
        <v>20</v>
      </c>
      <c r="H1193">
        <v>3</v>
      </c>
      <c r="I1193">
        <v>3</v>
      </c>
      <c r="J1193">
        <v>976</v>
      </c>
      <c r="K1193" s="5">
        <v>1.3402249999999999E-2</v>
      </c>
      <c r="L1193" t="s">
        <v>32</v>
      </c>
      <c r="M1193" s="4">
        <v>128890</v>
      </c>
      <c r="N1193" s="3">
        <v>391.90570000000002</v>
      </c>
      <c r="O1193" t="s">
        <v>22</v>
      </c>
      <c r="P1193" t="s">
        <v>24</v>
      </c>
      <c r="Q1193" t="s">
        <v>24</v>
      </c>
      <c r="R1193" t="s">
        <v>50</v>
      </c>
      <c r="S1193">
        <v>8</v>
      </c>
    </row>
    <row r="1194" spans="1:19" x14ac:dyDescent="0.3">
      <c r="A1194" s="1">
        <v>42250</v>
      </c>
      <c r="B1194">
        <v>2015</v>
      </c>
      <c r="C1194" t="s">
        <v>29</v>
      </c>
      <c r="D1194" s="4">
        <v>444584.20699999999</v>
      </c>
      <c r="E1194" s="2">
        <v>60469</v>
      </c>
      <c r="F1194" t="s">
        <v>19</v>
      </c>
      <c r="G1194" t="s">
        <v>20</v>
      </c>
      <c r="H1194">
        <v>3</v>
      </c>
      <c r="I1194">
        <v>2</v>
      </c>
      <c r="J1194">
        <v>907</v>
      </c>
      <c r="K1194" s="5">
        <v>1.3402249999999999E-2</v>
      </c>
      <c r="L1194" t="s">
        <v>21</v>
      </c>
      <c r="M1194" s="4">
        <v>-384115.20699999999</v>
      </c>
      <c r="N1194" s="3">
        <v>66.669200000000004</v>
      </c>
      <c r="O1194" t="s">
        <v>33</v>
      </c>
      <c r="P1194" t="s">
        <v>23</v>
      </c>
      <c r="Q1194" t="s">
        <v>24</v>
      </c>
      <c r="R1194" t="s">
        <v>51</v>
      </c>
      <c r="S1194">
        <v>9</v>
      </c>
    </row>
    <row r="1195" spans="1:19" x14ac:dyDescent="0.3">
      <c r="A1195" s="1">
        <v>42251</v>
      </c>
      <c r="B1195">
        <v>2015</v>
      </c>
      <c r="C1195" t="s">
        <v>26</v>
      </c>
      <c r="D1195" s="4">
        <v>444584.20699999999</v>
      </c>
      <c r="E1195" s="2">
        <v>630000</v>
      </c>
      <c r="F1195" t="s">
        <v>19</v>
      </c>
      <c r="G1195" t="s">
        <v>20</v>
      </c>
      <c r="H1195">
        <v>3</v>
      </c>
      <c r="I1195">
        <v>2</v>
      </c>
      <c r="J1195">
        <v>1064</v>
      </c>
      <c r="K1195" s="5">
        <v>1.3402249999999999E-2</v>
      </c>
      <c r="L1195" t="s">
        <v>27</v>
      </c>
      <c r="M1195" s="4">
        <v>185415.79300000001</v>
      </c>
      <c r="N1195" s="3">
        <v>592.10530000000006</v>
      </c>
      <c r="O1195" t="s">
        <v>22</v>
      </c>
      <c r="P1195" t="s">
        <v>28</v>
      </c>
      <c r="Q1195" t="s">
        <v>24</v>
      </c>
      <c r="R1195" t="s">
        <v>51</v>
      </c>
      <c r="S1195">
        <v>9</v>
      </c>
    </row>
    <row r="1196" spans="1:19" x14ac:dyDescent="0.3">
      <c r="A1196" s="1">
        <v>42257</v>
      </c>
      <c r="B1196">
        <v>2015</v>
      </c>
      <c r="C1196" t="s">
        <v>26</v>
      </c>
      <c r="D1196" s="4">
        <v>661920</v>
      </c>
      <c r="E1196" s="2">
        <v>721000</v>
      </c>
      <c r="F1196" t="s">
        <v>19</v>
      </c>
      <c r="G1196" t="s">
        <v>20</v>
      </c>
      <c r="H1196">
        <v>3</v>
      </c>
      <c r="I1196">
        <v>1</v>
      </c>
      <c r="J1196">
        <v>1014</v>
      </c>
      <c r="K1196" s="5">
        <v>1.3402249999999999E-2</v>
      </c>
      <c r="L1196" t="s">
        <v>32</v>
      </c>
      <c r="M1196" s="4">
        <v>59080</v>
      </c>
      <c r="N1196" s="3">
        <v>711.04539999999997</v>
      </c>
      <c r="O1196" t="s">
        <v>22</v>
      </c>
      <c r="P1196" t="s">
        <v>28</v>
      </c>
      <c r="Q1196" t="s">
        <v>24</v>
      </c>
      <c r="R1196" t="s">
        <v>51</v>
      </c>
      <c r="S1196">
        <v>9</v>
      </c>
    </row>
    <row r="1197" spans="1:19" x14ac:dyDescent="0.3">
      <c r="A1197" s="1">
        <v>42258</v>
      </c>
      <c r="B1197">
        <v>2015</v>
      </c>
      <c r="C1197" t="s">
        <v>52</v>
      </c>
      <c r="D1197" s="4">
        <v>319480</v>
      </c>
      <c r="E1197" s="2">
        <v>445000</v>
      </c>
      <c r="F1197" t="s">
        <v>19</v>
      </c>
      <c r="G1197" t="s">
        <v>20</v>
      </c>
      <c r="H1197">
        <v>3</v>
      </c>
      <c r="I1197">
        <v>1</v>
      </c>
      <c r="J1197">
        <v>914</v>
      </c>
      <c r="K1197" s="5">
        <v>1.3402249999999999E-2</v>
      </c>
      <c r="L1197" t="s">
        <v>32</v>
      </c>
      <c r="M1197" s="4">
        <v>125520</v>
      </c>
      <c r="N1197" s="3">
        <v>486.87090000000001</v>
      </c>
      <c r="O1197" t="s">
        <v>22</v>
      </c>
      <c r="P1197" t="s">
        <v>24</v>
      </c>
      <c r="Q1197" t="s">
        <v>24</v>
      </c>
      <c r="R1197" t="s">
        <v>51</v>
      </c>
      <c r="S1197">
        <v>9</v>
      </c>
    </row>
    <row r="1198" spans="1:19" x14ac:dyDescent="0.3">
      <c r="A1198" s="1">
        <v>42259</v>
      </c>
      <c r="B1198">
        <v>2015</v>
      </c>
      <c r="C1198" t="s">
        <v>29</v>
      </c>
      <c r="D1198" s="4">
        <v>173590</v>
      </c>
      <c r="E1198" s="2">
        <v>140000</v>
      </c>
      <c r="F1198" t="s">
        <v>19</v>
      </c>
      <c r="G1198" t="s">
        <v>20</v>
      </c>
      <c r="H1198">
        <v>3</v>
      </c>
      <c r="I1198">
        <v>1</v>
      </c>
      <c r="J1198">
        <v>923</v>
      </c>
      <c r="K1198" s="5">
        <v>1.3402249999999999E-2</v>
      </c>
      <c r="L1198" t="s">
        <v>21</v>
      </c>
      <c r="M1198" s="4">
        <v>-33590</v>
      </c>
      <c r="N1198" s="3">
        <v>151.67930000000001</v>
      </c>
      <c r="O1198" t="s">
        <v>33</v>
      </c>
      <c r="P1198" t="s">
        <v>23</v>
      </c>
      <c r="Q1198" t="s">
        <v>24</v>
      </c>
      <c r="R1198" t="s">
        <v>51</v>
      </c>
      <c r="S1198">
        <v>9</v>
      </c>
    </row>
    <row r="1199" spans="1:19" x14ac:dyDescent="0.3">
      <c r="A1199" s="1">
        <v>42260</v>
      </c>
      <c r="B1199">
        <v>2015</v>
      </c>
      <c r="C1199" t="s">
        <v>39</v>
      </c>
      <c r="D1199" s="4">
        <v>444584.20699999999</v>
      </c>
      <c r="E1199" s="2">
        <v>989625</v>
      </c>
      <c r="F1199" t="s">
        <v>19</v>
      </c>
      <c r="G1199" t="s">
        <v>20</v>
      </c>
      <c r="H1199">
        <v>3</v>
      </c>
      <c r="I1199">
        <v>3</v>
      </c>
      <c r="J1199">
        <v>963</v>
      </c>
      <c r="K1199" s="5">
        <v>1.3402249999999999E-2</v>
      </c>
      <c r="L1199" t="s">
        <v>32</v>
      </c>
      <c r="M1199" s="4">
        <v>545040.79299999995</v>
      </c>
      <c r="N1199" s="3">
        <v>1027.6479999999999</v>
      </c>
      <c r="O1199" t="s">
        <v>22</v>
      </c>
      <c r="P1199" t="s">
        <v>28</v>
      </c>
      <c r="Q1199" t="s">
        <v>24</v>
      </c>
      <c r="R1199" t="s">
        <v>51</v>
      </c>
      <c r="S1199">
        <v>9</v>
      </c>
    </row>
    <row r="1200" spans="1:19" x14ac:dyDescent="0.3">
      <c r="A1200" s="1">
        <v>42263</v>
      </c>
      <c r="B1200">
        <v>2015</v>
      </c>
      <c r="C1200" t="s">
        <v>52</v>
      </c>
      <c r="D1200" s="4">
        <v>183190</v>
      </c>
      <c r="E1200" s="2">
        <v>290000</v>
      </c>
      <c r="F1200" t="s">
        <v>19</v>
      </c>
      <c r="G1200" t="s">
        <v>20</v>
      </c>
      <c r="H1200">
        <v>3</v>
      </c>
      <c r="I1200">
        <v>2</v>
      </c>
      <c r="J1200">
        <v>912</v>
      </c>
      <c r="K1200" s="5">
        <v>1.3402249999999999E-2</v>
      </c>
      <c r="L1200" t="s">
        <v>32</v>
      </c>
      <c r="M1200" s="4">
        <v>106810</v>
      </c>
      <c r="N1200" s="3">
        <v>317.98250000000002</v>
      </c>
      <c r="O1200" t="s">
        <v>22</v>
      </c>
      <c r="P1200" t="s">
        <v>24</v>
      </c>
      <c r="Q1200" t="s">
        <v>24</v>
      </c>
      <c r="R1200" t="s">
        <v>51</v>
      </c>
      <c r="S1200">
        <v>9</v>
      </c>
    </row>
    <row r="1201" spans="1:19" x14ac:dyDescent="0.3">
      <c r="A1201" s="1">
        <v>42264</v>
      </c>
      <c r="B1201">
        <v>2015</v>
      </c>
      <c r="C1201" t="s">
        <v>39</v>
      </c>
      <c r="D1201" s="4">
        <v>227290</v>
      </c>
      <c r="E1201" s="2">
        <v>427500</v>
      </c>
      <c r="F1201" t="s">
        <v>19</v>
      </c>
      <c r="G1201" t="s">
        <v>20</v>
      </c>
      <c r="H1201">
        <v>3</v>
      </c>
      <c r="I1201">
        <v>2</v>
      </c>
      <c r="J1201">
        <v>950</v>
      </c>
      <c r="K1201" s="5">
        <v>1.3402249999999999E-2</v>
      </c>
      <c r="L1201" t="s">
        <v>21</v>
      </c>
      <c r="M1201" s="4">
        <v>200210</v>
      </c>
      <c r="N1201" s="3">
        <v>450</v>
      </c>
      <c r="O1201" t="s">
        <v>22</v>
      </c>
      <c r="P1201" t="s">
        <v>24</v>
      </c>
      <c r="Q1201" t="s">
        <v>24</v>
      </c>
      <c r="R1201" t="s">
        <v>51</v>
      </c>
      <c r="S1201">
        <v>9</v>
      </c>
    </row>
    <row r="1202" spans="1:19" x14ac:dyDescent="0.3">
      <c r="A1202" s="1">
        <v>42265</v>
      </c>
      <c r="B1202">
        <v>2015</v>
      </c>
      <c r="C1202" t="s">
        <v>26</v>
      </c>
      <c r="D1202" s="4">
        <v>444584.20699999999</v>
      </c>
      <c r="E1202" s="2">
        <v>1800000</v>
      </c>
      <c r="F1202" t="s">
        <v>19</v>
      </c>
      <c r="G1202" t="s">
        <v>20</v>
      </c>
      <c r="H1202">
        <v>3</v>
      </c>
      <c r="I1202">
        <v>2</v>
      </c>
      <c r="J1202">
        <v>1021</v>
      </c>
      <c r="K1202" s="5">
        <v>1.3402249999999999E-2</v>
      </c>
      <c r="L1202" t="s">
        <v>27</v>
      </c>
      <c r="M1202" s="4">
        <v>1355415.7930000001</v>
      </c>
      <c r="N1202" s="3">
        <v>1762.9775</v>
      </c>
      <c r="O1202" t="s">
        <v>22</v>
      </c>
      <c r="P1202" t="s">
        <v>28</v>
      </c>
      <c r="Q1202" t="s">
        <v>24</v>
      </c>
      <c r="R1202" t="s">
        <v>51</v>
      </c>
      <c r="S1202">
        <v>9</v>
      </c>
    </row>
    <row r="1203" spans="1:19" x14ac:dyDescent="0.3">
      <c r="A1203" s="1">
        <v>42271</v>
      </c>
      <c r="B1203">
        <v>2015</v>
      </c>
      <c r="C1203" t="s">
        <v>29</v>
      </c>
      <c r="D1203" s="4">
        <v>173980</v>
      </c>
      <c r="E1203" s="2">
        <v>200000</v>
      </c>
      <c r="F1203" t="s">
        <v>19</v>
      </c>
      <c r="G1203" t="s">
        <v>20</v>
      </c>
      <c r="H1203">
        <v>3</v>
      </c>
      <c r="I1203">
        <v>3</v>
      </c>
      <c r="J1203">
        <v>1082</v>
      </c>
      <c r="K1203" s="5">
        <v>1.3402249999999999E-2</v>
      </c>
      <c r="L1203" t="s">
        <v>21</v>
      </c>
      <c r="M1203" s="4">
        <v>26020</v>
      </c>
      <c r="N1203" s="3">
        <v>184.84289999999999</v>
      </c>
      <c r="O1203" t="s">
        <v>22</v>
      </c>
      <c r="P1203" t="s">
        <v>24</v>
      </c>
      <c r="Q1203" t="s">
        <v>24</v>
      </c>
      <c r="R1203" t="s">
        <v>51</v>
      </c>
      <c r="S1203">
        <v>9</v>
      </c>
    </row>
    <row r="1204" spans="1:19" x14ac:dyDescent="0.3">
      <c r="A1204" s="1">
        <v>42273</v>
      </c>
      <c r="B1204">
        <v>2015</v>
      </c>
      <c r="C1204" t="s">
        <v>39</v>
      </c>
      <c r="D1204" s="4">
        <v>298340</v>
      </c>
      <c r="E1204" s="2">
        <v>515000</v>
      </c>
      <c r="F1204" t="s">
        <v>19</v>
      </c>
      <c r="G1204" t="s">
        <v>20</v>
      </c>
      <c r="H1204">
        <v>3</v>
      </c>
      <c r="I1204">
        <v>1</v>
      </c>
      <c r="J1204">
        <v>1111.6589814177564</v>
      </c>
      <c r="K1204" s="5">
        <v>1.3402249999999999E-2</v>
      </c>
      <c r="L1204" t="s">
        <v>32</v>
      </c>
      <c r="M1204" s="4">
        <v>216660</v>
      </c>
      <c r="N1204" s="3">
        <v>463.27159999999998</v>
      </c>
      <c r="O1204" t="s">
        <v>22</v>
      </c>
      <c r="P1204" t="s">
        <v>24</v>
      </c>
      <c r="Q1204" t="s">
        <v>24</v>
      </c>
      <c r="R1204" t="s">
        <v>51</v>
      </c>
      <c r="S1204">
        <v>9</v>
      </c>
    </row>
    <row r="1205" spans="1:19" x14ac:dyDescent="0.3">
      <c r="A1205" s="1">
        <v>42274</v>
      </c>
      <c r="B1205">
        <v>2015</v>
      </c>
      <c r="C1205" t="s">
        <v>35</v>
      </c>
      <c r="D1205" s="4">
        <v>444584.20699999999</v>
      </c>
      <c r="E1205" s="2">
        <v>2950000</v>
      </c>
      <c r="F1205" t="s">
        <v>19</v>
      </c>
      <c r="G1205" t="s">
        <v>20</v>
      </c>
      <c r="H1205">
        <v>3</v>
      </c>
      <c r="I1205">
        <v>2</v>
      </c>
      <c r="J1205">
        <v>1087</v>
      </c>
      <c r="K1205" s="5">
        <v>1.3402249999999999E-2</v>
      </c>
      <c r="L1205" t="s">
        <v>27</v>
      </c>
      <c r="M1205" s="4">
        <v>2505415.7930000001</v>
      </c>
      <c r="N1205" s="3">
        <v>2713.8914</v>
      </c>
      <c r="O1205" t="s">
        <v>22</v>
      </c>
      <c r="P1205" t="s">
        <v>28</v>
      </c>
      <c r="Q1205" t="s">
        <v>24</v>
      </c>
      <c r="R1205" t="s">
        <v>51</v>
      </c>
      <c r="S1205">
        <v>9</v>
      </c>
    </row>
    <row r="1206" spans="1:19" x14ac:dyDescent="0.3">
      <c r="A1206" s="1">
        <v>42277</v>
      </c>
      <c r="B1206">
        <v>2015</v>
      </c>
      <c r="C1206" t="s">
        <v>29</v>
      </c>
      <c r="D1206" s="4">
        <v>222550</v>
      </c>
      <c r="E1206" s="2">
        <v>90000</v>
      </c>
      <c r="F1206" t="s">
        <v>36</v>
      </c>
      <c r="G1206" t="s">
        <v>37</v>
      </c>
      <c r="H1206">
        <v>6</v>
      </c>
      <c r="I1206">
        <v>4</v>
      </c>
      <c r="J1206">
        <v>1837</v>
      </c>
      <c r="K1206" s="5">
        <v>1.3402249999999999E-2</v>
      </c>
      <c r="L1206" t="s">
        <v>21</v>
      </c>
      <c r="M1206" s="4">
        <v>-132550</v>
      </c>
      <c r="N1206" s="3">
        <v>48.992899999999999</v>
      </c>
      <c r="O1206" t="s">
        <v>33</v>
      </c>
      <c r="P1206" t="s">
        <v>23</v>
      </c>
      <c r="Q1206" t="s">
        <v>34</v>
      </c>
      <c r="R1206" t="s">
        <v>51</v>
      </c>
      <c r="S1206">
        <v>9</v>
      </c>
    </row>
    <row r="1207" spans="1:19" x14ac:dyDescent="0.3">
      <c r="A1207" s="1">
        <v>42278</v>
      </c>
      <c r="B1207">
        <v>2015</v>
      </c>
      <c r="C1207" t="s">
        <v>39</v>
      </c>
      <c r="D1207" s="4">
        <v>336840</v>
      </c>
      <c r="E1207" s="2">
        <v>420000</v>
      </c>
      <c r="F1207" t="s">
        <v>19</v>
      </c>
      <c r="G1207" t="s">
        <v>20</v>
      </c>
      <c r="H1207">
        <v>3</v>
      </c>
      <c r="I1207">
        <v>2</v>
      </c>
      <c r="J1207">
        <v>931</v>
      </c>
      <c r="K1207" s="5">
        <v>1.3402249999999999E-2</v>
      </c>
      <c r="L1207" t="s">
        <v>38</v>
      </c>
      <c r="M1207" s="4">
        <v>83160</v>
      </c>
      <c r="N1207" s="3">
        <v>451.12779999999998</v>
      </c>
      <c r="O1207" t="s">
        <v>22</v>
      </c>
      <c r="P1207" t="s">
        <v>24</v>
      </c>
      <c r="Q1207" t="s">
        <v>24</v>
      </c>
      <c r="R1207" t="s">
        <v>53</v>
      </c>
      <c r="S1207">
        <v>10</v>
      </c>
    </row>
    <row r="1208" spans="1:19" x14ac:dyDescent="0.3">
      <c r="A1208" s="1">
        <v>42279</v>
      </c>
      <c r="B1208">
        <v>2015</v>
      </c>
      <c r="C1208" t="s">
        <v>29</v>
      </c>
      <c r="D1208" s="4">
        <v>132200</v>
      </c>
      <c r="E1208" s="2">
        <v>117299</v>
      </c>
      <c r="F1208" t="s">
        <v>19</v>
      </c>
      <c r="G1208" t="s">
        <v>20</v>
      </c>
      <c r="H1208">
        <v>3</v>
      </c>
      <c r="I1208">
        <v>2</v>
      </c>
      <c r="J1208">
        <v>1111.6589814177564</v>
      </c>
      <c r="K1208" s="5">
        <v>1.3402249999999999E-2</v>
      </c>
      <c r="L1208" t="s">
        <v>21</v>
      </c>
      <c r="M1208" s="4">
        <v>-14901</v>
      </c>
      <c r="N1208" s="3">
        <v>105.5171</v>
      </c>
      <c r="O1208" t="s">
        <v>33</v>
      </c>
      <c r="P1208" t="s">
        <v>23</v>
      </c>
      <c r="Q1208" t="s">
        <v>24</v>
      </c>
      <c r="R1208" t="s">
        <v>53</v>
      </c>
      <c r="S1208">
        <v>10</v>
      </c>
    </row>
    <row r="1209" spans="1:19" x14ac:dyDescent="0.3">
      <c r="A1209" s="1">
        <v>42280</v>
      </c>
      <c r="B1209">
        <v>2015</v>
      </c>
      <c r="C1209" t="s">
        <v>35</v>
      </c>
      <c r="D1209" s="4">
        <v>814590</v>
      </c>
      <c r="E1209" s="2">
        <v>800000</v>
      </c>
      <c r="F1209" t="s">
        <v>19</v>
      </c>
      <c r="G1209" t="s">
        <v>20</v>
      </c>
      <c r="H1209">
        <v>3</v>
      </c>
      <c r="I1209">
        <v>3</v>
      </c>
      <c r="J1209">
        <v>940</v>
      </c>
      <c r="K1209" s="5">
        <v>1.3402249999999999E-2</v>
      </c>
      <c r="L1209" t="s">
        <v>21</v>
      </c>
      <c r="M1209" s="4">
        <v>-14590</v>
      </c>
      <c r="N1209" s="3">
        <v>851.06380000000001</v>
      </c>
      <c r="O1209" t="s">
        <v>33</v>
      </c>
      <c r="P1209" t="s">
        <v>28</v>
      </c>
      <c r="Q1209" t="s">
        <v>24</v>
      </c>
      <c r="R1209" t="s">
        <v>53</v>
      </c>
      <c r="S1209">
        <v>10</v>
      </c>
    </row>
    <row r="1210" spans="1:19" x14ac:dyDescent="0.3">
      <c r="A1210" s="1">
        <v>42281</v>
      </c>
      <c r="B1210">
        <v>2015</v>
      </c>
      <c r="C1210" t="s">
        <v>56</v>
      </c>
      <c r="D1210" s="4">
        <v>203910</v>
      </c>
      <c r="E1210" s="2">
        <v>312000</v>
      </c>
      <c r="F1210" t="s">
        <v>19</v>
      </c>
      <c r="G1210" t="s">
        <v>20</v>
      </c>
      <c r="H1210">
        <v>3</v>
      </c>
      <c r="I1210">
        <v>2</v>
      </c>
      <c r="J1210">
        <v>1111.6589814177564</v>
      </c>
      <c r="K1210" s="5">
        <v>1.3402249999999999E-2</v>
      </c>
      <c r="L1210" t="s">
        <v>38</v>
      </c>
      <c r="M1210" s="4">
        <v>108090</v>
      </c>
      <c r="N1210" s="3">
        <v>280.66160000000002</v>
      </c>
      <c r="O1210" t="s">
        <v>22</v>
      </c>
      <c r="P1210" t="s">
        <v>24</v>
      </c>
      <c r="Q1210" t="s">
        <v>24</v>
      </c>
      <c r="R1210" t="s">
        <v>53</v>
      </c>
      <c r="S1210">
        <v>10</v>
      </c>
    </row>
    <row r="1211" spans="1:19" x14ac:dyDescent="0.3">
      <c r="A1211" s="1">
        <v>42284</v>
      </c>
      <c r="B1211">
        <v>2015</v>
      </c>
      <c r="C1211" t="s">
        <v>29</v>
      </c>
      <c r="D1211" s="4">
        <v>122210</v>
      </c>
      <c r="E1211" s="2">
        <v>100000</v>
      </c>
      <c r="F1211" t="s">
        <v>19</v>
      </c>
      <c r="G1211" t="s">
        <v>20</v>
      </c>
      <c r="H1211">
        <v>3</v>
      </c>
      <c r="I1211">
        <v>2</v>
      </c>
      <c r="J1211">
        <v>1088</v>
      </c>
      <c r="K1211" s="5">
        <v>1.3402249999999999E-2</v>
      </c>
      <c r="L1211" t="s">
        <v>21</v>
      </c>
      <c r="M1211" s="4">
        <v>-22210</v>
      </c>
      <c r="N1211" s="3">
        <v>91.911799999999999</v>
      </c>
      <c r="O1211" t="s">
        <v>33</v>
      </c>
      <c r="P1211" t="s">
        <v>23</v>
      </c>
      <c r="Q1211" t="s">
        <v>24</v>
      </c>
      <c r="R1211" t="s">
        <v>53</v>
      </c>
      <c r="S1211">
        <v>10</v>
      </c>
    </row>
    <row r="1212" spans="1:19" x14ac:dyDescent="0.3">
      <c r="A1212" s="1">
        <v>42287</v>
      </c>
      <c r="B1212">
        <v>2015</v>
      </c>
      <c r="C1212" t="s">
        <v>29</v>
      </c>
      <c r="D1212" s="4">
        <v>155090</v>
      </c>
      <c r="E1212" s="2">
        <v>120000</v>
      </c>
      <c r="F1212" t="s">
        <v>19</v>
      </c>
      <c r="G1212" t="s">
        <v>20</v>
      </c>
      <c r="H1212">
        <v>3</v>
      </c>
      <c r="I1212">
        <v>1</v>
      </c>
      <c r="J1212">
        <v>989</v>
      </c>
      <c r="K1212" s="5">
        <v>1.3402249999999999E-2</v>
      </c>
      <c r="L1212" t="s">
        <v>38</v>
      </c>
      <c r="M1212" s="4">
        <v>-35090</v>
      </c>
      <c r="N1212" s="3">
        <v>121.3347</v>
      </c>
      <c r="O1212" t="s">
        <v>33</v>
      </c>
      <c r="P1212" t="s">
        <v>23</v>
      </c>
      <c r="Q1212" t="s">
        <v>24</v>
      </c>
      <c r="R1212" t="s">
        <v>53</v>
      </c>
      <c r="S1212">
        <v>10</v>
      </c>
    </row>
    <row r="1213" spans="1:19" x14ac:dyDescent="0.3">
      <c r="A1213" s="1">
        <v>42288</v>
      </c>
      <c r="B1213">
        <v>2015</v>
      </c>
      <c r="C1213" t="s">
        <v>35</v>
      </c>
      <c r="D1213" s="4">
        <v>444584.20699999999</v>
      </c>
      <c r="E1213" s="2">
        <v>1450000</v>
      </c>
      <c r="F1213" t="s">
        <v>19</v>
      </c>
      <c r="G1213" t="s">
        <v>20</v>
      </c>
      <c r="H1213">
        <v>3</v>
      </c>
      <c r="I1213">
        <v>2</v>
      </c>
      <c r="J1213">
        <v>1111.6589814177564</v>
      </c>
      <c r="K1213" s="5">
        <v>1.3402249999999999E-2</v>
      </c>
      <c r="L1213" t="s">
        <v>32</v>
      </c>
      <c r="M1213" s="4">
        <v>1005415.7929999999</v>
      </c>
      <c r="N1213" s="3">
        <v>1304.3568</v>
      </c>
      <c r="O1213" t="s">
        <v>22</v>
      </c>
      <c r="P1213" t="s">
        <v>28</v>
      </c>
      <c r="Q1213" t="s">
        <v>24</v>
      </c>
      <c r="R1213" t="s">
        <v>53</v>
      </c>
      <c r="S1213">
        <v>10</v>
      </c>
    </row>
    <row r="1214" spans="1:19" x14ac:dyDescent="0.3">
      <c r="A1214" s="1">
        <v>42293</v>
      </c>
      <c r="B1214">
        <v>2015</v>
      </c>
      <c r="C1214" t="s">
        <v>35</v>
      </c>
      <c r="D1214" s="4">
        <v>834890</v>
      </c>
      <c r="E1214" s="2">
        <v>1060000</v>
      </c>
      <c r="F1214" t="s">
        <v>19</v>
      </c>
      <c r="G1214" t="s">
        <v>20</v>
      </c>
      <c r="H1214">
        <v>3</v>
      </c>
      <c r="I1214">
        <v>3</v>
      </c>
      <c r="J1214">
        <v>1111.6589814177564</v>
      </c>
      <c r="K1214" s="5">
        <v>1.3402249999999999E-2</v>
      </c>
      <c r="L1214" t="s">
        <v>21</v>
      </c>
      <c r="M1214" s="4">
        <v>225110</v>
      </c>
      <c r="N1214" s="3">
        <v>953.52980000000002</v>
      </c>
      <c r="O1214" t="s">
        <v>22</v>
      </c>
      <c r="P1214" t="s">
        <v>28</v>
      </c>
      <c r="Q1214" t="s">
        <v>24</v>
      </c>
      <c r="R1214" t="s">
        <v>53</v>
      </c>
      <c r="S1214">
        <v>10</v>
      </c>
    </row>
    <row r="1215" spans="1:19" x14ac:dyDescent="0.3">
      <c r="A1215" s="1">
        <v>42295</v>
      </c>
      <c r="B1215">
        <v>2015</v>
      </c>
      <c r="C1215" t="s">
        <v>35</v>
      </c>
      <c r="D1215" s="4">
        <v>1871240</v>
      </c>
      <c r="E1215" s="2">
        <v>3375000</v>
      </c>
      <c r="F1215" t="s">
        <v>19</v>
      </c>
      <c r="G1215" t="s">
        <v>20</v>
      </c>
      <c r="H1215">
        <v>3</v>
      </c>
      <c r="I1215">
        <v>3</v>
      </c>
      <c r="J1215">
        <v>1062</v>
      </c>
      <c r="K1215" s="5">
        <v>1.3402249999999999E-2</v>
      </c>
      <c r="L1215" t="s">
        <v>21</v>
      </c>
      <c r="M1215" s="4">
        <v>1503760</v>
      </c>
      <c r="N1215" s="3">
        <v>3177.9661000000001</v>
      </c>
      <c r="O1215" t="s">
        <v>22</v>
      </c>
      <c r="P1215" t="s">
        <v>28</v>
      </c>
      <c r="Q1215" t="s">
        <v>24</v>
      </c>
      <c r="R1215" t="s">
        <v>53</v>
      </c>
      <c r="S1215">
        <v>10</v>
      </c>
    </row>
    <row r="1216" spans="1:19" x14ac:dyDescent="0.3">
      <c r="A1216" s="1">
        <v>42298</v>
      </c>
      <c r="B1216">
        <v>2015</v>
      </c>
      <c r="C1216" t="s">
        <v>29</v>
      </c>
      <c r="D1216" s="4">
        <v>116380</v>
      </c>
      <c r="E1216" s="2">
        <v>148000</v>
      </c>
      <c r="F1216" t="s">
        <v>19</v>
      </c>
      <c r="G1216" t="s">
        <v>20</v>
      </c>
      <c r="H1216">
        <v>3</v>
      </c>
      <c r="I1216">
        <v>2</v>
      </c>
      <c r="J1216">
        <v>901</v>
      </c>
      <c r="K1216" s="5">
        <v>1.3402249999999999E-2</v>
      </c>
      <c r="L1216" t="s">
        <v>32</v>
      </c>
      <c r="M1216" s="4">
        <v>31620</v>
      </c>
      <c r="N1216" s="3">
        <v>164.2619</v>
      </c>
      <c r="O1216" t="s">
        <v>22</v>
      </c>
      <c r="P1216" t="s">
        <v>23</v>
      </c>
      <c r="Q1216" t="s">
        <v>24</v>
      </c>
      <c r="R1216" t="s">
        <v>53</v>
      </c>
      <c r="S1216">
        <v>10</v>
      </c>
    </row>
    <row r="1217" spans="1:19" x14ac:dyDescent="0.3">
      <c r="A1217" s="1">
        <v>42300</v>
      </c>
      <c r="B1217">
        <v>2015</v>
      </c>
      <c r="C1217" t="s">
        <v>29</v>
      </c>
      <c r="D1217" s="4">
        <v>148990</v>
      </c>
      <c r="E1217" s="2">
        <v>159000</v>
      </c>
      <c r="F1217" t="s">
        <v>30</v>
      </c>
      <c r="G1217" t="s">
        <v>31</v>
      </c>
      <c r="H1217">
        <v>4</v>
      </c>
      <c r="I1217">
        <v>2</v>
      </c>
      <c r="J1217">
        <v>1311</v>
      </c>
      <c r="K1217" s="5">
        <v>1.3402249999999999E-2</v>
      </c>
      <c r="L1217" t="s">
        <v>27</v>
      </c>
      <c r="M1217" s="4">
        <v>10010</v>
      </c>
      <c r="N1217" s="3">
        <v>121.28149999999999</v>
      </c>
      <c r="O1217" t="s">
        <v>22</v>
      </c>
      <c r="P1217" t="s">
        <v>23</v>
      </c>
      <c r="Q1217" t="s">
        <v>34</v>
      </c>
      <c r="R1217" t="s">
        <v>53</v>
      </c>
      <c r="S1217">
        <v>10</v>
      </c>
    </row>
    <row r="1218" spans="1:19" x14ac:dyDescent="0.3">
      <c r="A1218" s="1">
        <v>42301</v>
      </c>
      <c r="B1218">
        <v>2015</v>
      </c>
      <c r="C1218" t="s">
        <v>40</v>
      </c>
      <c r="D1218" s="4">
        <v>130260</v>
      </c>
      <c r="E1218" s="2">
        <v>85000</v>
      </c>
      <c r="F1218" t="s">
        <v>19</v>
      </c>
      <c r="G1218" t="s">
        <v>20</v>
      </c>
      <c r="H1218">
        <v>3</v>
      </c>
      <c r="I1218">
        <v>1</v>
      </c>
      <c r="J1218">
        <v>1064</v>
      </c>
      <c r="K1218" s="5">
        <v>1.3402249999999999E-2</v>
      </c>
      <c r="L1218" t="s">
        <v>21</v>
      </c>
      <c r="M1218" s="4">
        <v>-45260</v>
      </c>
      <c r="N1218" s="3">
        <v>79.887200000000007</v>
      </c>
      <c r="O1218" t="s">
        <v>33</v>
      </c>
      <c r="P1218" t="s">
        <v>23</v>
      </c>
      <c r="Q1218" t="s">
        <v>24</v>
      </c>
      <c r="R1218" t="s">
        <v>53</v>
      </c>
      <c r="S1218">
        <v>10</v>
      </c>
    </row>
    <row r="1219" spans="1:19" x14ac:dyDescent="0.3">
      <c r="A1219" s="1">
        <v>42302</v>
      </c>
      <c r="B1219">
        <v>2015</v>
      </c>
      <c r="C1219" t="s">
        <v>56</v>
      </c>
      <c r="D1219" s="4">
        <v>389190</v>
      </c>
      <c r="E1219" s="2">
        <v>668000</v>
      </c>
      <c r="F1219" t="s">
        <v>19</v>
      </c>
      <c r="G1219" t="s">
        <v>20</v>
      </c>
      <c r="H1219">
        <v>3</v>
      </c>
      <c r="I1219">
        <v>3</v>
      </c>
      <c r="J1219">
        <v>1111.6589814177564</v>
      </c>
      <c r="K1219" s="5">
        <v>1.3402249999999999E-2</v>
      </c>
      <c r="L1219" t="s">
        <v>21</v>
      </c>
      <c r="M1219" s="4">
        <v>278810</v>
      </c>
      <c r="N1219" s="3">
        <v>600.90369999999996</v>
      </c>
      <c r="O1219" t="s">
        <v>22</v>
      </c>
      <c r="P1219" t="s">
        <v>28</v>
      </c>
      <c r="Q1219" t="s">
        <v>24</v>
      </c>
      <c r="R1219" t="s">
        <v>53</v>
      </c>
      <c r="S1219">
        <v>10</v>
      </c>
    </row>
    <row r="1220" spans="1:19" x14ac:dyDescent="0.3">
      <c r="A1220" s="1">
        <v>42305</v>
      </c>
      <c r="B1220">
        <v>2015</v>
      </c>
      <c r="C1220" t="s">
        <v>56</v>
      </c>
      <c r="D1220" s="4">
        <v>759340</v>
      </c>
      <c r="E1220" s="2">
        <v>1125000</v>
      </c>
      <c r="F1220" t="s">
        <v>19</v>
      </c>
      <c r="G1220" t="s">
        <v>20</v>
      </c>
      <c r="H1220">
        <v>3</v>
      </c>
      <c r="I1220">
        <v>3</v>
      </c>
      <c r="J1220">
        <v>989</v>
      </c>
      <c r="K1220" s="5">
        <v>1.3402249999999999E-2</v>
      </c>
      <c r="L1220" t="s">
        <v>38</v>
      </c>
      <c r="M1220" s="4">
        <v>365660</v>
      </c>
      <c r="N1220" s="3">
        <v>1137.5126</v>
      </c>
      <c r="O1220" t="s">
        <v>22</v>
      </c>
      <c r="P1220" t="s">
        <v>28</v>
      </c>
      <c r="Q1220" t="s">
        <v>24</v>
      </c>
      <c r="R1220" t="s">
        <v>53</v>
      </c>
      <c r="S1220">
        <v>10</v>
      </c>
    </row>
    <row r="1221" spans="1:19" x14ac:dyDescent="0.3">
      <c r="A1221" s="1">
        <v>42306</v>
      </c>
      <c r="B1221">
        <v>2015</v>
      </c>
      <c r="C1221" t="s">
        <v>40</v>
      </c>
      <c r="D1221" s="4">
        <v>444584.20699999999</v>
      </c>
      <c r="E1221" s="2">
        <v>50000</v>
      </c>
      <c r="F1221" t="s">
        <v>19</v>
      </c>
      <c r="G1221" t="s">
        <v>20</v>
      </c>
      <c r="H1221">
        <v>3</v>
      </c>
      <c r="I1221">
        <v>1</v>
      </c>
      <c r="J1221">
        <v>939</v>
      </c>
      <c r="K1221" s="5">
        <v>1.3402249999999999E-2</v>
      </c>
      <c r="L1221" t="s">
        <v>21</v>
      </c>
      <c r="M1221" s="4">
        <v>-394584.20699999999</v>
      </c>
      <c r="N1221" s="3">
        <v>53.248100000000001</v>
      </c>
      <c r="O1221" t="s">
        <v>33</v>
      </c>
      <c r="P1221" t="s">
        <v>23</v>
      </c>
      <c r="Q1221" t="s">
        <v>24</v>
      </c>
      <c r="R1221" t="s">
        <v>53</v>
      </c>
      <c r="S1221">
        <v>10</v>
      </c>
    </row>
    <row r="1222" spans="1:19" x14ac:dyDescent="0.3">
      <c r="A1222" s="1">
        <v>42307</v>
      </c>
      <c r="B1222">
        <v>2015</v>
      </c>
      <c r="C1222" t="s">
        <v>52</v>
      </c>
      <c r="D1222" s="4">
        <v>111790</v>
      </c>
      <c r="E1222" s="2">
        <v>155000</v>
      </c>
      <c r="F1222" t="s">
        <v>19</v>
      </c>
      <c r="G1222" t="s">
        <v>20</v>
      </c>
      <c r="H1222">
        <v>3</v>
      </c>
      <c r="I1222">
        <v>3</v>
      </c>
      <c r="J1222">
        <v>947</v>
      </c>
      <c r="K1222" s="5">
        <v>1.3402249999999999E-2</v>
      </c>
      <c r="L1222" t="s">
        <v>32</v>
      </c>
      <c r="M1222" s="4">
        <v>43210</v>
      </c>
      <c r="N1222" s="3">
        <v>163.6748</v>
      </c>
      <c r="O1222" t="s">
        <v>22</v>
      </c>
      <c r="P1222" t="s">
        <v>23</v>
      </c>
      <c r="Q1222" t="s">
        <v>24</v>
      </c>
      <c r="R1222" t="s">
        <v>53</v>
      </c>
      <c r="S1222">
        <v>10</v>
      </c>
    </row>
    <row r="1223" spans="1:19" x14ac:dyDescent="0.3">
      <c r="A1223" s="1">
        <v>42308</v>
      </c>
      <c r="B1223">
        <v>2015</v>
      </c>
      <c r="C1223" t="s">
        <v>56</v>
      </c>
      <c r="D1223" s="4">
        <v>283220</v>
      </c>
      <c r="E1223" s="2">
        <v>525000</v>
      </c>
      <c r="F1223" t="s">
        <v>30</v>
      </c>
      <c r="G1223" t="s">
        <v>31</v>
      </c>
      <c r="H1223">
        <v>4</v>
      </c>
      <c r="I1223">
        <v>2</v>
      </c>
      <c r="J1223">
        <v>1315</v>
      </c>
      <c r="K1223" s="5">
        <v>1.3402249999999999E-2</v>
      </c>
      <c r="L1223" t="s">
        <v>21</v>
      </c>
      <c r="M1223" s="4">
        <v>241780</v>
      </c>
      <c r="N1223" s="3">
        <v>399.23950000000002</v>
      </c>
      <c r="O1223" t="s">
        <v>22</v>
      </c>
      <c r="P1223" t="s">
        <v>24</v>
      </c>
      <c r="Q1223" t="s">
        <v>34</v>
      </c>
      <c r="R1223" t="s">
        <v>53</v>
      </c>
      <c r="S1223">
        <v>10</v>
      </c>
    </row>
    <row r="1224" spans="1:19" x14ac:dyDescent="0.3">
      <c r="A1224" s="1">
        <v>42309</v>
      </c>
      <c r="B1224">
        <v>2015</v>
      </c>
      <c r="C1224" t="s">
        <v>40</v>
      </c>
      <c r="D1224" s="4">
        <v>107010</v>
      </c>
      <c r="E1224" s="2">
        <v>139000</v>
      </c>
      <c r="F1224" t="s">
        <v>19</v>
      </c>
      <c r="G1224" t="s">
        <v>20</v>
      </c>
      <c r="H1224">
        <v>3</v>
      </c>
      <c r="I1224">
        <v>2</v>
      </c>
      <c r="J1224">
        <v>966</v>
      </c>
      <c r="K1224" s="5">
        <v>1.3402249999999999E-2</v>
      </c>
      <c r="L1224" t="s">
        <v>21</v>
      </c>
      <c r="M1224" s="4">
        <v>31990</v>
      </c>
      <c r="N1224" s="3">
        <v>143.89230000000001</v>
      </c>
      <c r="O1224" t="s">
        <v>22</v>
      </c>
      <c r="P1224" t="s">
        <v>23</v>
      </c>
      <c r="Q1224" t="s">
        <v>24</v>
      </c>
      <c r="R1224" t="s">
        <v>54</v>
      </c>
      <c r="S1224">
        <v>11</v>
      </c>
    </row>
    <row r="1225" spans="1:19" x14ac:dyDescent="0.3">
      <c r="A1225" s="1">
        <v>42312</v>
      </c>
      <c r="B1225">
        <v>2015</v>
      </c>
      <c r="C1225" t="s">
        <v>39</v>
      </c>
      <c r="D1225" s="4">
        <v>566090</v>
      </c>
      <c r="E1225" s="2">
        <v>1125000</v>
      </c>
      <c r="F1225" t="s">
        <v>19</v>
      </c>
      <c r="G1225" t="s">
        <v>20</v>
      </c>
      <c r="H1225">
        <v>3</v>
      </c>
      <c r="I1225">
        <v>1</v>
      </c>
      <c r="J1225">
        <v>970</v>
      </c>
      <c r="K1225" s="5">
        <v>1.3402249999999999E-2</v>
      </c>
      <c r="L1225" t="s">
        <v>27</v>
      </c>
      <c r="M1225" s="4">
        <v>558910</v>
      </c>
      <c r="N1225" s="3">
        <v>1159.7937999999999</v>
      </c>
      <c r="O1225" t="s">
        <v>22</v>
      </c>
      <c r="P1225" t="s">
        <v>28</v>
      </c>
      <c r="Q1225" t="s">
        <v>24</v>
      </c>
      <c r="R1225" t="s">
        <v>54</v>
      </c>
      <c r="S1225">
        <v>11</v>
      </c>
    </row>
    <row r="1226" spans="1:19" x14ac:dyDescent="0.3">
      <c r="A1226" s="1">
        <v>42313</v>
      </c>
      <c r="B1226">
        <v>2015</v>
      </c>
      <c r="C1226" t="s">
        <v>35</v>
      </c>
      <c r="D1226" s="4">
        <v>539630</v>
      </c>
      <c r="E1226" s="2">
        <v>1315000</v>
      </c>
      <c r="F1226" t="s">
        <v>19</v>
      </c>
      <c r="G1226" t="s">
        <v>20</v>
      </c>
      <c r="H1226">
        <v>3</v>
      </c>
      <c r="I1226">
        <v>2</v>
      </c>
      <c r="J1226">
        <v>1063</v>
      </c>
      <c r="K1226" s="5">
        <v>1.3402249999999999E-2</v>
      </c>
      <c r="L1226" t="s">
        <v>32</v>
      </c>
      <c r="M1226" s="4">
        <v>775370</v>
      </c>
      <c r="N1226" s="3">
        <v>1237.0649000000001</v>
      </c>
      <c r="O1226" t="s">
        <v>22</v>
      </c>
      <c r="P1226" t="s">
        <v>28</v>
      </c>
      <c r="Q1226" t="s">
        <v>24</v>
      </c>
      <c r="R1226" t="s">
        <v>54</v>
      </c>
      <c r="S1226">
        <v>11</v>
      </c>
    </row>
    <row r="1227" spans="1:19" x14ac:dyDescent="0.3">
      <c r="A1227" s="1">
        <v>42320</v>
      </c>
      <c r="B1227">
        <v>2015</v>
      </c>
      <c r="C1227" t="s">
        <v>18</v>
      </c>
      <c r="D1227" s="4">
        <v>444584.20699999999</v>
      </c>
      <c r="E1227" s="2">
        <v>55000</v>
      </c>
      <c r="F1227" t="s">
        <v>36</v>
      </c>
      <c r="G1227" t="s">
        <v>37</v>
      </c>
      <c r="H1227">
        <v>6</v>
      </c>
      <c r="I1227">
        <v>6</v>
      </c>
      <c r="J1227">
        <v>2044</v>
      </c>
      <c r="K1227" s="5">
        <v>1.3402249999999999E-2</v>
      </c>
      <c r="L1227" t="s">
        <v>27</v>
      </c>
      <c r="M1227" s="4">
        <v>-389584.20699999999</v>
      </c>
      <c r="N1227" s="3">
        <v>26.908000000000001</v>
      </c>
      <c r="O1227" t="s">
        <v>33</v>
      </c>
      <c r="P1227" t="s">
        <v>23</v>
      </c>
      <c r="Q1227" t="s">
        <v>34</v>
      </c>
      <c r="R1227" t="s">
        <v>54</v>
      </c>
      <c r="S1227">
        <v>11</v>
      </c>
    </row>
    <row r="1228" spans="1:19" x14ac:dyDescent="0.3">
      <c r="A1228" s="1">
        <v>42323</v>
      </c>
      <c r="B1228">
        <v>2015</v>
      </c>
      <c r="C1228" t="s">
        <v>35</v>
      </c>
      <c r="D1228" s="4">
        <v>1303400</v>
      </c>
      <c r="E1228" s="2">
        <v>2600000</v>
      </c>
      <c r="F1228" t="s">
        <v>19</v>
      </c>
      <c r="G1228" t="s">
        <v>20</v>
      </c>
      <c r="H1228">
        <v>3</v>
      </c>
      <c r="I1228">
        <v>1</v>
      </c>
      <c r="J1228">
        <v>938</v>
      </c>
      <c r="K1228" s="5">
        <v>1.3402249999999999E-2</v>
      </c>
      <c r="L1228" t="s">
        <v>32</v>
      </c>
      <c r="M1228" s="4">
        <v>1296600</v>
      </c>
      <c r="N1228" s="3">
        <v>2771.855</v>
      </c>
      <c r="O1228" t="s">
        <v>22</v>
      </c>
      <c r="P1228" t="s">
        <v>28</v>
      </c>
      <c r="Q1228" t="s">
        <v>24</v>
      </c>
      <c r="R1228" t="s">
        <v>54</v>
      </c>
      <c r="S1228">
        <v>11</v>
      </c>
    </row>
    <row r="1229" spans="1:19" x14ac:dyDescent="0.3">
      <c r="A1229" s="1">
        <v>42328</v>
      </c>
      <c r="B1229">
        <v>2015</v>
      </c>
      <c r="C1229" t="s">
        <v>40</v>
      </c>
      <c r="D1229" s="4">
        <v>794990</v>
      </c>
      <c r="E1229" s="2">
        <v>1335000</v>
      </c>
      <c r="F1229" t="s">
        <v>19</v>
      </c>
      <c r="G1229" t="s">
        <v>20</v>
      </c>
      <c r="H1229">
        <v>3</v>
      </c>
      <c r="I1229">
        <v>1</v>
      </c>
      <c r="J1229">
        <v>1027</v>
      </c>
      <c r="K1229" s="5">
        <v>1.3402249999999999E-2</v>
      </c>
      <c r="L1229" t="s">
        <v>21</v>
      </c>
      <c r="M1229" s="4">
        <v>540010</v>
      </c>
      <c r="N1229" s="3">
        <v>1299.9025999999999</v>
      </c>
      <c r="O1229" t="s">
        <v>22</v>
      </c>
      <c r="P1229" t="s">
        <v>28</v>
      </c>
      <c r="Q1229" t="s">
        <v>24</v>
      </c>
      <c r="R1229" t="s">
        <v>54</v>
      </c>
      <c r="S1229">
        <v>11</v>
      </c>
    </row>
    <row r="1230" spans="1:19" x14ac:dyDescent="0.3">
      <c r="A1230" s="1">
        <v>42330</v>
      </c>
      <c r="B1230">
        <v>2015</v>
      </c>
      <c r="C1230" t="s">
        <v>56</v>
      </c>
      <c r="D1230" s="4">
        <v>283030</v>
      </c>
      <c r="E1230" s="2">
        <v>300000</v>
      </c>
      <c r="F1230" t="s">
        <v>19</v>
      </c>
      <c r="G1230" t="s">
        <v>20</v>
      </c>
      <c r="H1230">
        <v>3</v>
      </c>
      <c r="I1230">
        <v>1</v>
      </c>
      <c r="J1230">
        <v>940</v>
      </c>
      <c r="K1230" s="5">
        <v>1.3402249999999999E-2</v>
      </c>
      <c r="L1230" t="s">
        <v>38</v>
      </c>
      <c r="M1230" s="4">
        <v>16970</v>
      </c>
      <c r="N1230" s="3">
        <v>319.14890000000003</v>
      </c>
      <c r="O1230" t="s">
        <v>22</v>
      </c>
      <c r="P1230" t="s">
        <v>24</v>
      </c>
      <c r="Q1230" t="s">
        <v>24</v>
      </c>
      <c r="R1230" t="s">
        <v>54</v>
      </c>
      <c r="S1230">
        <v>11</v>
      </c>
    </row>
    <row r="1231" spans="1:19" x14ac:dyDescent="0.3">
      <c r="A1231" s="1">
        <v>42333</v>
      </c>
      <c r="B1231">
        <v>2015</v>
      </c>
      <c r="C1231" t="s">
        <v>29</v>
      </c>
      <c r="D1231" s="4">
        <v>191700</v>
      </c>
      <c r="E1231" s="2">
        <v>228000</v>
      </c>
      <c r="F1231" t="s">
        <v>19</v>
      </c>
      <c r="G1231" t="s">
        <v>20</v>
      </c>
      <c r="H1231">
        <v>3</v>
      </c>
      <c r="I1231">
        <v>1</v>
      </c>
      <c r="J1231">
        <v>918</v>
      </c>
      <c r="K1231" s="5">
        <v>1.3402249999999999E-2</v>
      </c>
      <c r="L1231" t="s">
        <v>32</v>
      </c>
      <c r="M1231" s="4">
        <v>36300</v>
      </c>
      <c r="N1231" s="3">
        <v>248.36600000000001</v>
      </c>
      <c r="O1231" t="s">
        <v>22</v>
      </c>
      <c r="P1231" t="s">
        <v>24</v>
      </c>
      <c r="Q1231" t="s">
        <v>24</v>
      </c>
      <c r="R1231" t="s">
        <v>54</v>
      </c>
      <c r="S1231">
        <v>11</v>
      </c>
    </row>
    <row r="1232" spans="1:19" x14ac:dyDescent="0.3">
      <c r="A1232" s="1">
        <v>42335</v>
      </c>
      <c r="B1232">
        <v>2015</v>
      </c>
      <c r="C1232" t="s">
        <v>40</v>
      </c>
      <c r="D1232" s="4">
        <v>1207440</v>
      </c>
      <c r="E1232" s="2">
        <v>646750</v>
      </c>
      <c r="F1232" t="s">
        <v>19</v>
      </c>
      <c r="G1232" t="s">
        <v>20</v>
      </c>
      <c r="H1232">
        <v>3</v>
      </c>
      <c r="I1232">
        <v>3</v>
      </c>
      <c r="J1232">
        <v>910</v>
      </c>
      <c r="K1232" s="5">
        <v>1.3402249999999999E-2</v>
      </c>
      <c r="L1232" t="s">
        <v>27</v>
      </c>
      <c r="M1232" s="4">
        <v>-560690</v>
      </c>
      <c r="N1232" s="3">
        <v>710.71429999999998</v>
      </c>
      <c r="O1232" t="s">
        <v>33</v>
      </c>
      <c r="P1232" t="s">
        <v>28</v>
      </c>
      <c r="Q1232" t="s">
        <v>24</v>
      </c>
      <c r="R1232" t="s">
        <v>54</v>
      </c>
      <c r="S1232">
        <v>11</v>
      </c>
    </row>
    <row r="1233" spans="1:19" x14ac:dyDescent="0.3">
      <c r="A1233" s="1">
        <v>42340</v>
      </c>
      <c r="B1233">
        <v>2015</v>
      </c>
      <c r="C1233" t="s">
        <v>29</v>
      </c>
      <c r="D1233" s="4">
        <v>210480</v>
      </c>
      <c r="E1233" s="2">
        <v>155000</v>
      </c>
      <c r="F1233" t="s">
        <v>36</v>
      </c>
      <c r="G1233" t="s">
        <v>37</v>
      </c>
      <c r="H1233">
        <v>6</v>
      </c>
      <c r="I1233">
        <v>4</v>
      </c>
      <c r="J1233">
        <v>2080</v>
      </c>
      <c r="K1233" s="5">
        <v>1.3402249999999999E-2</v>
      </c>
      <c r="L1233" t="s">
        <v>27</v>
      </c>
      <c r="M1233" s="4">
        <v>-55480</v>
      </c>
      <c r="N1233" s="3">
        <v>74.519199999999998</v>
      </c>
      <c r="O1233" t="s">
        <v>33</v>
      </c>
      <c r="P1233" t="s">
        <v>23</v>
      </c>
      <c r="Q1233" t="s">
        <v>34</v>
      </c>
      <c r="R1233" t="s">
        <v>55</v>
      </c>
      <c r="S1233">
        <v>12</v>
      </c>
    </row>
    <row r="1234" spans="1:19" x14ac:dyDescent="0.3">
      <c r="A1234" s="1">
        <v>42341</v>
      </c>
      <c r="B1234">
        <v>2015</v>
      </c>
      <c r="C1234" t="s">
        <v>56</v>
      </c>
      <c r="D1234" s="4">
        <v>348530</v>
      </c>
      <c r="E1234" s="2">
        <v>520000</v>
      </c>
      <c r="F1234" t="s">
        <v>19</v>
      </c>
      <c r="G1234" t="s">
        <v>20</v>
      </c>
      <c r="H1234">
        <v>3</v>
      </c>
      <c r="I1234">
        <v>1</v>
      </c>
      <c r="J1234">
        <v>1111.6589814177564</v>
      </c>
      <c r="K1234" s="5">
        <v>1.3402249999999999E-2</v>
      </c>
      <c r="L1234" t="s">
        <v>32</v>
      </c>
      <c r="M1234" s="4">
        <v>171470</v>
      </c>
      <c r="N1234" s="3">
        <v>467.76940000000002</v>
      </c>
      <c r="O1234" t="s">
        <v>22</v>
      </c>
      <c r="P1234" t="s">
        <v>24</v>
      </c>
      <c r="Q1234" t="s">
        <v>24</v>
      </c>
      <c r="R1234" t="s">
        <v>55</v>
      </c>
      <c r="S1234">
        <v>12</v>
      </c>
    </row>
    <row r="1235" spans="1:19" x14ac:dyDescent="0.3">
      <c r="A1235" s="1">
        <v>42342</v>
      </c>
      <c r="B1235">
        <v>2015</v>
      </c>
      <c r="C1235" t="s">
        <v>29</v>
      </c>
      <c r="D1235" s="4">
        <v>172600</v>
      </c>
      <c r="E1235" s="2">
        <v>66000</v>
      </c>
      <c r="F1235" t="s">
        <v>30</v>
      </c>
      <c r="G1235" t="s">
        <v>31</v>
      </c>
      <c r="H1235">
        <v>4</v>
      </c>
      <c r="I1235">
        <v>3</v>
      </c>
      <c r="J1235">
        <v>1332</v>
      </c>
      <c r="K1235" s="5">
        <v>1.3402249999999999E-2</v>
      </c>
      <c r="L1235" t="s">
        <v>27</v>
      </c>
      <c r="M1235" s="4">
        <v>-106600</v>
      </c>
      <c r="N1235" s="3">
        <v>49.549500000000002</v>
      </c>
      <c r="O1235" t="s">
        <v>33</v>
      </c>
      <c r="P1235" t="s">
        <v>23</v>
      </c>
      <c r="Q1235" t="s">
        <v>34</v>
      </c>
      <c r="R1235" t="s">
        <v>55</v>
      </c>
      <c r="S1235">
        <v>12</v>
      </c>
    </row>
    <row r="1236" spans="1:19" x14ac:dyDescent="0.3">
      <c r="A1236" s="1">
        <v>42343</v>
      </c>
      <c r="B1236">
        <v>2015</v>
      </c>
      <c r="C1236" t="s">
        <v>18</v>
      </c>
      <c r="D1236" s="4">
        <v>444584.20699999999</v>
      </c>
      <c r="E1236" s="2">
        <v>125000</v>
      </c>
      <c r="F1236" t="s">
        <v>19</v>
      </c>
      <c r="G1236" t="s">
        <v>20</v>
      </c>
      <c r="H1236">
        <v>3</v>
      </c>
      <c r="I1236">
        <v>2</v>
      </c>
      <c r="J1236">
        <v>1090</v>
      </c>
      <c r="K1236" s="5">
        <v>1.3402249999999999E-2</v>
      </c>
      <c r="L1236" t="s">
        <v>38</v>
      </c>
      <c r="M1236" s="4">
        <v>-319584.20699999999</v>
      </c>
      <c r="N1236" s="3">
        <v>114.6789</v>
      </c>
      <c r="O1236" t="s">
        <v>33</v>
      </c>
      <c r="P1236" t="s">
        <v>23</v>
      </c>
      <c r="Q1236" t="s">
        <v>24</v>
      </c>
      <c r="R1236" t="s">
        <v>55</v>
      </c>
      <c r="S1236">
        <v>12</v>
      </c>
    </row>
    <row r="1237" spans="1:19" x14ac:dyDescent="0.3">
      <c r="A1237" s="1">
        <v>42344</v>
      </c>
      <c r="B1237">
        <v>2015</v>
      </c>
      <c r="C1237" t="s">
        <v>39</v>
      </c>
      <c r="D1237" s="4">
        <v>499100</v>
      </c>
      <c r="E1237" s="2">
        <v>558000</v>
      </c>
      <c r="F1237" t="s">
        <v>19</v>
      </c>
      <c r="G1237" t="s">
        <v>20</v>
      </c>
      <c r="H1237">
        <v>3</v>
      </c>
      <c r="I1237">
        <v>1</v>
      </c>
      <c r="J1237">
        <v>1023</v>
      </c>
      <c r="K1237" s="5">
        <v>1.3402249999999999E-2</v>
      </c>
      <c r="L1237" t="s">
        <v>32</v>
      </c>
      <c r="M1237" s="4">
        <v>58900</v>
      </c>
      <c r="N1237" s="3">
        <v>545.45450000000005</v>
      </c>
      <c r="O1237" t="s">
        <v>22</v>
      </c>
      <c r="P1237" t="s">
        <v>24</v>
      </c>
      <c r="Q1237" t="s">
        <v>24</v>
      </c>
      <c r="R1237" t="s">
        <v>55</v>
      </c>
      <c r="S1237">
        <v>12</v>
      </c>
    </row>
    <row r="1238" spans="1:19" x14ac:dyDescent="0.3">
      <c r="A1238" s="1">
        <v>42348</v>
      </c>
      <c r="B1238">
        <v>2015</v>
      </c>
      <c r="C1238" t="s">
        <v>29</v>
      </c>
      <c r="D1238" s="4">
        <v>173900</v>
      </c>
      <c r="E1238" s="2">
        <v>110000</v>
      </c>
      <c r="F1238" t="s">
        <v>36</v>
      </c>
      <c r="G1238" t="s">
        <v>37</v>
      </c>
      <c r="H1238">
        <v>6</v>
      </c>
      <c r="I1238">
        <v>6</v>
      </c>
      <c r="J1238">
        <v>1954</v>
      </c>
      <c r="K1238" s="5">
        <v>1.3402249999999999E-2</v>
      </c>
      <c r="L1238" t="s">
        <v>32</v>
      </c>
      <c r="M1238" s="4">
        <v>-63900</v>
      </c>
      <c r="N1238" s="3">
        <v>56.294800000000002</v>
      </c>
      <c r="O1238" t="s">
        <v>33</v>
      </c>
      <c r="P1238" t="s">
        <v>23</v>
      </c>
      <c r="Q1238" t="s">
        <v>34</v>
      </c>
      <c r="R1238" t="s">
        <v>55</v>
      </c>
      <c r="S1238">
        <v>12</v>
      </c>
    </row>
    <row r="1239" spans="1:19" x14ac:dyDescent="0.3">
      <c r="A1239" s="1">
        <v>42349</v>
      </c>
      <c r="B1239">
        <v>2015</v>
      </c>
      <c r="C1239" t="s">
        <v>52</v>
      </c>
      <c r="D1239" s="4">
        <v>138110</v>
      </c>
      <c r="E1239" s="2">
        <v>190000</v>
      </c>
      <c r="F1239" t="s">
        <v>19</v>
      </c>
      <c r="G1239" t="s">
        <v>20</v>
      </c>
      <c r="H1239">
        <v>3</v>
      </c>
      <c r="I1239">
        <v>3</v>
      </c>
      <c r="J1239">
        <v>1111.6589814177564</v>
      </c>
      <c r="K1239" s="5">
        <v>1.3402249999999999E-2</v>
      </c>
      <c r="L1239" t="s">
        <v>38</v>
      </c>
      <c r="M1239" s="4">
        <v>51890</v>
      </c>
      <c r="N1239" s="3">
        <v>170.91569999999999</v>
      </c>
      <c r="O1239" t="s">
        <v>22</v>
      </c>
      <c r="P1239" t="s">
        <v>23</v>
      </c>
      <c r="Q1239" t="s">
        <v>24</v>
      </c>
      <c r="R1239" t="s">
        <v>55</v>
      </c>
      <c r="S1239">
        <v>12</v>
      </c>
    </row>
    <row r="1240" spans="1:19" x14ac:dyDescent="0.3">
      <c r="A1240" s="1">
        <v>42350</v>
      </c>
      <c r="B1240">
        <v>2015</v>
      </c>
      <c r="C1240" t="s">
        <v>40</v>
      </c>
      <c r="D1240" s="4">
        <v>444584.20699999999</v>
      </c>
      <c r="E1240" s="2">
        <v>4825000</v>
      </c>
      <c r="F1240" t="s">
        <v>19</v>
      </c>
      <c r="G1240" t="s">
        <v>20</v>
      </c>
      <c r="H1240">
        <v>3</v>
      </c>
      <c r="I1240">
        <v>3</v>
      </c>
      <c r="J1240">
        <v>918</v>
      </c>
      <c r="K1240" s="5">
        <v>1.3402249999999999E-2</v>
      </c>
      <c r="L1240" t="s">
        <v>32</v>
      </c>
      <c r="M1240" s="4">
        <v>4380415.7929999996</v>
      </c>
      <c r="N1240" s="3">
        <v>5255.9912999999997</v>
      </c>
      <c r="O1240" t="s">
        <v>22</v>
      </c>
      <c r="P1240" t="s">
        <v>28</v>
      </c>
      <c r="Q1240" t="s">
        <v>24</v>
      </c>
      <c r="R1240" t="s">
        <v>55</v>
      </c>
      <c r="S1240">
        <v>12</v>
      </c>
    </row>
    <row r="1241" spans="1:19" x14ac:dyDescent="0.3">
      <c r="A1241" s="1">
        <v>42351</v>
      </c>
      <c r="B1241">
        <v>2015</v>
      </c>
      <c r="C1241" t="s">
        <v>18</v>
      </c>
      <c r="D1241" s="4">
        <v>75490</v>
      </c>
      <c r="E1241" s="2">
        <v>64500</v>
      </c>
      <c r="F1241" t="s">
        <v>19</v>
      </c>
      <c r="G1241" t="s">
        <v>20</v>
      </c>
      <c r="H1241">
        <v>3</v>
      </c>
      <c r="I1241">
        <v>3</v>
      </c>
      <c r="J1241">
        <v>962</v>
      </c>
      <c r="K1241" s="5">
        <v>1.3402249999999999E-2</v>
      </c>
      <c r="L1241" t="s">
        <v>21</v>
      </c>
      <c r="M1241" s="4">
        <v>-10990</v>
      </c>
      <c r="N1241" s="3">
        <v>67.047799999999995</v>
      </c>
      <c r="O1241" t="s">
        <v>33</v>
      </c>
      <c r="P1241" t="s">
        <v>23</v>
      </c>
      <c r="Q1241" t="s">
        <v>24</v>
      </c>
      <c r="R1241" t="s">
        <v>55</v>
      </c>
      <c r="S1241">
        <v>12</v>
      </c>
    </row>
    <row r="1242" spans="1:19" x14ac:dyDescent="0.3">
      <c r="A1242" s="1">
        <v>42354</v>
      </c>
      <c r="B1242">
        <v>2015</v>
      </c>
      <c r="C1242" t="s">
        <v>56</v>
      </c>
      <c r="D1242" s="4">
        <v>380470</v>
      </c>
      <c r="E1242" s="2">
        <v>540000</v>
      </c>
      <c r="F1242" t="s">
        <v>19</v>
      </c>
      <c r="G1242" t="s">
        <v>20</v>
      </c>
      <c r="H1242">
        <v>3</v>
      </c>
      <c r="I1242">
        <v>2</v>
      </c>
      <c r="J1242">
        <v>1024</v>
      </c>
      <c r="K1242" s="5">
        <v>1.3402249999999999E-2</v>
      </c>
      <c r="L1242" t="s">
        <v>38</v>
      </c>
      <c r="M1242" s="4">
        <v>159530</v>
      </c>
      <c r="N1242" s="3">
        <v>527.34379999999999</v>
      </c>
      <c r="O1242" t="s">
        <v>22</v>
      </c>
      <c r="P1242" t="s">
        <v>24</v>
      </c>
      <c r="Q1242" t="s">
        <v>24</v>
      </c>
      <c r="R1242" t="s">
        <v>55</v>
      </c>
      <c r="S1242">
        <v>12</v>
      </c>
    </row>
    <row r="1243" spans="1:19" x14ac:dyDescent="0.3">
      <c r="A1243" s="1">
        <v>42355</v>
      </c>
      <c r="B1243">
        <v>2015</v>
      </c>
      <c r="C1243" t="s">
        <v>18</v>
      </c>
      <c r="D1243" s="4">
        <v>138200</v>
      </c>
      <c r="E1243" s="2">
        <v>78750</v>
      </c>
      <c r="F1243" t="s">
        <v>19</v>
      </c>
      <c r="G1243" t="s">
        <v>20</v>
      </c>
      <c r="H1243">
        <v>3</v>
      </c>
      <c r="I1243">
        <v>3</v>
      </c>
      <c r="J1243">
        <v>918</v>
      </c>
      <c r="K1243" s="5">
        <v>1.3402249999999999E-2</v>
      </c>
      <c r="L1243" t="s">
        <v>21</v>
      </c>
      <c r="M1243" s="4">
        <v>-59450</v>
      </c>
      <c r="N1243" s="3">
        <v>85.784300000000002</v>
      </c>
      <c r="O1243" t="s">
        <v>33</v>
      </c>
      <c r="P1243" t="s">
        <v>23</v>
      </c>
      <c r="Q1243" t="s">
        <v>24</v>
      </c>
      <c r="R1243" t="s">
        <v>55</v>
      </c>
      <c r="S1243">
        <v>12</v>
      </c>
    </row>
    <row r="1244" spans="1:19" x14ac:dyDescent="0.3">
      <c r="A1244" s="1">
        <v>42356</v>
      </c>
      <c r="B1244">
        <v>2015</v>
      </c>
      <c r="C1244" t="s">
        <v>18</v>
      </c>
      <c r="D1244" s="4">
        <v>104640</v>
      </c>
      <c r="E1244" s="2">
        <v>145000</v>
      </c>
      <c r="F1244" t="s">
        <v>19</v>
      </c>
      <c r="G1244" t="s">
        <v>20</v>
      </c>
      <c r="H1244">
        <v>3</v>
      </c>
      <c r="I1244">
        <v>3</v>
      </c>
      <c r="J1244">
        <v>1111.6589814177564</v>
      </c>
      <c r="K1244" s="5">
        <v>1.3402249999999999E-2</v>
      </c>
      <c r="L1244" t="s">
        <v>27</v>
      </c>
      <c r="M1244" s="4">
        <v>40360</v>
      </c>
      <c r="N1244" s="3">
        <v>130.4357</v>
      </c>
      <c r="O1244" t="s">
        <v>22</v>
      </c>
      <c r="P1244" t="s">
        <v>23</v>
      </c>
      <c r="Q1244" t="s">
        <v>24</v>
      </c>
      <c r="R1244" t="s">
        <v>55</v>
      </c>
      <c r="S1244">
        <v>12</v>
      </c>
    </row>
    <row r="1245" spans="1:19" x14ac:dyDescent="0.3">
      <c r="A1245" s="1">
        <v>42357</v>
      </c>
      <c r="B1245">
        <v>2015</v>
      </c>
      <c r="C1245" t="s">
        <v>39</v>
      </c>
      <c r="D1245" s="4">
        <v>594860</v>
      </c>
      <c r="E1245" s="2">
        <v>750000</v>
      </c>
      <c r="F1245" t="s">
        <v>19</v>
      </c>
      <c r="G1245" t="s">
        <v>20</v>
      </c>
      <c r="H1245">
        <v>3</v>
      </c>
      <c r="I1245">
        <v>1</v>
      </c>
      <c r="J1245">
        <v>906</v>
      </c>
      <c r="K1245" s="5">
        <v>1.3402249999999999E-2</v>
      </c>
      <c r="L1245" t="s">
        <v>32</v>
      </c>
      <c r="M1245" s="4">
        <v>155140</v>
      </c>
      <c r="N1245" s="3">
        <v>827.81460000000004</v>
      </c>
      <c r="O1245" t="s">
        <v>22</v>
      </c>
      <c r="P1245" t="s">
        <v>28</v>
      </c>
      <c r="Q1245" t="s">
        <v>24</v>
      </c>
      <c r="R1245" t="s">
        <v>55</v>
      </c>
      <c r="S1245">
        <v>12</v>
      </c>
    </row>
    <row r="1246" spans="1:19" x14ac:dyDescent="0.3">
      <c r="A1246" s="1">
        <v>42361</v>
      </c>
      <c r="B1246">
        <v>2015</v>
      </c>
      <c r="C1246" t="s">
        <v>29</v>
      </c>
      <c r="D1246" s="4">
        <v>180020</v>
      </c>
      <c r="E1246" s="2">
        <v>285000</v>
      </c>
      <c r="F1246" t="s">
        <v>30</v>
      </c>
      <c r="G1246" t="s">
        <v>31</v>
      </c>
      <c r="H1246">
        <v>4</v>
      </c>
      <c r="I1246">
        <v>4</v>
      </c>
      <c r="J1246">
        <v>1111.6589814177564</v>
      </c>
      <c r="K1246" s="5">
        <v>1.3402249999999999E-2</v>
      </c>
      <c r="L1246" t="s">
        <v>38</v>
      </c>
      <c r="M1246" s="4">
        <v>104980</v>
      </c>
      <c r="N1246" s="3">
        <v>256.37360000000001</v>
      </c>
      <c r="O1246" t="s">
        <v>22</v>
      </c>
      <c r="P1246" t="s">
        <v>24</v>
      </c>
      <c r="Q1246" t="s">
        <v>24</v>
      </c>
      <c r="R1246" t="s">
        <v>55</v>
      </c>
      <c r="S1246">
        <v>12</v>
      </c>
    </row>
    <row r="1247" spans="1:19" x14ac:dyDescent="0.3">
      <c r="A1247" s="1">
        <v>42362</v>
      </c>
      <c r="B1247">
        <v>2015</v>
      </c>
      <c r="C1247" t="s">
        <v>29</v>
      </c>
      <c r="D1247" s="4">
        <v>107280</v>
      </c>
      <c r="E1247" s="2">
        <v>85000</v>
      </c>
      <c r="F1247" t="s">
        <v>19</v>
      </c>
      <c r="G1247" t="s">
        <v>20</v>
      </c>
      <c r="H1247">
        <v>3</v>
      </c>
      <c r="I1247">
        <v>1</v>
      </c>
      <c r="J1247">
        <v>1027</v>
      </c>
      <c r="K1247" s="5">
        <v>1.3402249999999999E-2</v>
      </c>
      <c r="L1247" t="s">
        <v>32</v>
      </c>
      <c r="M1247" s="4">
        <v>-22280</v>
      </c>
      <c r="N1247" s="3">
        <v>82.765299999999996</v>
      </c>
      <c r="O1247" t="s">
        <v>33</v>
      </c>
      <c r="P1247" t="s">
        <v>23</v>
      </c>
      <c r="Q1247" t="s">
        <v>24</v>
      </c>
      <c r="R1247" t="s">
        <v>55</v>
      </c>
      <c r="S1247">
        <v>12</v>
      </c>
    </row>
    <row r="1248" spans="1:19" x14ac:dyDescent="0.3">
      <c r="A1248" s="1">
        <v>42365</v>
      </c>
      <c r="B1248">
        <v>2015</v>
      </c>
      <c r="C1248" t="s">
        <v>56</v>
      </c>
      <c r="D1248" s="4">
        <v>301520</v>
      </c>
      <c r="E1248" s="2">
        <v>255000</v>
      </c>
      <c r="F1248" t="s">
        <v>42</v>
      </c>
      <c r="G1248" t="s">
        <v>43</v>
      </c>
      <c r="H1248">
        <v>8</v>
      </c>
      <c r="I1248">
        <v>8</v>
      </c>
      <c r="J1248">
        <v>2510</v>
      </c>
      <c r="K1248" s="5">
        <v>1.3402249999999999E-2</v>
      </c>
      <c r="L1248" t="s">
        <v>21</v>
      </c>
      <c r="M1248" s="4">
        <v>-46520</v>
      </c>
      <c r="N1248" s="3">
        <v>101.5936</v>
      </c>
      <c r="O1248" t="s">
        <v>33</v>
      </c>
      <c r="P1248" t="s">
        <v>24</v>
      </c>
      <c r="Q1248" t="s">
        <v>34</v>
      </c>
      <c r="R1248" t="s">
        <v>55</v>
      </c>
      <c r="S1248">
        <v>12</v>
      </c>
    </row>
    <row r="1249" spans="1:19" x14ac:dyDescent="0.3">
      <c r="A1249" s="1">
        <v>42369</v>
      </c>
      <c r="B1249">
        <v>2015</v>
      </c>
      <c r="C1249" t="s">
        <v>40</v>
      </c>
      <c r="D1249" s="4">
        <v>98610</v>
      </c>
      <c r="E1249" s="2">
        <v>119000</v>
      </c>
      <c r="F1249" t="s">
        <v>19</v>
      </c>
      <c r="G1249" t="s">
        <v>20</v>
      </c>
      <c r="H1249">
        <v>3</v>
      </c>
      <c r="I1249">
        <v>3</v>
      </c>
      <c r="J1249">
        <v>983</v>
      </c>
      <c r="K1249" s="5">
        <v>1.3402249999999999E-2</v>
      </c>
      <c r="L1249" t="s">
        <v>21</v>
      </c>
      <c r="M1249" s="4">
        <v>20390</v>
      </c>
      <c r="N1249" s="3">
        <v>121.05800000000001</v>
      </c>
      <c r="O1249" t="s">
        <v>22</v>
      </c>
      <c r="P1249" t="s">
        <v>23</v>
      </c>
      <c r="Q1249" t="s">
        <v>24</v>
      </c>
      <c r="R1249" t="s">
        <v>55</v>
      </c>
      <c r="S1249">
        <v>12</v>
      </c>
    </row>
    <row r="1250" spans="1:19" x14ac:dyDescent="0.3">
      <c r="A1250" s="1">
        <v>42371</v>
      </c>
      <c r="B1250">
        <v>2016</v>
      </c>
      <c r="C1250" t="s">
        <v>39</v>
      </c>
      <c r="D1250" s="4">
        <v>341040</v>
      </c>
      <c r="E1250" s="2">
        <v>675000</v>
      </c>
      <c r="F1250" t="s">
        <v>19</v>
      </c>
      <c r="G1250" t="s">
        <v>20</v>
      </c>
      <c r="H1250">
        <v>3</v>
      </c>
      <c r="I1250">
        <v>1</v>
      </c>
      <c r="J1250">
        <v>1081</v>
      </c>
      <c r="K1250" s="5">
        <v>1.3482589999999999E-2</v>
      </c>
      <c r="L1250" t="s">
        <v>38</v>
      </c>
      <c r="M1250" s="4">
        <v>333960</v>
      </c>
      <c r="N1250" s="3">
        <v>624.42179999999996</v>
      </c>
      <c r="O1250" t="s">
        <v>22</v>
      </c>
      <c r="P1250" t="s">
        <v>28</v>
      </c>
      <c r="Q1250" t="s">
        <v>24</v>
      </c>
      <c r="R1250" t="s">
        <v>25</v>
      </c>
      <c r="S1250">
        <v>1</v>
      </c>
    </row>
    <row r="1251" spans="1:19" x14ac:dyDescent="0.3">
      <c r="A1251" s="1">
        <v>42375</v>
      </c>
      <c r="B1251">
        <v>2016</v>
      </c>
      <c r="C1251" t="s">
        <v>39</v>
      </c>
      <c r="D1251" s="4">
        <v>304920</v>
      </c>
      <c r="E1251" s="2">
        <v>585000</v>
      </c>
      <c r="F1251" t="s">
        <v>19</v>
      </c>
      <c r="G1251" t="s">
        <v>20</v>
      </c>
      <c r="H1251">
        <v>3</v>
      </c>
      <c r="I1251">
        <v>2</v>
      </c>
      <c r="J1251">
        <v>1046</v>
      </c>
      <c r="K1251" s="5">
        <v>1.3482589999999999E-2</v>
      </c>
      <c r="L1251" t="s">
        <v>21</v>
      </c>
      <c r="M1251" s="4">
        <v>280080</v>
      </c>
      <c r="N1251" s="3">
        <v>559.27340000000004</v>
      </c>
      <c r="O1251" t="s">
        <v>22</v>
      </c>
      <c r="P1251" t="s">
        <v>24</v>
      </c>
      <c r="Q1251" t="s">
        <v>24</v>
      </c>
      <c r="R1251" t="s">
        <v>25</v>
      </c>
      <c r="S1251">
        <v>1</v>
      </c>
    </row>
    <row r="1252" spans="1:19" x14ac:dyDescent="0.3">
      <c r="A1252" s="1">
        <v>42377</v>
      </c>
      <c r="B1252">
        <v>2016</v>
      </c>
      <c r="C1252" t="s">
        <v>56</v>
      </c>
      <c r="D1252" s="4">
        <v>218690</v>
      </c>
      <c r="E1252" s="2">
        <v>320000</v>
      </c>
      <c r="F1252" t="s">
        <v>19</v>
      </c>
      <c r="G1252" t="s">
        <v>20</v>
      </c>
      <c r="H1252">
        <v>3</v>
      </c>
      <c r="I1252">
        <v>2</v>
      </c>
      <c r="J1252">
        <v>1086</v>
      </c>
      <c r="K1252" s="5">
        <v>1.3482589999999999E-2</v>
      </c>
      <c r="L1252" t="s">
        <v>32</v>
      </c>
      <c r="M1252" s="4">
        <v>101310</v>
      </c>
      <c r="N1252" s="3">
        <v>294.65929999999997</v>
      </c>
      <c r="O1252" t="s">
        <v>22</v>
      </c>
      <c r="P1252" t="s">
        <v>24</v>
      </c>
      <c r="Q1252" t="s">
        <v>24</v>
      </c>
      <c r="R1252" t="s">
        <v>25</v>
      </c>
      <c r="S1252">
        <v>1</v>
      </c>
    </row>
    <row r="1253" spans="1:19" x14ac:dyDescent="0.3">
      <c r="A1253" s="1">
        <v>42378</v>
      </c>
      <c r="B1253">
        <v>2016</v>
      </c>
      <c r="C1253" t="s">
        <v>40</v>
      </c>
      <c r="D1253" s="4">
        <v>169020</v>
      </c>
      <c r="E1253" s="2">
        <v>85000</v>
      </c>
      <c r="F1253" t="s">
        <v>19</v>
      </c>
      <c r="G1253" t="s">
        <v>20</v>
      </c>
      <c r="H1253">
        <v>3</v>
      </c>
      <c r="I1253">
        <v>1</v>
      </c>
      <c r="J1253">
        <v>972</v>
      </c>
      <c r="K1253" s="5">
        <v>1.3482589999999999E-2</v>
      </c>
      <c r="L1253" t="s">
        <v>27</v>
      </c>
      <c r="M1253" s="4">
        <v>-84020</v>
      </c>
      <c r="N1253" s="3">
        <v>87.448599999999999</v>
      </c>
      <c r="O1253" t="s">
        <v>33</v>
      </c>
      <c r="P1253" t="s">
        <v>23</v>
      </c>
      <c r="Q1253" t="s">
        <v>24</v>
      </c>
      <c r="R1253" t="s">
        <v>25</v>
      </c>
      <c r="S1253">
        <v>1</v>
      </c>
    </row>
    <row r="1254" spans="1:19" x14ac:dyDescent="0.3">
      <c r="A1254" s="1">
        <v>42379</v>
      </c>
      <c r="B1254">
        <v>2016</v>
      </c>
      <c r="C1254" t="s">
        <v>39</v>
      </c>
      <c r="D1254" s="4">
        <v>1307180</v>
      </c>
      <c r="E1254" s="2">
        <v>1100000</v>
      </c>
      <c r="F1254" t="s">
        <v>19</v>
      </c>
      <c r="G1254" t="s">
        <v>20</v>
      </c>
      <c r="H1254">
        <v>3</v>
      </c>
      <c r="I1254">
        <v>3</v>
      </c>
      <c r="J1254">
        <v>911</v>
      </c>
      <c r="K1254" s="5">
        <v>1.3482589999999999E-2</v>
      </c>
      <c r="L1254" t="s">
        <v>38</v>
      </c>
      <c r="M1254" s="4">
        <v>-207180</v>
      </c>
      <c r="N1254" s="3">
        <v>1207.4643000000001</v>
      </c>
      <c r="O1254" t="s">
        <v>33</v>
      </c>
      <c r="P1254" t="s">
        <v>28</v>
      </c>
      <c r="Q1254" t="s">
        <v>24</v>
      </c>
      <c r="R1254" t="s">
        <v>25</v>
      </c>
      <c r="S1254">
        <v>1</v>
      </c>
    </row>
    <row r="1255" spans="1:19" x14ac:dyDescent="0.3">
      <c r="A1255" s="1">
        <v>42382</v>
      </c>
      <c r="B1255">
        <v>2016</v>
      </c>
      <c r="C1255" t="s">
        <v>52</v>
      </c>
      <c r="D1255" s="4">
        <v>444584.20699999999</v>
      </c>
      <c r="E1255" s="2">
        <v>1246505</v>
      </c>
      <c r="F1255" t="s">
        <v>19</v>
      </c>
      <c r="G1255" t="s">
        <v>20</v>
      </c>
      <c r="H1255">
        <v>3</v>
      </c>
      <c r="I1255">
        <v>2</v>
      </c>
      <c r="J1255">
        <v>1039</v>
      </c>
      <c r="K1255" s="5">
        <v>1.3482589999999999E-2</v>
      </c>
      <c r="L1255" t="s">
        <v>38</v>
      </c>
      <c r="M1255" s="4">
        <v>801920.79299999995</v>
      </c>
      <c r="N1255" s="3">
        <v>1199.7161000000001</v>
      </c>
      <c r="O1255" t="s">
        <v>22</v>
      </c>
      <c r="P1255" t="s">
        <v>28</v>
      </c>
      <c r="Q1255" t="s">
        <v>24</v>
      </c>
      <c r="R1255" t="s">
        <v>25</v>
      </c>
      <c r="S1255">
        <v>1</v>
      </c>
    </row>
    <row r="1256" spans="1:19" x14ac:dyDescent="0.3">
      <c r="A1256" s="1">
        <v>42383</v>
      </c>
      <c r="B1256">
        <v>2016</v>
      </c>
      <c r="C1256" t="s">
        <v>35</v>
      </c>
      <c r="D1256" s="4">
        <v>1502830</v>
      </c>
      <c r="E1256" s="2">
        <v>2675000</v>
      </c>
      <c r="F1256" t="s">
        <v>19</v>
      </c>
      <c r="G1256" t="s">
        <v>20</v>
      </c>
      <c r="H1256">
        <v>3</v>
      </c>
      <c r="I1256">
        <v>2</v>
      </c>
      <c r="J1256">
        <v>993</v>
      </c>
      <c r="K1256" s="5">
        <v>1.3482589999999999E-2</v>
      </c>
      <c r="L1256" t="s">
        <v>38</v>
      </c>
      <c r="M1256" s="4">
        <v>1172170</v>
      </c>
      <c r="N1256" s="3">
        <v>2693.857</v>
      </c>
      <c r="O1256" t="s">
        <v>22</v>
      </c>
      <c r="P1256" t="s">
        <v>28</v>
      </c>
      <c r="Q1256" t="s">
        <v>24</v>
      </c>
      <c r="R1256" t="s">
        <v>25</v>
      </c>
      <c r="S1256">
        <v>1</v>
      </c>
    </row>
    <row r="1257" spans="1:19" x14ac:dyDescent="0.3">
      <c r="A1257" s="1">
        <v>42385</v>
      </c>
      <c r="B1257">
        <v>2016</v>
      </c>
      <c r="C1257" t="s">
        <v>29</v>
      </c>
      <c r="D1257" s="4">
        <v>187800</v>
      </c>
      <c r="E1257" s="2">
        <v>70000</v>
      </c>
      <c r="F1257" t="s">
        <v>19</v>
      </c>
      <c r="G1257" t="s">
        <v>20</v>
      </c>
      <c r="H1257">
        <v>3</v>
      </c>
      <c r="I1257">
        <v>2</v>
      </c>
      <c r="J1257">
        <v>1111.6589814177564</v>
      </c>
      <c r="K1257" s="5">
        <v>1.3482589999999999E-2</v>
      </c>
      <c r="L1257" t="s">
        <v>32</v>
      </c>
      <c r="M1257" s="4">
        <v>-117800</v>
      </c>
      <c r="N1257" s="3">
        <v>62.969000000000001</v>
      </c>
      <c r="O1257" t="s">
        <v>33</v>
      </c>
      <c r="P1257" t="s">
        <v>23</v>
      </c>
      <c r="Q1257" t="s">
        <v>24</v>
      </c>
      <c r="R1257" t="s">
        <v>25</v>
      </c>
      <c r="S1257">
        <v>1</v>
      </c>
    </row>
    <row r="1258" spans="1:19" x14ac:dyDescent="0.3">
      <c r="A1258" s="1">
        <v>42386</v>
      </c>
      <c r="B1258">
        <v>2016</v>
      </c>
      <c r="C1258" t="s">
        <v>39</v>
      </c>
      <c r="D1258" s="4">
        <v>625940</v>
      </c>
      <c r="E1258" s="2">
        <v>625000</v>
      </c>
      <c r="F1258" t="s">
        <v>19</v>
      </c>
      <c r="G1258" t="s">
        <v>20</v>
      </c>
      <c r="H1258">
        <v>3</v>
      </c>
      <c r="I1258">
        <v>3</v>
      </c>
      <c r="J1258">
        <v>1111.6589814177564</v>
      </c>
      <c r="K1258" s="5">
        <v>1.3482589999999999E-2</v>
      </c>
      <c r="L1258" t="s">
        <v>21</v>
      </c>
      <c r="M1258" s="4">
        <v>-940</v>
      </c>
      <c r="N1258" s="3">
        <v>562.22280000000001</v>
      </c>
      <c r="O1258" t="s">
        <v>33</v>
      </c>
      <c r="P1258" t="s">
        <v>28</v>
      </c>
      <c r="Q1258" t="s">
        <v>24</v>
      </c>
      <c r="R1258" t="s">
        <v>25</v>
      </c>
      <c r="S1258">
        <v>1</v>
      </c>
    </row>
    <row r="1259" spans="1:19" x14ac:dyDescent="0.3">
      <c r="A1259" s="1">
        <v>42390</v>
      </c>
      <c r="B1259">
        <v>2016</v>
      </c>
      <c r="C1259" t="s">
        <v>40</v>
      </c>
      <c r="D1259" s="4">
        <v>444584.20699999999</v>
      </c>
      <c r="E1259" s="2">
        <v>447500</v>
      </c>
      <c r="F1259" t="s">
        <v>19</v>
      </c>
      <c r="G1259" t="s">
        <v>20</v>
      </c>
      <c r="H1259">
        <v>3</v>
      </c>
      <c r="I1259">
        <v>3</v>
      </c>
      <c r="J1259">
        <v>1010</v>
      </c>
      <c r="K1259" s="5">
        <v>1.3482589999999999E-2</v>
      </c>
      <c r="L1259" t="s">
        <v>21</v>
      </c>
      <c r="M1259" s="4">
        <v>2915.7930000000001</v>
      </c>
      <c r="N1259" s="3">
        <v>443.0693</v>
      </c>
      <c r="O1259" t="s">
        <v>22</v>
      </c>
      <c r="P1259" t="s">
        <v>24</v>
      </c>
      <c r="Q1259" t="s">
        <v>24</v>
      </c>
      <c r="R1259" t="s">
        <v>25</v>
      </c>
      <c r="S1259">
        <v>1</v>
      </c>
    </row>
    <row r="1260" spans="1:19" x14ac:dyDescent="0.3">
      <c r="A1260" s="1">
        <v>42392</v>
      </c>
      <c r="B1260">
        <v>2016</v>
      </c>
      <c r="C1260" t="s">
        <v>39</v>
      </c>
      <c r="D1260" s="4">
        <v>507850</v>
      </c>
      <c r="E1260" s="2">
        <v>800000</v>
      </c>
      <c r="F1260" t="s">
        <v>19</v>
      </c>
      <c r="G1260" t="s">
        <v>20</v>
      </c>
      <c r="H1260">
        <v>3</v>
      </c>
      <c r="I1260">
        <v>2</v>
      </c>
      <c r="J1260">
        <v>929</v>
      </c>
      <c r="K1260" s="5">
        <v>1.3482589999999999E-2</v>
      </c>
      <c r="L1260" t="s">
        <v>32</v>
      </c>
      <c r="M1260" s="4">
        <v>292150</v>
      </c>
      <c r="N1260" s="3">
        <v>861.14099999999996</v>
      </c>
      <c r="O1260" t="s">
        <v>22</v>
      </c>
      <c r="P1260" t="s">
        <v>28</v>
      </c>
      <c r="Q1260" t="s">
        <v>24</v>
      </c>
      <c r="R1260" t="s">
        <v>25</v>
      </c>
      <c r="S1260">
        <v>1</v>
      </c>
    </row>
    <row r="1261" spans="1:19" x14ac:dyDescent="0.3">
      <c r="A1261" s="1">
        <v>42397</v>
      </c>
      <c r="B1261">
        <v>2016</v>
      </c>
      <c r="C1261" t="s">
        <v>56</v>
      </c>
      <c r="D1261" s="4">
        <v>324640</v>
      </c>
      <c r="E1261" s="2">
        <v>545000</v>
      </c>
      <c r="F1261" t="s">
        <v>19</v>
      </c>
      <c r="G1261" t="s">
        <v>20</v>
      </c>
      <c r="H1261">
        <v>3</v>
      </c>
      <c r="I1261">
        <v>1</v>
      </c>
      <c r="J1261">
        <v>1065</v>
      </c>
      <c r="K1261" s="5">
        <v>1.3482589999999999E-2</v>
      </c>
      <c r="L1261" t="s">
        <v>32</v>
      </c>
      <c r="M1261" s="4">
        <v>220360</v>
      </c>
      <c r="N1261" s="3">
        <v>511.7371</v>
      </c>
      <c r="O1261" t="s">
        <v>22</v>
      </c>
      <c r="P1261" t="s">
        <v>24</v>
      </c>
      <c r="Q1261" t="s">
        <v>24</v>
      </c>
      <c r="R1261" t="s">
        <v>25</v>
      </c>
      <c r="S1261">
        <v>1</v>
      </c>
    </row>
    <row r="1262" spans="1:19" x14ac:dyDescent="0.3">
      <c r="A1262" s="1">
        <v>42399</v>
      </c>
      <c r="B1262">
        <v>2016</v>
      </c>
      <c r="C1262" t="s">
        <v>52</v>
      </c>
      <c r="D1262" s="4">
        <v>211190</v>
      </c>
      <c r="E1262" s="2">
        <v>260000</v>
      </c>
      <c r="F1262" t="s">
        <v>19</v>
      </c>
      <c r="G1262" t="s">
        <v>20</v>
      </c>
      <c r="H1262">
        <v>3</v>
      </c>
      <c r="I1262">
        <v>1</v>
      </c>
      <c r="J1262">
        <v>1111.6589814177564</v>
      </c>
      <c r="K1262" s="5">
        <v>1.3482589999999999E-2</v>
      </c>
      <c r="L1262" t="s">
        <v>38</v>
      </c>
      <c r="M1262" s="4">
        <v>48810</v>
      </c>
      <c r="N1262" s="3">
        <v>233.88470000000001</v>
      </c>
      <c r="O1262" t="s">
        <v>22</v>
      </c>
      <c r="P1262" t="s">
        <v>24</v>
      </c>
      <c r="Q1262" t="s">
        <v>24</v>
      </c>
      <c r="R1262" t="s">
        <v>25</v>
      </c>
      <c r="S1262">
        <v>1</v>
      </c>
    </row>
    <row r="1263" spans="1:19" x14ac:dyDescent="0.3">
      <c r="A1263" s="1">
        <v>42400</v>
      </c>
      <c r="B1263">
        <v>2016</v>
      </c>
      <c r="C1263" t="s">
        <v>40</v>
      </c>
      <c r="D1263" s="4">
        <v>69270</v>
      </c>
      <c r="E1263" s="2">
        <v>38500</v>
      </c>
      <c r="F1263" t="s">
        <v>19</v>
      </c>
      <c r="G1263" t="s">
        <v>20</v>
      </c>
      <c r="H1263">
        <v>3</v>
      </c>
      <c r="I1263">
        <v>2</v>
      </c>
      <c r="J1263">
        <v>906</v>
      </c>
      <c r="K1263" s="5">
        <v>1.3482589999999999E-2</v>
      </c>
      <c r="L1263" t="s">
        <v>32</v>
      </c>
      <c r="M1263" s="4">
        <v>-30770</v>
      </c>
      <c r="N1263" s="3">
        <v>42.494500000000002</v>
      </c>
      <c r="O1263" t="s">
        <v>33</v>
      </c>
      <c r="P1263" t="s">
        <v>23</v>
      </c>
      <c r="Q1263" t="s">
        <v>24</v>
      </c>
      <c r="R1263" t="s">
        <v>25</v>
      </c>
      <c r="S1263">
        <v>1</v>
      </c>
    </row>
    <row r="1264" spans="1:19" x14ac:dyDescent="0.3">
      <c r="A1264" s="1">
        <v>42403</v>
      </c>
      <c r="B1264">
        <v>2016</v>
      </c>
      <c r="C1264" t="s">
        <v>52</v>
      </c>
      <c r="D1264" s="4">
        <v>317310</v>
      </c>
      <c r="E1264" s="2">
        <v>390000</v>
      </c>
      <c r="F1264" t="s">
        <v>19</v>
      </c>
      <c r="G1264" t="s">
        <v>20</v>
      </c>
      <c r="H1264">
        <v>3</v>
      </c>
      <c r="I1264">
        <v>3</v>
      </c>
      <c r="J1264">
        <v>911</v>
      </c>
      <c r="K1264" s="5">
        <v>1.3482589999999999E-2</v>
      </c>
      <c r="L1264" t="s">
        <v>32</v>
      </c>
      <c r="M1264" s="4">
        <v>72690</v>
      </c>
      <c r="N1264" s="3">
        <v>428.101</v>
      </c>
      <c r="O1264" t="s">
        <v>22</v>
      </c>
      <c r="P1264" t="s">
        <v>24</v>
      </c>
      <c r="Q1264" t="s">
        <v>24</v>
      </c>
      <c r="R1264" t="s">
        <v>41</v>
      </c>
      <c r="S1264">
        <v>2</v>
      </c>
    </row>
    <row r="1265" spans="1:19" x14ac:dyDescent="0.3">
      <c r="A1265" s="1">
        <v>42404</v>
      </c>
      <c r="B1265">
        <v>2016</v>
      </c>
      <c r="C1265" t="s">
        <v>18</v>
      </c>
      <c r="D1265" s="4">
        <v>45420</v>
      </c>
      <c r="E1265" s="2">
        <v>70000</v>
      </c>
      <c r="F1265" t="s">
        <v>36</v>
      </c>
      <c r="G1265" t="s">
        <v>37</v>
      </c>
      <c r="H1265">
        <v>6</v>
      </c>
      <c r="I1265">
        <v>4</v>
      </c>
      <c r="J1265">
        <v>1811</v>
      </c>
      <c r="K1265" s="5">
        <v>1.3482589999999999E-2</v>
      </c>
      <c r="L1265" t="s">
        <v>21</v>
      </c>
      <c r="M1265" s="4">
        <v>24580</v>
      </c>
      <c r="N1265" s="3">
        <v>38.652700000000003</v>
      </c>
      <c r="O1265" t="s">
        <v>22</v>
      </c>
      <c r="P1265" t="s">
        <v>23</v>
      </c>
      <c r="Q1265" t="s">
        <v>34</v>
      </c>
      <c r="R1265" t="s">
        <v>41</v>
      </c>
      <c r="S1265">
        <v>2</v>
      </c>
    </row>
    <row r="1266" spans="1:19" x14ac:dyDescent="0.3">
      <c r="A1266" s="1">
        <v>42406</v>
      </c>
      <c r="B1266">
        <v>2016</v>
      </c>
      <c r="C1266" t="s">
        <v>29</v>
      </c>
      <c r="D1266" s="4">
        <v>193870</v>
      </c>
      <c r="E1266" s="2">
        <v>260000</v>
      </c>
      <c r="F1266" t="s">
        <v>19</v>
      </c>
      <c r="G1266" t="s">
        <v>20</v>
      </c>
      <c r="H1266">
        <v>3</v>
      </c>
      <c r="I1266">
        <v>1</v>
      </c>
      <c r="J1266">
        <v>997</v>
      </c>
      <c r="K1266" s="5">
        <v>1.3482589999999999E-2</v>
      </c>
      <c r="L1266" t="s">
        <v>27</v>
      </c>
      <c r="M1266" s="4">
        <v>66130</v>
      </c>
      <c r="N1266" s="3">
        <v>260.78230000000002</v>
      </c>
      <c r="O1266" t="s">
        <v>22</v>
      </c>
      <c r="P1266" t="s">
        <v>24</v>
      </c>
      <c r="Q1266" t="s">
        <v>24</v>
      </c>
      <c r="R1266" t="s">
        <v>41</v>
      </c>
      <c r="S1266">
        <v>2</v>
      </c>
    </row>
    <row r="1267" spans="1:19" x14ac:dyDescent="0.3">
      <c r="A1267" s="1">
        <v>42407</v>
      </c>
      <c r="B1267">
        <v>2016</v>
      </c>
      <c r="C1267" t="s">
        <v>39</v>
      </c>
      <c r="D1267" s="4">
        <v>333970</v>
      </c>
      <c r="E1267" s="2">
        <v>405000</v>
      </c>
      <c r="F1267" t="s">
        <v>19</v>
      </c>
      <c r="G1267" t="s">
        <v>20</v>
      </c>
      <c r="H1267">
        <v>3</v>
      </c>
      <c r="I1267">
        <v>3</v>
      </c>
      <c r="J1267">
        <v>1084</v>
      </c>
      <c r="K1267" s="5">
        <v>1.3482589999999999E-2</v>
      </c>
      <c r="L1267" t="s">
        <v>38</v>
      </c>
      <c r="M1267" s="4">
        <v>71030</v>
      </c>
      <c r="N1267" s="3">
        <v>373.61619999999999</v>
      </c>
      <c r="O1267" t="s">
        <v>22</v>
      </c>
      <c r="P1267" t="s">
        <v>24</v>
      </c>
      <c r="Q1267" t="s">
        <v>24</v>
      </c>
      <c r="R1267" t="s">
        <v>41</v>
      </c>
      <c r="S1267">
        <v>2</v>
      </c>
    </row>
    <row r="1268" spans="1:19" x14ac:dyDescent="0.3">
      <c r="A1268" s="1">
        <v>42411</v>
      </c>
      <c r="B1268">
        <v>2016</v>
      </c>
      <c r="C1268" t="s">
        <v>56</v>
      </c>
      <c r="D1268" s="4">
        <v>259000</v>
      </c>
      <c r="E1268" s="2">
        <v>371000</v>
      </c>
      <c r="F1268" t="s">
        <v>19</v>
      </c>
      <c r="G1268" t="s">
        <v>20</v>
      </c>
      <c r="H1268">
        <v>3</v>
      </c>
      <c r="I1268">
        <v>2</v>
      </c>
      <c r="J1268">
        <v>935</v>
      </c>
      <c r="K1268" s="5">
        <v>1.3482589999999999E-2</v>
      </c>
      <c r="L1268" t="s">
        <v>38</v>
      </c>
      <c r="M1268" s="4">
        <v>112000</v>
      </c>
      <c r="N1268" s="3">
        <v>396.79140000000001</v>
      </c>
      <c r="O1268" t="s">
        <v>22</v>
      </c>
      <c r="P1268" t="s">
        <v>24</v>
      </c>
      <c r="Q1268" t="s">
        <v>24</v>
      </c>
      <c r="R1268" t="s">
        <v>41</v>
      </c>
      <c r="S1268">
        <v>2</v>
      </c>
    </row>
    <row r="1269" spans="1:19" x14ac:dyDescent="0.3">
      <c r="A1269" s="1">
        <v>42414</v>
      </c>
      <c r="B1269">
        <v>2016</v>
      </c>
      <c r="C1269" t="s">
        <v>18</v>
      </c>
      <c r="D1269" s="4">
        <v>89270</v>
      </c>
      <c r="E1269" s="2">
        <v>45100</v>
      </c>
      <c r="F1269" t="s">
        <v>30</v>
      </c>
      <c r="G1269" t="s">
        <v>31</v>
      </c>
      <c r="H1269">
        <v>4</v>
      </c>
      <c r="I1269">
        <v>3</v>
      </c>
      <c r="J1269">
        <v>1360</v>
      </c>
      <c r="K1269" s="5">
        <v>1.3482589999999999E-2</v>
      </c>
      <c r="L1269" t="s">
        <v>27</v>
      </c>
      <c r="M1269" s="4">
        <v>-44170</v>
      </c>
      <c r="N1269" s="3">
        <v>33.161799999999999</v>
      </c>
      <c r="O1269" t="s">
        <v>33</v>
      </c>
      <c r="P1269" t="s">
        <v>23</v>
      </c>
      <c r="Q1269" t="s">
        <v>34</v>
      </c>
      <c r="R1269" t="s">
        <v>41</v>
      </c>
      <c r="S1269">
        <v>2</v>
      </c>
    </row>
    <row r="1270" spans="1:19" x14ac:dyDescent="0.3">
      <c r="A1270" s="1">
        <v>42419</v>
      </c>
      <c r="B1270">
        <v>2016</v>
      </c>
      <c r="C1270" t="s">
        <v>40</v>
      </c>
      <c r="D1270" s="4">
        <v>91420</v>
      </c>
      <c r="E1270" s="2">
        <v>150000</v>
      </c>
      <c r="F1270" t="s">
        <v>19</v>
      </c>
      <c r="G1270" t="s">
        <v>20</v>
      </c>
      <c r="H1270">
        <v>3</v>
      </c>
      <c r="I1270">
        <v>1</v>
      </c>
      <c r="J1270">
        <v>960</v>
      </c>
      <c r="K1270" s="5">
        <v>1.3482589999999999E-2</v>
      </c>
      <c r="L1270" t="s">
        <v>21</v>
      </c>
      <c r="M1270" s="4">
        <v>58580</v>
      </c>
      <c r="N1270" s="3">
        <v>156.25</v>
      </c>
      <c r="O1270" t="s">
        <v>22</v>
      </c>
      <c r="P1270" t="s">
        <v>23</v>
      </c>
      <c r="Q1270" t="s">
        <v>24</v>
      </c>
      <c r="R1270" t="s">
        <v>41</v>
      </c>
      <c r="S1270">
        <v>2</v>
      </c>
    </row>
    <row r="1271" spans="1:19" x14ac:dyDescent="0.3">
      <c r="A1271" s="1">
        <v>42420</v>
      </c>
      <c r="B1271">
        <v>2016</v>
      </c>
      <c r="C1271" t="s">
        <v>29</v>
      </c>
      <c r="D1271" s="4">
        <v>162380</v>
      </c>
      <c r="E1271" s="2">
        <v>105000</v>
      </c>
      <c r="F1271" t="s">
        <v>19</v>
      </c>
      <c r="G1271" t="s">
        <v>20</v>
      </c>
      <c r="H1271">
        <v>3</v>
      </c>
      <c r="I1271">
        <v>1</v>
      </c>
      <c r="J1271">
        <v>1008</v>
      </c>
      <c r="K1271" s="5">
        <v>1.3482589999999999E-2</v>
      </c>
      <c r="L1271" t="s">
        <v>21</v>
      </c>
      <c r="M1271" s="4">
        <v>-57380</v>
      </c>
      <c r="N1271" s="3">
        <v>104.16670000000001</v>
      </c>
      <c r="O1271" t="s">
        <v>33</v>
      </c>
      <c r="P1271" t="s">
        <v>23</v>
      </c>
      <c r="Q1271" t="s">
        <v>24</v>
      </c>
      <c r="R1271" t="s">
        <v>41</v>
      </c>
      <c r="S1271">
        <v>2</v>
      </c>
    </row>
    <row r="1272" spans="1:19" x14ac:dyDescent="0.3">
      <c r="A1272" s="1">
        <v>42421</v>
      </c>
      <c r="B1272">
        <v>2016</v>
      </c>
      <c r="C1272" t="s">
        <v>35</v>
      </c>
      <c r="D1272" s="4">
        <v>1194200</v>
      </c>
      <c r="E1272" s="2">
        <v>3895000</v>
      </c>
      <c r="F1272" t="s">
        <v>19</v>
      </c>
      <c r="G1272" t="s">
        <v>20</v>
      </c>
      <c r="H1272">
        <v>3</v>
      </c>
      <c r="I1272">
        <v>2</v>
      </c>
      <c r="J1272">
        <v>1111.6589814177564</v>
      </c>
      <c r="K1272" s="5">
        <v>1.3482589999999999E-2</v>
      </c>
      <c r="L1272" t="s">
        <v>32</v>
      </c>
      <c r="M1272" s="4">
        <v>2700800</v>
      </c>
      <c r="N1272" s="3">
        <v>3503.7723000000001</v>
      </c>
      <c r="O1272" t="s">
        <v>22</v>
      </c>
      <c r="P1272" t="s">
        <v>28</v>
      </c>
      <c r="Q1272" t="s">
        <v>24</v>
      </c>
      <c r="R1272" t="s">
        <v>41</v>
      </c>
      <c r="S1272">
        <v>2</v>
      </c>
    </row>
    <row r="1273" spans="1:19" x14ac:dyDescent="0.3">
      <c r="A1273" s="1">
        <v>42424</v>
      </c>
      <c r="B1273">
        <v>2016</v>
      </c>
      <c r="C1273" t="s">
        <v>18</v>
      </c>
      <c r="D1273" s="4">
        <v>113490</v>
      </c>
      <c r="E1273" s="2">
        <v>168000</v>
      </c>
      <c r="F1273" t="s">
        <v>19</v>
      </c>
      <c r="G1273" t="s">
        <v>20</v>
      </c>
      <c r="H1273">
        <v>3</v>
      </c>
      <c r="I1273">
        <v>2</v>
      </c>
      <c r="J1273">
        <v>929</v>
      </c>
      <c r="K1273" s="5">
        <v>1.3482589999999999E-2</v>
      </c>
      <c r="L1273" t="s">
        <v>27</v>
      </c>
      <c r="M1273" s="4">
        <v>54510</v>
      </c>
      <c r="N1273" s="3">
        <v>180.83959999999999</v>
      </c>
      <c r="O1273" t="s">
        <v>22</v>
      </c>
      <c r="P1273" t="s">
        <v>23</v>
      </c>
      <c r="Q1273" t="s">
        <v>24</v>
      </c>
      <c r="R1273" t="s">
        <v>41</v>
      </c>
      <c r="S1273">
        <v>2</v>
      </c>
    </row>
    <row r="1274" spans="1:19" x14ac:dyDescent="0.3">
      <c r="A1274" s="1">
        <v>42425</v>
      </c>
      <c r="B1274">
        <v>2016</v>
      </c>
      <c r="C1274" t="s">
        <v>18</v>
      </c>
      <c r="D1274" s="4">
        <v>444584.20699999999</v>
      </c>
      <c r="E1274" s="2">
        <v>135000</v>
      </c>
      <c r="F1274" t="s">
        <v>19</v>
      </c>
      <c r="G1274" t="s">
        <v>20</v>
      </c>
      <c r="H1274">
        <v>3</v>
      </c>
      <c r="I1274">
        <v>1</v>
      </c>
      <c r="J1274">
        <v>918</v>
      </c>
      <c r="K1274" s="5">
        <v>1.3482589999999999E-2</v>
      </c>
      <c r="L1274" t="s">
        <v>27</v>
      </c>
      <c r="M1274" s="4">
        <v>-309584.20699999999</v>
      </c>
      <c r="N1274" s="3">
        <v>147.05879999999999</v>
      </c>
      <c r="O1274" t="s">
        <v>33</v>
      </c>
      <c r="P1274" t="s">
        <v>23</v>
      </c>
      <c r="Q1274" t="s">
        <v>24</v>
      </c>
      <c r="R1274" t="s">
        <v>41</v>
      </c>
      <c r="S1274">
        <v>2</v>
      </c>
    </row>
    <row r="1275" spans="1:19" x14ac:dyDescent="0.3">
      <c r="A1275" s="1">
        <v>42426</v>
      </c>
      <c r="B1275">
        <v>2016</v>
      </c>
      <c r="C1275" t="s">
        <v>18</v>
      </c>
      <c r="D1275" s="4">
        <v>77730</v>
      </c>
      <c r="E1275" s="2">
        <v>42000</v>
      </c>
      <c r="F1275" t="s">
        <v>19</v>
      </c>
      <c r="G1275" t="s">
        <v>20</v>
      </c>
      <c r="H1275">
        <v>3</v>
      </c>
      <c r="I1275">
        <v>2</v>
      </c>
      <c r="J1275">
        <v>941</v>
      </c>
      <c r="K1275" s="5">
        <v>1.3482589999999999E-2</v>
      </c>
      <c r="L1275" t="s">
        <v>38</v>
      </c>
      <c r="M1275" s="4">
        <v>-35730</v>
      </c>
      <c r="N1275" s="3">
        <v>44.633400000000002</v>
      </c>
      <c r="O1275" t="s">
        <v>33</v>
      </c>
      <c r="P1275" t="s">
        <v>23</v>
      </c>
      <c r="Q1275" t="s">
        <v>24</v>
      </c>
      <c r="R1275" t="s">
        <v>41</v>
      </c>
      <c r="S1275">
        <v>2</v>
      </c>
    </row>
    <row r="1276" spans="1:19" x14ac:dyDescent="0.3">
      <c r="A1276" s="1">
        <v>42432</v>
      </c>
      <c r="B1276">
        <v>2016</v>
      </c>
      <c r="C1276" t="s">
        <v>39</v>
      </c>
      <c r="D1276" s="4">
        <v>244720</v>
      </c>
      <c r="E1276" s="2">
        <v>270000</v>
      </c>
      <c r="F1276" t="s">
        <v>19</v>
      </c>
      <c r="G1276" t="s">
        <v>20</v>
      </c>
      <c r="H1276">
        <v>3</v>
      </c>
      <c r="I1276">
        <v>3</v>
      </c>
      <c r="J1276">
        <v>1025</v>
      </c>
      <c r="K1276" s="5">
        <v>1.3482589999999999E-2</v>
      </c>
      <c r="L1276" t="s">
        <v>38</v>
      </c>
      <c r="M1276" s="4">
        <v>25280</v>
      </c>
      <c r="N1276" s="3">
        <v>263.41460000000001</v>
      </c>
      <c r="O1276" t="s">
        <v>22</v>
      </c>
      <c r="P1276" t="s">
        <v>24</v>
      </c>
      <c r="Q1276" t="s">
        <v>24</v>
      </c>
      <c r="R1276" t="s">
        <v>44</v>
      </c>
      <c r="S1276">
        <v>3</v>
      </c>
    </row>
    <row r="1277" spans="1:19" x14ac:dyDescent="0.3">
      <c r="A1277" s="1">
        <v>42434</v>
      </c>
      <c r="B1277">
        <v>2016</v>
      </c>
      <c r="C1277" t="s">
        <v>29</v>
      </c>
      <c r="D1277" s="4">
        <v>444584.20699999999</v>
      </c>
      <c r="E1277" s="2">
        <v>252500</v>
      </c>
      <c r="F1277" t="s">
        <v>19</v>
      </c>
      <c r="G1277" t="s">
        <v>20</v>
      </c>
      <c r="H1277">
        <v>3</v>
      </c>
      <c r="I1277">
        <v>1</v>
      </c>
      <c r="J1277">
        <v>942</v>
      </c>
      <c r="K1277" s="5">
        <v>1.3482589999999999E-2</v>
      </c>
      <c r="L1277" t="s">
        <v>21</v>
      </c>
      <c r="M1277" s="4">
        <v>-192084.20699999999</v>
      </c>
      <c r="N1277" s="3">
        <v>268.04669999999999</v>
      </c>
      <c r="O1277" t="s">
        <v>33</v>
      </c>
      <c r="P1277" t="s">
        <v>24</v>
      </c>
      <c r="Q1277" t="s">
        <v>24</v>
      </c>
      <c r="R1277" t="s">
        <v>44</v>
      </c>
      <c r="S1277">
        <v>3</v>
      </c>
    </row>
    <row r="1278" spans="1:19" x14ac:dyDescent="0.3">
      <c r="A1278" s="1">
        <v>42436</v>
      </c>
      <c r="B1278">
        <v>2016</v>
      </c>
      <c r="C1278" t="s">
        <v>18</v>
      </c>
      <c r="D1278" s="4">
        <v>89350</v>
      </c>
      <c r="E1278" s="2">
        <v>132000</v>
      </c>
      <c r="F1278" t="s">
        <v>19</v>
      </c>
      <c r="G1278" t="s">
        <v>20</v>
      </c>
      <c r="H1278">
        <v>3</v>
      </c>
      <c r="I1278">
        <v>3</v>
      </c>
      <c r="J1278">
        <v>1053</v>
      </c>
      <c r="K1278" s="5">
        <v>1.3482589999999999E-2</v>
      </c>
      <c r="L1278" t="s">
        <v>27</v>
      </c>
      <c r="M1278" s="4">
        <v>42650</v>
      </c>
      <c r="N1278" s="3">
        <v>125.3561</v>
      </c>
      <c r="O1278" t="s">
        <v>22</v>
      </c>
      <c r="P1278" t="s">
        <v>23</v>
      </c>
      <c r="Q1278" t="s">
        <v>24</v>
      </c>
      <c r="R1278" t="s">
        <v>44</v>
      </c>
      <c r="S1278">
        <v>3</v>
      </c>
    </row>
    <row r="1279" spans="1:19" x14ac:dyDescent="0.3">
      <c r="A1279" s="1">
        <v>42439</v>
      </c>
      <c r="B1279">
        <v>2016</v>
      </c>
      <c r="C1279" t="s">
        <v>39</v>
      </c>
      <c r="D1279" s="4">
        <v>312340</v>
      </c>
      <c r="E1279" s="2">
        <v>375000</v>
      </c>
      <c r="F1279" t="s">
        <v>36</v>
      </c>
      <c r="G1279" t="s">
        <v>37</v>
      </c>
      <c r="H1279">
        <v>6</v>
      </c>
      <c r="I1279">
        <v>6</v>
      </c>
      <c r="J1279">
        <v>2056</v>
      </c>
      <c r="K1279" s="5">
        <v>1.3482589999999999E-2</v>
      </c>
      <c r="L1279" t="s">
        <v>21</v>
      </c>
      <c r="M1279" s="4">
        <v>62660</v>
      </c>
      <c r="N1279" s="3">
        <v>182.393</v>
      </c>
      <c r="O1279" t="s">
        <v>22</v>
      </c>
      <c r="P1279" t="s">
        <v>24</v>
      </c>
      <c r="Q1279" t="s">
        <v>34</v>
      </c>
      <c r="R1279" t="s">
        <v>44</v>
      </c>
      <c r="S1279">
        <v>3</v>
      </c>
    </row>
    <row r="1280" spans="1:19" x14ac:dyDescent="0.3">
      <c r="A1280" s="1">
        <v>42440</v>
      </c>
      <c r="B1280">
        <v>2016</v>
      </c>
      <c r="C1280" t="s">
        <v>29</v>
      </c>
      <c r="D1280" s="4">
        <v>175180</v>
      </c>
      <c r="E1280" s="2">
        <v>45000</v>
      </c>
      <c r="F1280" t="s">
        <v>30</v>
      </c>
      <c r="G1280" t="s">
        <v>31</v>
      </c>
      <c r="H1280">
        <v>4</v>
      </c>
      <c r="I1280">
        <v>4</v>
      </c>
      <c r="J1280">
        <v>1111.6589814177564</v>
      </c>
      <c r="K1280" s="5">
        <v>1.3482589999999999E-2</v>
      </c>
      <c r="L1280" t="s">
        <v>21</v>
      </c>
      <c r="M1280" s="4">
        <v>-130180</v>
      </c>
      <c r="N1280" s="3">
        <v>40.479999999999997</v>
      </c>
      <c r="O1280" t="s">
        <v>33</v>
      </c>
      <c r="P1280" t="s">
        <v>23</v>
      </c>
      <c r="Q1280" t="s">
        <v>24</v>
      </c>
      <c r="R1280" t="s">
        <v>44</v>
      </c>
      <c r="S1280">
        <v>3</v>
      </c>
    </row>
    <row r="1281" spans="1:19" x14ac:dyDescent="0.3">
      <c r="A1281" s="1">
        <v>42441</v>
      </c>
      <c r="B1281">
        <v>2016</v>
      </c>
      <c r="C1281" t="s">
        <v>18</v>
      </c>
      <c r="D1281" s="4">
        <v>69660</v>
      </c>
      <c r="E1281" s="2">
        <v>66000</v>
      </c>
      <c r="F1281" t="s">
        <v>30</v>
      </c>
      <c r="G1281" t="s">
        <v>31</v>
      </c>
      <c r="H1281">
        <v>4</v>
      </c>
      <c r="I1281">
        <v>3</v>
      </c>
      <c r="J1281">
        <v>1227</v>
      </c>
      <c r="K1281" s="5">
        <v>1.3482589999999999E-2</v>
      </c>
      <c r="L1281" t="s">
        <v>27</v>
      </c>
      <c r="M1281" s="4">
        <v>-3660</v>
      </c>
      <c r="N1281" s="3">
        <v>53.789700000000003</v>
      </c>
      <c r="O1281" t="s">
        <v>33</v>
      </c>
      <c r="P1281" t="s">
        <v>23</v>
      </c>
      <c r="Q1281" t="s">
        <v>24</v>
      </c>
      <c r="R1281" t="s">
        <v>44</v>
      </c>
      <c r="S1281">
        <v>3</v>
      </c>
    </row>
    <row r="1282" spans="1:19" x14ac:dyDescent="0.3">
      <c r="A1282" s="1">
        <v>42447</v>
      </c>
      <c r="B1282">
        <v>2016</v>
      </c>
      <c r="C1282" t="s">
        <v>39</v>
      </c>
      <c r="D1282" s="4">
        <v>399490</v>
      </c>
      <c r="E1282" s="2">
        <v>513000</v>
      </c>
      <c r="F1282" t="s">
        <v>19</v>
      </c>
      <c r="G1282" t="s">
        <v>20</v>
      </c>
      <c r="H1282">
        <v>3</v>
      </c>
      <c r="I1282">
        <v>2</v>
      </c>
      <c r="J1282">
        <v>1111.6589814177564</v>
      </c>
      <c r="K1282" s="5">
        <v>1.3482589999999999E-2</v>
      </c>
      <c r="L1282" t="s">
        <v>27</v>
      </c>
      <c r="M1282" s="4">
        <v>113510</v>
      </c>
      <c r="N1282" s="3">
        <v>461.47250000000003</v>
      </c>
      <c r="O1282" t="s">
        <v>22</v>
      </c>
      <c r="P1282" t="s">
        <v>24</v>
      </c>
      <c r="Q1282" t="s">
        <v>24</v>
      </c>
      <c r="R1282" t="s">
        <v>44</v>
      </c>
      <c r="S1282">
        <v>3</v>
      </c>
    </row>
    <row r="1283" spans="1:19" x14ac:dyDescent="0.3">
      <c r="A1283" s="1">
        <v>42449</v>
      </c>
      <c r="B1283">
        <v>2016</v>
      </c>
      <c r="C1283" t="s">
        <v>29</v>
      </c>
      <c r="D1283" s="4">
        <v>133860</v>
      </c>
      <c r="E1283" s="2">
        <v>35000</v>
      </c>
      <c r="F1283" t="s">
        <v>19</v>
      </c>
      <c r="G1283" t="s">
        <v>20</v>
      </c>
      <c r="H1283">
        <v>3</v>
      </c>
      <c r="I1283">
        <v>3</v>
      </c>
      <c r="J1283">
        <v>969</v>
      </c>
      <c r="K1283" s="5">
        <v>1.3482589999999999E-2</v>
      </c>
      <c r="L1283" t="s">
        <v>38</v>
      </c>
      <c r="M1283" s="4">
        <v>-98860</v>
      </c>
      <c r="N1283" s="3">
        <v>36.119700000000002</v>
      </c>
      <c r="O1283" t="s">
        <v>33</v>
      </c>
      <c r="P1283" t="s">
        <v>23</v>
      </c>
      <c r="Q1283" t="s">
        <v>24</v>
      </c>
      <c r="R1283" t="s">
        <v>44</v>
      </c>
      <c r="S1283">
        <v>3</v>
      </c>
    </row>
    <row r="1284" spans="1:19" x14ac:dyDescent="0.3">
      <c r="A1284" s="1">
        <v>42453</v>
      </c>
      <c r="B1284">
        <v>2016</v>
      </c>
      <c r="C1284" t="s">
        <v>40</v>
      </c>
      <c r="D1284" s="4">
        <v>129010</v>
      </c>
      <c r="E1284" s="2">
        <v>120000</v>
      </c>
      <c r="F1284" t="s">
        <v>19</v>
      </c>
      <c r="G1284" t="s">
        <v>20</v>
      </c>
      <c r="H1284">
        <v>3</v>
      </c>
      <c r="I1284">
        <v>3</v>
      </c>
      <c r="J1284">
        <v>1006</v>
      </c>
      <c r="K1284" s="5">
        <v>1.3482589999999999E-2</v>
      </c>
      <c r="L1284" t="s">
        <v>38</v>
      </c>
      <c r="M1284" s="4">
        <v>-9010</v>
      </c>
      <c r="N1284" s="3">
        <v>119.2843</v>
      </c>
      <c r="O1284" t="s">
        <v>33</v>
      </c>
      <c r="P1284" t="s">
        <v>23</v>
      </c>
      <c r="Q1284" t="s">
        <v>24</v>
      </c>
      <c r="R1284" t="s">
        <v>44</v>
      </c>
      <c r="S1284">
        <v>3</v>
      </c>
    </row>
    <row r="1285" spans="1:19" x14ac:dyDescent="0.3">
      <c r="A1285" s="1">
        <v>42454</v>
      </c>
      <c r="B1285">
        <v>2016</v>
      </c>
      <c r="C1285" t="s">
        <v>18</v>
      </c>
      <c r="D1285" s="4">
        <v>122880</v>
      </c>
      <c r="E1285" s="2">
        <v>170000</v>
      </c>
      <c r="F1285" t="s">
        <v>19</v>
      </c>
      <c r="G1285" t="s">
        <v>20</v>
      </c>
      <c r="H1285">
        <v>3</v>
      </c>
      <c r="I1285">
        <v>2</v>
      </c>
      <c r="J1285">
        <v>999</v>
      </c>
      <c r="K1285" s="5">
        <v>1.3482589999999999E-2</v>
      </c>
      <c r="L1285" t="s">
        <v>38</v>
      </c>
      <c r="M1285" s="4">
        <v>47120</v>
      </c>
      <c r="N1285" s="3">
        <v>170.17019999999999</v>
      </c>
      <c r="O1285" t="s">
        <v>22</v>
      </c>
      <c r="P1285" t="s">
        <v>23</v>
      </c>
      <c r="Q1285" t="s">
        <v>24</v>
      </c>
      <c r="R1285" t="s">
        <v>44</v>
      </c>
      <c r="S1285">
        <v>3</v>
      </c>
    </row>
    <row r="1286" spans="1:19" x14ac:dyDescent="0.3">
      <c r="A1286" s="1">
        <v>42456</v>
      </c>
      <c r="B1286">
        <v>2016</v>
      </c>
      <c r="C1286" t="s">
        <v>39</v>
      </c>
      <c r="D1286" s="4">
        <v>613060</v>
      </c>
      <c r="E1286" s="2">
        <v>1130000</v>
      </c>
      <c r="F1286" t="s">
        <v>19</v>
      </c>
      <c r="G1286" t="s">
        <v>20</v>
      </c>
      <c r="H1286">
        <v>3</v>
      </c>
      <c r="I1286">
        <v>3</v>
      </c>
      <c r="J1286">
        <v>986</v>
      </c>
      <c r="K1286" s="5">
        <v>1.3482589999999999E-2</v>
      </c>
      <c r="L1286" t="s">
        <v>32</v>
      </c>
      <c r="M1286" s="4">
        <v>516940</v>
      </c>
      <c r="N1286" s="3">
        <v>1146.0445999999999</v>
      </c>
      <c r="O1286" t="s">
        <v>22</v>
      </c>
      <c r="P1286" t="s">
        <v>28</v>
      </c>
      <c r="Q1286" t="s">
        <v>24</v>
      </c>
      <c r="R1286" t="s">
        <v>44</v>
      </c>
      <c r="S1286">
        <v>3</v>
      </c>
    </row>
    <row r="1287" spans="1:19" x14ac:dyDescent="0.3">
      <c r="A1287" s="1">
        <v>42457</v>
      </c>
      <c r="B1287">
        <v>2016</v>
      </c>
      <c r="C1287" t="s">
        <v>39</v>
      </c>
      <c r="D1287" s="4">
        <v>625940</v>
      </c>
      <c r="E1287" s="2">
        <v>700000</v>
      </c>
      <c r="F1287" t="s">
        <v>19</v>
      </c>
      <c r="G1287" t="s">
        <v>20</v>
      </c>
      <c r="H1287">
        <v>3</v>
      </c>
      <c r="I1287">
        <v>3</v>
      </c>
      <c r="J1287">
        <v>1098</v>
      </c>
      <c r="K1287" s="5">
        <v>1.3482589999999999E-2</v>
      </c>
      <c r="L1287" t="s">
        <v>32</v>
      </c>
      <c r="M1287" s="4">
        <v>74060</v>
      </c>
      <c r="N1287" s="3">
        <v>637.52279999999996</v>
      </c>
      <c r="O1287" t="s">
        <v>22</v>
      </c>
      <c r="P1287" t="s">
        <v>28</v>
      </c>
      <c r="Q1287" t="s">
        <v>24</v>
      </c>
      <c r="R1287" t="s">
        <v>44</v>
      </c>
      <c r="S1287">
        <v>3</v>
      </c>
    </row>
    <row r="1288" spans="1:19" x14ac:dyDescent="0.3">
      <c r="A1288" s="1">
        <v>42460</v>
      </c>
      <c r="B1288">
        <v>2016</v>
      </c>
      <c r="C1288" t="s">
        <v>40</v>
      </c>
      <c r="D1288" s="4">
        <v>178820</v>
      </c>
      <c r="E1288" s="2">
        <v>82500</v>
      </c>
      <c r="F1288" t="s">
        <v>36</v>
      </c>
      <c r="G1288" t="s">
        <v>37</v>
      </c>
      <c r="H1288">
        <v>6</v>
      </c>
      <c r="I1288">
        <v>5</v>
      </c>
      <c r="J1288">
        <v>1111.6589814177564</v>
      </c>
      <c r="K1288" s="5">
        <v>1.3482589999999999E-2</v>
      </c>
      <c r="L1288" t="s">
        <v>27</v>
      </c>
      <c r="M1288" s="4">
        <v>-96320</v>
      </c>
      <c r="N1288" s="3">
        <v>74.213399999999993</v>
      </c>
      <c r="O1288" t="s">
        <v>33</v>
      </c>
      <c r="P1288" t="s">
        <v>23</v>
      </c>
      <c r="Q1288" t="s">
        <v>24</v>
      </c>
      <c r="R1288" t="s">
        <v>44</v>
      </c>
      <c r="S1288">
        <v>3</v>
      </c>
    </row>
    <row r="1289" spans="1:19" x14ac:dyDescent="0.3">
      <c r="A1289" s="1">
        <v>42461</v>
      </c>
      <c r="B1289">
        <v>2016</v>
      </c>
      <c r="C1289" t="s">
        <v>39</v>
      </c>
      <c r="D1289" s="4">
        <v>437010</v>
      </c>
      <c r="E1289" s="2">
        <v>440000</v>
      </c>
      <c r="F1289" t="s">
        <v>19</v>
      </c>
      <c r="G1289" t="s">
        <v>20</v>
      </c>
      <c r="H1289">
        <v>3</v>
      </c>
      <c r="I1289">
        <v>2</v>
      </c>
      <c r="J1289">
        <v>911</v>
      </c>
      <c r="K1289" s="5">
        <v>1.3482589999999999E-2</v>
      </c>
      <c r="L1289" t="s">
        <v>21</v>
      </c>
      <c r="M1289" s="4">
        <v>2990</v>
      </c>
      <c r="N1289" s="3">
        <v>482.98570000000001</v>
      </c>
      <c r="O1289" t="s">
        <v>22</v>
      </c>
      <c r="P1289" t="s">
        <v>24</v>
      </c>
      <c r="Q1289" t="s">
        <v>24</v>
      </c>
      <c r="R1289" t="s">
        <v>45</v>
      </c>
      <c r="S1289">
        <v>4</v>
      </c>
    </row>
    <row r="1290" spans="1:19" x14ac:dyDescent="0.3">
      <c r="A1290" s="1">
        <v>42462</v>
      </c>
      <c r="B1290">
        <v>2016</v>
      </c>
      <c r="C1290" t="s">
        <v>56</v>
      </c>
      <c r="D1290" s="4">
        <v>659900</v>
      </c>
      <c r="E1290" s="2">
        <v>730000</v>
      </c>
      <c r="F1290" t="s">
        <v>19</v>
      </c>
      <c r="G1290" t="s">
        <v>20</v>
      </c>
      <c r="H1290">
        <v>3</v>
      </c>
      <c r="I1290">
        <v>3</v>
      </c>
      <c r="J1290">
        <v>988</v>
      </c>
      <c r="K1290" s="5">
        <v>1.3482589999999999E-2</v>
      </c>
      <c r="L1290" t="s">
        <v>38</v>
      </c>
      <c r="M1290" s="4">
        <v>70100</v>
      </c>
      <c r="N1290" s="3">
        <v>738.8664</v>
      </c>
      <c r="O1290" t="s">
        <v>22</v>
      </c>
      <c r="P1290" t="s">
        <v>28</v>
      </c>
      <c r="Q1290" t="s">
        <v>24</v>
      </c>
      <c r="R1290" t="s">
        <v>45</v>
      </c>
      <c r="S1290">
        <v>4</v>
      </c>
    </row>
    <row r="1291" spans="1:19" x14ac:dyDescent="0.3">
      <c r="A1291" s="1">
        <v>42463</v>
      </c>
      <c r="B1291">
        <v>2016</v>
      </c>
      <c r="C1291" t="s">
        <v>56</v>
      </c>
      <c r="D1291" s="4">
        <v>788160</v>
      </c>
      <c r="E1291" s="2">
        <v>1149500</v>
      </c>
      <c r="F1291" t="s">
        <v>19</v>
      </c>
      <c r="G1291" t="s">
        <v>20</v>
      </c>
      <c r="H1291">
        <v>3</v>
      </c>
      <c r="I1291">
        <v>1</v>
      </c>
      <c r="J1291">
        <v>1022</v>
      </c>
      <c r="K1291" s="5">
        <v>1.3482589999999999E-2</v>
      </c>
      <c r="L1291" t="s">
        <v>27</v>
      </c>
      <c r="M1291" s="4">
        <v>361340</v>
      </c>
      <c r="N1291" s="3">
        <v>1124.7554</v>
      </c>
      <c r="O1291" t="s">
        <v>22</v>
      </c>
      <c r="P1291" t="s">
        <v>28</v>
      </c>
      <c r="Q1291" t="s">
        <v>24</v>
      </c>
      <c r="R1291" t="s">
        <v>45</v>
      </c>
      <c r="S1291">
        <v>4</v>
      </c>
    </row>
    <row r="1292" spans="1:19" x14ac:dyDescent="0.3">
      <c r="A1292" s="1">
        <v>42467</v>
      </c>
      <c r="B1292">
        <v>2016</v>
      </c>
      <c r="C1292" t="s">
        <v>18</v>
      </c>
      <c r="D1292" s="4">
        <v>118080</v>
      </c>
      <c r="E1292" s="2">
        <v>95000</v>
      </c>
      <c r="F1292" t="s">
        <v>19</v>
      </c>
      <c r="G1292" t="s">
        <v>20</v>
      </c>
      <c r="H1292">
        <v>3</v>
      </c>
      <c r="I1292">
        <v>2</v>
      </c>
      <c r="J1292">
        <v>985</v>
      </c>
      <c r="K1292" s="5">
        <v>1.3482589999999999E-2</v>
      </c>
      <c r="L1292" t="s">
        <v>38</v>
      </c>
      <c r="M1292" s="4">
        <v>-23080</v>
      </c>
      <c r="N1292" s="3">
        <v>96.446700000000007</v>
      </c>
      <c r="O1292" t="s">
        <v>33</v>
      </c>
      <c r="P1292" t="s">
        <v>23</v>
      </c>
      <c r="Q1292" t="s">
        <v>24</v>
      </c>
      <c r="R1292" t="s">
        <v>45</v>
      </c>
      <c r="S1292">
        <v>4</v>
      </c>
    </row>
    <row r="1293" spans="1:19" x14ac:dyDescent="0.3">
      <c r="A1293" s="1">
        <v>42468</v>
      </c>
      <c r="B1293">
        <v>2016</v>
      </c>
      <c r="C1293" t="s">
        <v>35</v>
      </c>
      <c r="D1293" s="4">
        <v>481600</v>
      </c>
      <c r="E1293" s="2">
        <v>230000</v>
      </c>
      <c r="F1293" t="s">
        <v>19</v>
      </c>
      <c r="G1293" t="s">
        <v>20</v>
      </c>
      <c r="H1293">
        <v>3</v>
      </c>
      <c r="I1293">
        <v>1</v>
      </c>
      <c r="J1293">
        <v>1000</v>
      </c>
      <c r="K1293" s="5">
        <v>1.3482589999999999E-2</v>
      </c>
      <c r="L1293" t="s">
        <v>27</v>
      </c>
      <c r="M1293" s="4">
        <v>-251600</v>
      </c>
      <c r="N1293" s="3">
        <v>230</v>
      </c>
      <c r="O1293" t="s">
        <v>33</v>
      </c>
      <c r="P1293" t="s">
        <v>24</v>
      </c>
      <c r="Q1293" t="s">
        <v>24</v>
      </c>
      <c r="R1293" t="s">
        <v>45</v>
      </c>
      <c r="S1293">
        <v>4</v>
      </c>
    </row>
    <row r="1294" spans="1:19" x14ac:dyDescent="0.3">
      <c r="A1294" s="1">
        <v>42469</v>
      </c>
      <c r="B1294">
        <v>2016</v>
      </c>
      <c r="C1294" t="s">
        <v>18</v>
      </c>
      <c r="D1294" s="4">
        <v>29820</v>
      </c>
      <c r="E1294" s="2">
        <v>43100</v>
      </c>
      <c r="F1294" t="s">
        <v>19</v>
      </c>
      <c r="G1294" t="s">
        <v>20</v>
      </c>
      <c r="H1294">
        <v>3</v>
      </c>
      <c r="I1294">
        <v>3</v>
      </c>
      <c r="J1294">
        <v>1111.6589814177564</v>
      </c>
      <c r="K1294" s="5">
        <v>1.3482589999999999E-2</v>
      </c>
      <c r="L1294" t="s">
        <v>32</v>
      </c>
      <c r="M1294" s="4">
        <v>13280</v>
      </c>
      <c r="N1294" s="3">
        <v>38.770899999999997</v>
      </c>
      <c r="O1294" t="s">
        <v>22</v>
      </c>
      <c r="P1294" t="s">
        <v>23</v>
      </c>
      <c r="Q1294" t="s">
        <v>24</v>
      </c>
      <c r="R1294" t="s">
        <v>45</v>
      </c>
      <c r="S1294">
        <v>4</v>
      </c>
    </row>
    <row r="1295" spans="1:19" x14ac:dyDescent="0.3">
      <c r="A1295" s="1">
        <v>42470</v>
      </c>
      <c r="B1295">
        <v>2016</v>
      </c>
      <c r="C1295" t="s">
        <v>39</v>
      </c>
      <c r="D1295" s="4">
        <v>919380</v>
      </c>
      <c r="E1295" s="2">
        <v>1200000</v>
      </c>
      <c r="F1295" t="s">
        <v>19</v>
      </c>
      <c r="G1295" t="s">
        <v>20</v>
      </c>
      <c r="H1295">
        <v>3</v>
      </c>
      <c r="I1295">
        <v>3</v>
      </c>
      <c r="J1295">
        <v>964</v>
      </c>
      <c r="K1295" s="5">
        <v>1.3482589999999999E-2</v>
      </c>
      <c r="L1295" t="s">
        <v>21</v>
      </c>
      <c r="M1295" s="4">
        <v>280620</v>
      </c>
      <c r="N1295" s="3">
        <v>1244.8133</v>
      </c>
      <c r="O1295" t="s">
        <v>22</v>
      </c>
      <c r="P1295" t="s">
        <v>28</v>
      </c>
      <c r="Q1295" t="s">
        <v>24</v>
      </c>
      <c r="R1295" t="s">
        <v>45</v>
      </c>
      <c r="S1295">
        <v>4</v>
      </c>
    </row>
    <row r="1296" spans="1:19" x14ac:dyDescent="0.3">
      <c r="A1296" s="1">
        <v>42474</v>
      </c>
      <c r="B1296">
        <v>2016</v>
      </c>
      <c r="C1296" t="s">
        <v>18</v>
      </c>
      <c r="D1296" s="4">
        <v>73340</v>
      </c>
      <c r="E1296" s="2">
        <v>69900</v>
      </c>
      <c r="F1296" t="s">
        <v>19</v>
      </c>
      <c r="G1296" t="s">
        <v>20</v>
      </c>
      <c r="H1296">
        <v>3</v>
      </c>
      <c r="I1296">
        <v>2</v>
      </c>
      <c r="J1296">
        <v>979</v>
      </c>
      <c r="K1296" s="5">
        <v>1.3482589999999999E-2</v>
      </c>
      <c r="L1296" t="s">
        <v>27</v>
      </c>
      <c r="M1296" s="4">
        <v>-3440</v>
      </c>
      <c r="N1296" s="3">
        <v>71.3994</v>
      </c>
      <c r="O1296" t="s">
        <v>33</v>
      </c>
      <c r="P1296" t="s">
        <v>23</v>
      </c>
      <c r="Q1296" t="s">
        <v>24</v>
      </c>
      <c r="R1296" t="s">
        <v>45</v>
      </c>
      <c r="S1296">
        <v>4</v>
      </c>
    </row>
    <row r="1297" spans="1:19" x14ac:dyDescent="0.3">
      <c r="A1297" s="1">
        <v>42476</v>
      </c>
      <c r="B1297">
        <v>2016</v>
      </c>
      <c r="C1297" t="s">
        <v>29</v>
      </c>
      <c r="D1297" s="4">
        <v>212290</v>
      </c>
      <c r="E1297" s="2">
        <v>95000</v>
      </c>
      <c r="F1297" t="s">
        <v>36</v>
      </c>
      <c r="G1297" t="s">
        <v>37</v>
      </c>
      <c r="H1297">
        <v>6</v>
      </c>
      <c r="I1297">
        <v>6</v>
      </c>
      <c r="J1297">
        <v>2141</v>
      </c>
      <c r="K1297" s="5">
        <v>1.3482589999999999E-2</v>
      </c>
      <c r="L1297" t="s">
        <v>38</v>
      </c>
      <c r="M1297" s="4">
        <v>-117290</v>
      </c>
      <c r="N1297" s="3">
        <v>44.3718</v>
      </c>
      <c r="O1297" t="s">
        <v>33</v>
      </c>
      <c r="P1297" t="s">
        <v>23</v>
      </c>
      <c r="Q1297" t="s">
        <v>34</v>
      </c>
      <c r="R1297" t="s">
        <v>45</v>
      </c>
      <c r="S1297">
        <v>4</v>
      </c>
    </row>
    <row r="1298" spans="1:19" x14ac:dyDescent="0.3">
      <c r="A1298" s="1">
        <v>42477</v>
      </c>
      <c r="B1298">
        <v>2016</v>
      </c>
      <c r="C1298" t="s">
        <v>18</v>
      </c>
      <c r="D1298" s="4">
        <v>73960</v>
      </c>
      <c r="E1298" s="2">
        <v>58000</v>
      </c>
      <c r="F1298" t="s">
        <v>19</v>
      </c>
      <c r="G1298" t="s">
        <v>20</v>
      </c>
      <c r="H1298">
        <v>3</v>
      </c>
      <c r="I1298">
        <v>2</v>
      </c>
      <c r="J1298">
        <v>1014</v>
      </c>
      <c r="K1298" s="5">
        <v>1.3482589999999999E-2</v>
      </c>
      <c r="L1298" t="s">
        <v>38</v>
      </c>
      <c r="M1298" s="4">
        <v>-15960</v>
      </c>
      <c r="N1298" s="3">
        <v>57.199199999999998</v>
      </c>
      <c r="O1298" t="s">
        <v>33</v>
      </c>
      <c r="P1298" t="s">
        <v>23</v>
      </c>
      <c r="Q1298" t="s">
        <v>24</v>
      </c>
      <c r="R1298" t="s">
        <v>45</v>
      </c>
      <c r="S1298">
        <v>4</v>
      </c>
    </row>
    <row r="1299" spans="1:19" x14ac:dyDescent="0.3">
      <c r="A1299" s="1">
        <v>42481</v>
      </c>
      <c r="B1299">
        <v>2016</v>
      </c>
      <c r="C1299" t="s">
        <v>39</v>
      </c>
      <c r="D1299" s="4">
        <v>219380</v>
      </c>
      <c r="E1299" s="2">
        <v>859000</v>
      </c>
      <c r="F1299" t="s">
        <v>19</v>
      </c>
      <c r="G1299" t="s">
        <v>20</v>
      </c>
      <c r="H1299">
        <v>3</v>
      </c>
      <c r="I1299">
        <v>3</v>
      </c>
      <c r="J1299">
        <v>905</v>
      </c>
      <c r="K1299" s="5">
        <v>1.3482589999999999E-2</v>
      </c>
      <c r="L1299" t="s">
        <v>38</v>
      </c>
      <c r="M1299" s="4">
        <v>639620</v>
      </c>
      <c r="N1299" s="3">
        <v>949.17129999999997</v>
      </c>
      <c r="O1299" t="s">
        <v>22</v>
      </c>
      <c r="P1299" t="s">
        <v>28</v>
      </c>
      <c r="Q1299" t="s">
        <v>24</v>
      </c>
      <c r="R1299" t="s">
        <v>45</v>
      </c>
      <c r="S1299">
        <v>4</v>
      </c>
    </row>
    <row r="1300" spans="1:19" x14ac:dyDescent="0.3">
      <c r="A1300" s="1">
        <v>42482</v>
      </c>
      <c r="B1300">
        <v>2016</v>
      </c>
      <c r="C1300" t="s">
        <v>52</v>
      </c>
      <c r="D1300" s="4">
        <v>264110</v>
      </c>
      <c r="E1300" s="2">
        <v>360000</v>
      </c>
      <c r="F1300" t="s">
        <v>19</v>
      </c>
      <c r="G1300" t="s">
        <v>20</v>
      </c>
      <c r="H1300">
        <v>3</v>
      </c>
      <c r="I1300">
        <v>3</v>
      </c>
      <c r="J1300">
        <v>1032</v>
      </c>
      <c r="K1300" s="5">
        <v>1.3482589999999999E-2</v>
      </c>
      <c r="L1300" t="s">
        <v>32</v>
      </c>
      <c r="M1300" s="4">
        <v>95890</v>
      </c>
      <c r="N1300" s="3">
        <v>348.8372</v>
      </c>
      <c r="O1300" t="s">
        <v>22</v>
      </c>
      <c r="P1300" t="s">
        <v>24</v>
      </c>
      <c r="Q1300" t="s">
        <v>24</v>
      </c>
      <c r="R1300" t="s">
        <v>45</v>
      </c>
      <c r="S1300">
        <v>4</v>
      </c>
    </row>
    <row r="1301" spans="1:19" x14ac:dyDescent="0.3">
      <c r="A1301" s="1">
        <v>42483</v>
      </c>
      <c r="B1301">
        <v>2016</v>
      </c>
      <c r="C1301" t="s">
        <v>56</v>
      </c>
      <c r="D1301" s="4">
        <v>467940</v>
      </c>
      <c r="E1301" s="2">
        <v>759000</v>
      </c>
      <c r="F1301" t="s">
        <v>19</v>
      </c>
      <c r="G1301" t="s">
        <v>20</v>
      </c>
      <c r="H1301">
        <v>3</v>
      </c>
      <c r="I1301">
        <v>1</v>
      </c>
      <c r="J1301">
        <v>958</v>
      </c>
      <c r="K1301" s="5">
        <v>1.3482589999999999E-2</v>
      </c>
      <c r="L1301" t="s">
        <v>32</v>
      </c>
      <c r="M1301" s="4">
        <v>291060</v>
      </c>
      <c r="N1301" s="3">
        <v>792.27560000000005</v>
      </c>
      <c r="O1301" t="s">
        <v>22</v>
      </c>
      <c r="P1301" t="s">
        <v>28</v>
      </c>
      <c r="Q1301" t="s">
        <v>24</v>
      </c>
      <c r="R1301" t="s">
        <v>45</v>
      </c>
      <c r="S1301">
        <v>4</v>
      </c>
    </row>
    <row r="1302" spans="1:19" x14ac:dyDescent="0.3">
      <c r="A1302" s="1">
        <v>42484</v>
      </c>
      <c r="B1302">
        <v>2016</v>
      </c>
      <c r="C1302" t="s">
        <v>29</v>
      </c>
      <c r="D1302" s="4">
        <v>172340</v>
      </c>
      <c r="E1302" s="2">
        <v>140000</v>
      </c>
      <c r="F1302" t="s">
        <v>36</v>
      </c>
      <c r="G1302" t="s">
        <v>37</v>
      </c>
      <c r="H1302">
        <v>6</v>
      </c>
      <c r="I1302">
        <v>4</v>
      </c>
      <c r="J1302">
        <v>1936</v>
      </c>
      <c r="K1302" s="5">
        <v>1.3482589999999999E-2</v>
      </c>
      <c r="L1302" t="s">
        <v>38</v>
      </c>
      <c r="M1302" s="4">
        <v>-32340</v>
      </c>
      <c r="N1302" s="3">
        <v>72.313999999999993</v>
      </c>
      <c r="O1302" t="s">
        <v>33</v>
      </c>
      <c r="P1302" t="s">
        <v>23</v>
      </c>
      <c r="Q1302" t="s">
        <v>34</v>
      </c>
      <c r="R1302" t="s">
        <v>45</v>
      </c>
      <c r="S1302">
        <v>4</v>
      </c>
    </row>
    <row r="1303" spans="1:19" x14ac:dyDescent="0.3">
      <c r="A1303" s="1">
        <v>42488</v>
      </c>
      <c r="B1303">
        <v>2016</v>
      </c>
      <c r="C1303" t="s">
        <v>35</v>
      </c>
      <c r="D1303" s="4">
        <v>2654540</v>
      </c>
      <c r="E1303" s="2">
        <v>3925000</v>
      </c>
      <c r="F1303" t="s">
        <v>19</v>
      </c>
      <c r="G1303" t="s">
        <v>20</v>
      </c>
      <c r="H1303">
        <v>3</v>
      </c>
      <c r="I1303">
        <v>2</v>
      </c>
      <c r="J1303">
        <v>978</v>
      </c>
      <c r="K1303" s="5">
        <v>1.3482589999999999E-2</v>
      </c>
      <c r="L1303" t="s">
        <v>32</v>
      </c>
      <c r="M1303" s="4">
        <v>1270460</v>
      </c>
      <c r="N1303" s="3">
        <v>4013.2923999999998</v>
      </c>
      <c r="O1303" t="s">
        <v>22</v>
      </c>
      <c r="P1303" t="s">
        <v>28</v>
      </c>
      <c r="Q1303" t="s">
        <v>24</v>
      </c>
      <c r="R1303" t="s">
        <v>45</v>
      </c>
      <c r="S1303">
        <v>4</v>
      </c>
    </row>
    <row r="1304" spans="1:19" x14ac:dyDescent="0.3">
      <c r="A1304" s="1">
        <v>42489</v>
      </c>
      <c r="B1304">
        <v>2016</v>
      </c>
      <c r="C1304" t="s">
        <v>40</v>
      </c>
      <c r="D1304" s="4">
        <v>167960</v>
      </c>
      <c r="E1304" s="2">
        <v>85000</v>
      </c>
      <c r="F1304" t="s">
        <v>30</v>
      </c>
      <c r="G1304" t="s">
        <v>31</v>
      </c>
      <c r="H1304">
        <v>4</v>
      </c>
      <c r="I1304">
        <v>4</v>
      </c>
      <c r="J1304">
        <v>1363</v>
      </c>
      <c r="K1304" s="5">
        <v>1.3482589999999999E-2</v>
      </c>
      <c r="L1304" t="s">
        <v>21</v>
      </c>
      <c r="M1304" s="4">
        <v>-82960</v>
      </c>
      <c r="N1304" s="3">
        <v>62.362400000000001</v>
      </c>
      <c r="O1304" t="s">
        <v>33</v>
      </c>
      <c r="P1304" t="s">
        <v>23</v>
      </c>
      <c r="Q1304" t="s">
        <v>34</v>
      </c>
      <c r="R1304" t="s">
        <v>45</v>
      </c>
      <c r="S1304">
        <v>4</v>
      </c>
    </row>
    <row r="1305" spans="1:19" x14ac:dyDescent="0.3">
      <c r="A1305" s="1">
        <v>42491</v>
      </c>
      <c r="B1305">
        <v>2016</v>
      </c>
      <c r="C1305" t="s">
        <v>56</v>
      </c>
      <c r="D1305" s="4">
        <v>407190</v>
      </c>
      <c r="E1305" s="2">
        <v>645000</v>
      </c>
      <c r="F1305" t="s">
        <v>19</v>
      </c>
      <c r="G1305" t="s">
        <v>20</v>
      </c>
      <c r="H1305">
        <v>3</v>
      </c>
      <c r="I1305">
        <v>2</v>
      </c>
      <c r="J1305">
        <v>1111.6589814177564</v>
      </c>
      <c r="K1305" s="5">
        <v>1.3482589999999999E-2</v>
      </c>
      <c r="L1305" t="s">
        <v>27</v>
      </c>
      <c r="M1305" s="4">
        <v>237810</v>
      </c>
      <c r="N1305" s="3">
        <v>580.21389999999997</v>
      </c>
      <c r="O1305" t="s">
        <v>22</v>
      </c>
      <c r="P1305" t="s">
        <v>28</v>
      </c>
      <c r="Q1305" t="s">
        <v>24</v>
      </c>
      <c r="R1305" t="s">
        <v>47</v>
      </c>
      <c r="S1305">
        <v>5</v>
      </c>
    </row>
    <row r="1306" spans="1:19" x14ac:dyDescent="0.3">
      <c r="A1306" s="1">
        <v>42495</v>
      </c>
      <c r="B1306">
        <v>2016</v>
      </c>
      <c r="C1306" t="s">
        <v>56</v>
      </c>
      <c r="D1306" s="4">
        <v>375690</v>
      </c>
      <c r="E1306" s="2">
        <v>585000</v>
      </c>
      <c r="F1306" t="s">
        <v>19</v>
      </c>
      <c r="G1306" t="s">
        <v>20</v>
      </c>
      <c r="H1306">
        <v>3</v>
      </c>
      <c r="I1306">
        <v>2</v>
      </c>
      <c r="J1306">
        <v>925</v>
      </c>
      <c r="K1306" s="5">
        <v>1.3482589999999999E-2</v>
      </c>
      <c r="L1306" t="s">
        <v>38</v>
      </c>
      <c r="M1306" s="4">
        <v>209310</v>
      </c>
      <c r="N1306" s="3">
        <v>632.43240000000003</v>
      </c>
      <c r="O1306" t="s">
        <v>22</v>
      </c>
      <c r="P1306" t="s">
        <v>24</v>
      </c>
      <c r="Q1306" t="s">
        <v>24</v>
      </c>
      <c r="R1306" t="s">
        <v>47</v>
      </c>
      <c r="S1306">
        <v>5</v>
      </c>
    </row>
    <row r="1307" spans="1:19" x14ac:dyDescent="0.3">
      <c r="A1307" s="1">
        <v>42496</v>
      </c>
      <c r="B1307">
        <v>2016</v>
      </c>
      <c r="C1307" t="s">
        <v>29</v>
      </c>
      <c r="D1307" s="4">
        <v>180170</v>
      </c>
      <c r="E1307" s="2">
        <v>278000</v>
      </c>
      <c r="F1307" t="s">
        <v>19</v>
      </c>
      <c r="G1307" t="s">
        <v>20</v>
      </c>
      <c r="H1307">
        <v>3</v>
      </c>
      <c r="I1307">
        <v>3</v>
      </c>
      <c r="J1307">
        <v>1065</v>
      </c>
      <c r="K1307" s="5">
        <v>1.3482589999999999E-2</v>
      </c>
      <c r="L1307" t="s">
        <v>27</v>
      </c>
      <c r="M1307" s="4">
        <v>97830</v>
      </c>
      <c r="N1307" s="3">
        <v>261.03289999999998</v>
      </c>
      <c r="O1307" t="s">
        <v>22</v>
      </c>
      <c r="P1307" t="s">
        <v>24</v>
      </c>
      <c r="Q1307" t="s">
        <v>24</v>
      </c>
      <c r="R1307" t="s">
        <v>47</v>
      </c>
      <c r="S1307">
        <v>5</v>
      </c>
    </row>
    <row r="1308" spans="1:19" x14ac:dyDescent="0.3">
      <c r="A1308" s="1">
        <v>42498</v>
      </c>
      <c r="B1308">
        <v>2016</v>
      </c>
      <c r="C1308" t="s">
        <v>56</v>
      </c>
      <c r="D1308" s="4">
        <v>434160</v>
      </c>
      <c r="E1308" s="2">
        <v>492000</v>
      </c>
      <c r="F1308" t="s">
        <v>19</v>
      </c>
      <c r="G1308" t="s">
        <v>20</v>
      </c>
      <c r="H1308">
        <v>3</v>
      </c>
      <c r="I1308">
        <v>1</v>
      </c>
      <c r="J1308">
        <v>1100</v>
      </c>
      <c r="K1308" s="5">
        <v>1.3482589999999999E-2</v>
      </c>
      <c r="L1308" t="s">
        <v>27</v>
      </c>
      <c r="M1308" s="4">
        <v>57840</v>
      </c>
      <c r="N1308" s="3">
        <v>447.27269999999999</v>
      </c>
      <c r="O1308" t="s">
        <v>22</v>
      </c>
      <c r="P1308" t="s">
        <v>24</v>
      </c>
      <c r="Q1308" t="s">
        <v>24</v>
      </c>
      <c r="R1308" t="s">
        <v>47</v>
      </c>
      <c r="S1308">
        <v>5</v>
      </c>
    </row>
    <row r="1309" spans="1:19" x14ac:dyDescent="0.3">
      <c r="A1309" s="1">
        <v>42502</v>
      </c>
      <c r="B1309">
        <v>2016</v>
      </c>
      <c r="C1309" t="s">
        <v>29</v>
      </c>
      <c r="D1309" s="4">
        <v>182970</v>
      </c>
      <c r="E1309" s="2">
        <v>115000</v>
      </c>
      <c r="F1309" t="s">
        <v>36</v>
      </c>
      <c r="G1309" t="s">
        <v>37</v>
      </c>
      <c r="H1309">
        <v>6</v>
      </c>
      <c r="I1309">
        <v>4</v>
      </c>
      <c r="J1309">
        <v>2059</v>
      </c>
      <c r="K1309" s="5">
        <v>1.3482589999999999E-2</v>
      </c>
      <c r="L1309" t="s">
        <v>32</v>
      </c>
      <c r="M1309" s="4">
        <v>-67970</v>
      </c>
      <c r="N1309" s="3">
        <v>55.852400000000003</v>
      </c>
      <c r="O1309" t="s">
        <v>33</v>
      </c>
      <c r="P1309" t="s">
        <v>23</v>
      </c>
      <c r="Q1309" t="s">
        <v>34</v>
      </c>
      <c r="R1309" t="s">
        <v>47</v>
      </c>
      <c r="S1309">
        <v>5</v>
      </c>
    </row>
    <row r="1310" spans="1:19" x14ac:dyDescent="0.3">
      <c r="A1310" s="1">
        <v>42503</v>
      </c>
      <c r="B1310">
        <v>2016</v>
      </c>
      <c r="C1310" t="s">
        <v>35</v>
      </c>
      <c r="D1310" s="4">
        <v>830900</v>
      </c>
      <c r="E1310" s="2">
        <v>1335000</v>
      </c>
      <c r="F1310" t="s">
        <v>19</v>
      </c>
      <c r="G1310" t="s">
        <v>20</v>
      </c>
      <c r="H1310">
        <v>3</v>
      </c>
      <c r="I1310">
        <v>3</v>
      </c>
      <c r="J1310">
        <v>921</v>
      </c>
      <c r="K1310" s="5">
        <v>1.3482589999999999E-2</v>
      </c>
      <c r="L1310" t="s">
        <v>27</v>
      </c>
      <c r="M1310" s="4">
        <v>504100</v>
      </c>
      <c r="N1310" s="3">
        <v>1449.5114000000001</v>
      </c>
      <c r="O1310" t="s">
        <v>22</v>
      </c>
      <c r="P1310" t="s">
        <v>28</v>
      </c>
      <c r="Q1310" t="s">
        <v>24</v>
      </c>
      <c r="R1310" t="s">
        <v>47</v>
      </c>
      <c r="S1310">
        <v>5</v>
      </c>
    </row>
    <row r="1311" spans="1:19" x14ac:dyDescent="0.3">
      <c r="A1311" s="1">
        <v>42504</v>
      </c>
      <c r="B1311">
        <v>2016</v>
      </c>
      <c r="C1311" t="s">
        <v>40</v>
      </c>
      <c r="D1311" s="4">
        <v>444584.20699999999</v>
      </c>
      <c r="E1311" s="2">
        <v>525000</v>
      </c>
      <c r="F1311" t="s">
        <v>19</v>
      </c>
      <c r="G1311" t="s">
        <v>20</v>
      </c>
      <c r="H1311">
        <v>3</v>
      </c>
      <c r="I1311">
        <v>1</v>
      </c>
      <c r="J1311">
        <v>954</v>
      </c>
      <c r="K1311" s="5">
        <v>1.3482589999999999E-2</v>
      </c>
      <c r="L1311" t="s">
        <v>21</v>
      </c>
      <c r="M1311" s="4">
        <v>80415.793000000005</v>
      </c>
      <c r="N1311" s="3">
        <v>550.31449999999995</v>
      </c>
      <c r="O1311" t="s">
        <v>22</v>
      </c>
      <c r="P1311" t="s">
        <v>24</v>
      </c>
      <c r="Q1311" t="s">
        <v>24</v>
      </c>
      <c r="R1311" t="s">
        <v>47</v>
      </c>
      <c r="S1311">
        <v>5</v>
      </c>
    </row>
    <row r="1312" spans="1:19" x14ac:dyDescent="0.3">
      <c r="A1312" s="1">
        <v>42505</v>
      </c>
      <c r="B1312">
        <v>2016</v>
      </c>
      <c r="C1312" t="s">
        <v>18</v>
      </c>
      <c r="D1312" s="4">
        <v>26690</v>
      </c>
      <c r="E1312" s="2">
        <v>13000</v>
      </c>
      <c r="F1312" t="s">
        <v>36</v>
      </c>
      <c r="G1312" t="s">
        <v>37</v>
      </c>
      <c r="H1312">
        <v>6</v>
      </c>
      <c r="I1312">
        <v>5</v>
      </c>
      <c r="J1312">
        <v>2163</v>
      </c>
      <c r="K1312" s="5">
        <v>1.3482589999999999E-2</v>
      </c>
      <c r="L1312" t="s">
        <v>32</v>
      </c>
      <c r="M1312" s="4">
        <v>-13690</v>
      </c>
      <c r="N1312" s="3">
        <v>6.0102000000000002</v>
      </c>
      <c r="O1312" t="s">
        <v>33</v>
      </c>
      <c r="P1312" t="s">
        <v>23</v>
      </c>
      <c r="Q1312" t="s">
        <v>34</v>
      </c>
      <c r="R1312" t="s">
        <v>47</v>
      </c>
      <c r="S1312">
        <v>5</v>
      </c>
    </row>
    <row r="1313" spans="1:19" x14ac:dyDescent="0.3">
      <c r="A1313" s="1">
        <v>42506</v>
      </c>
      <c r="B1313">
        <v>2016</v>
      </c>
      <c r="C1313" t="s">
        <v>18</v>
      </c>
      <c r="D1313" s="4">
        <v>80710</v>
      </c>
      <c r="E1313" s="2">
        <v>144149</v>
      </c>
      <c r="F1313" t="s">
        <v>19</v>
      </c>
      <c r="G1313" t="s">
        <v>20</v>
      </c>
      <c r="H1313">
        <v>3</v>
      </c>
      <c r="I1313">
        <v>1</v>
      </c>
      <c r="J1313">
        <v>1096</v>
      </c>
      <c r="K1313" s="5">
        <v>1.3482589999999999E-2</v>
      </c>
      <c r="L1313" t="s">
        <v>27</v>
      </c>
      <c r="M1313" s="4">
        <v>63439</v>
      </c>
      <c r="N1313" s="3">
        <v>131.52279999999999</v>
      </c>
      <c r="O1313" t="s">
        <v>22</v>
      </c>
      <c r="P1313" t="s">
        <v>23</v>
      </c>
      <c r="Q1313" t="s">
        <v>24</v>
      </c>
      <c r="R1313" t="s">
        <v>47</v>
      </c>
      <c r="S1313">
        <v>5</v>
      </c>
    </row>
    <row r="1314" spans="1:19" x14ac:dyDescent="0.3">
      <c r="A1314" s="1">
        <v>42509</v>
      </c>
      <c r="B1314">
        <v>2016</v>
      </c>
      <c r="C1314" t="s">
        <v>29</v>
      </c>
      <c r="D1314" s="4">
        <v>165120</v>
      </c>
      <c r="E1314" s="2">
        <v>106399</v>
      </c>
      <c r="F1314" t="s">
        <v>30</v>
      </c>
      <c r="G1314" t="s">
        <v>31</v>
      </c>
      <c r="H1314">
        <v>4</v>
      </c>
      <c r="I1314">
        <v>4</v>
      </c>
      <c r="J1314">
        <v>1111.6589814177564</v>
      </c>
      <c r="K1314" s="5">
        <v>1.3482589999999999E-2</v>
      </c>
      <c r="L1314" t="s">
        <v>27</v>
      </c>
      <c r="M1314" s="4">
        <v>-58721</v>
      </c>
      <c r="N1314" s="3">
        <v>95.7119</v>
      </c>
      <c r="O1314" t="s">
        <v>33</v>
      </c>
      <c r="P1314" t="s">
        <v>23</v>
      </c>
      <c r="Q1314" t="s">
        <v>24</v>
      </c>
      <c r="R1314" t="s">
        <v>47</v>
      </c>
      <c r="S1314">
        <v>5</v>
      </c>
    </row>
    <row r="1315" spans="1:19" x14ac:dyDescent="0.3">
      <c r="A1315" s="1">
        <v>42510</v>
      </c>
      <c r="B1315">
        <v>2016</v>
      </c>
      <c r="C1315" t="s">
        <v>40</v>
      </c>
      <c r="D1315" s="4">
        <v>234500</v>
      </c>
      <c r="E1315" s="2">
        <v>375000</v>
      </c>
      <c r="F1315" t="s">
        <v>19</v>
      </c>
      <c r="G1315" t="s">
        <v>20</v>
      </c>
      <c r="H1315">
        <v>3</v>
      </c>
      <c r="I1315">
        <v>1</v>
      </c>
      <c r="J1315">
        <v>982</v>
      </c>
      <c r="K1315" s="5">
        <v>1.3482589999999999E-2</v>
      </c>
      <c r="L1315" t="s">
        <v>27</v>
      </c>
      <c r="M1315" s="4">
        <v>140500</v>
      </c>
      <c r="N1315" s="3">
        <v>381.87369999999999</v>
      </c>
      <c r="O1315" t="s">
        <v>22</v>
      </c>
      <c r="P1315" t="s">
        <v>24</v>
      </c>
      <c r="Q1315" t="s">
        <v>24</v>
      </c>
      <c r="R1315" t="s">
        <v>47</v>
      </c>
      <c r="S1315">
        <v>5</v>
      </c>
    </row>
    <row r="1316" spans="1:19" x14ac:dyDescent="0.3">
      <c r="A1316" s="1">
        <v>42511</v>
      </c>
      <c r="B1316">
        <v>2016</v>
      </c>
      <c r="C1316" t="s">
        <v>39</v>
      </c>
      <c r="D1316" s="4">
        <v>250810</v>
      </c>
      <c r="E1316" s="2">
        <v>247000</v>
      </c>
      <c r="F1316" t="s">
        <v>19</v>
      </c>
      <c r="G1316" t="s">
        <v>20</v>
      </c>
      <c r="H1316">
        <v>3</v>
      </c>
      <c r="I1316">
        <v>3</v>
      </c>
      <c r="J1316">
        <v>1012</v>
      </c>
      <c r="K1316" s="5">
        <v>1.3482589999999999E-2</v>
      </c>
      <c r="L1316" t="s">
        <v>27</v>
      </c>
      <c r="M1316" s="4">
        <v>-3810</v>
      </c>
      <c r="N1316" s="3">
        <v>244.0711</v>
      </c>
      <c r="O1316" t="s">
        <v>33</v>
      </c>
      <c r="P1316" t="s">
        <v>24</v>
      </c>
      <c r="Q1316" t="s">
        <v>24</v>
      </c>
      <c r="R1316" t="s">
        <v>47</v>
      </c>
      <c r="S1316">
        <v>5</v>
      </c>
    </row>
    <row r="1317" spans="1:19" x14ac:dyDescent="0.3">
      <c r="A1317" s="1">
        <v>42512</v>
      </c>
      <c r="B1317">
        <v>2016</v>
      </c>
      <c r="C1317" t="s">
        <v>39</v>
      </c>
      <c r="D1317" s="4">
        <v>463260</v>
      </c>
      <c r="E1317" s="2">
        <v>560000</v>
      </c>
      <c r="F1317" t="s">
        <v>19</v>
      </c>
      <c r="G1317" t="s">
        <v>20</v>
      </c>
      <c r="H1317">
        <v>3</v>
      </c>
      <c r="I1317">
        <v>3</v>
      </c>
      <c r="J1317">
        <v>948</v>
      </c>
      <c r="K1317" s="5">
        <v>1.3482589999999999E-2</v>
      </c>
      <c r="L1317" t="s">
        <v>27</v>
      </c>
      <c r="M1317" s="4">
        <v>96740</v>
      </c>
      <c r="N1317" s="3">
        <v>590.71730000000002</v>
      </c>
      <c r="O1317" t="s">
        <v>22</v>
      </c>
      <c r="P1317" t="s">
        <v>24</v>
      </c>
      <c r="Q1317" t="s">
        <v>24</v>
      </c>
      <c r="R1317" t="s">
        <v>47</v>
      </c>
      <c r="S1317">
        <v>5</v>
      </c>
    </row>
    <row r="1318" spans="1:19" x14ac:dyDescent="0.3">
      <c r="A1318" s="1">
        <v>42517</v>
      </c>
      <c r="B1318">
        <v>2016</v>
      </c>
      <c r="C1318" t="s">
        <v>29</v>
      </c>
      <c r="D1318" s="4">
        <v>242050</v>
      </c>
      <c r="E1318" s="2">
        <v>140000</v>
      </c>
      <c r="F1318" t="s">
        <v>30</v>
      </c>
      <c r="G1318" t="s">
        <v>31</v>
      </c>
      <c r="H1318">
        <v>4</v>
      </c>
      <c r="I1318">
        <v>3</v>
      </c>
      <c r="J1318">
        <v>1452</v>
      </c>
      <c r="K1318" s="5">
        <v>1.3482589999999999E-2</v>
      </c>
      <c r="L1318" t="s">
        <v>21</v>
      </c>
      <c r="M1318" s="4">
        <v>-102050</v>
      </c>
      <c r="N1318" s="3">
        <v>96.418700000000001</v>
      </c>
      <c r="O1318" t="s">
        <v>33</v>
      </c>
      <c r="P1318" t="s">
        <v>23</v>
      </c>
      <c r="Q1318" t="s">
        <v>34</v>
      </c>
      <c r="R1318" t="s">
        <v>47</v>
      </c>
      <c r="S1318">
        <v>5</v>
      </c>
    </row>
    <row r="1319" spans="1:19" x14ac:dyDescent="0.3">
      <c r="A1319" s="1">
        <v>42518</v>
      </c>
      <c r="B1319">
        <v>2016</v>
      </c>
      <c r="C1319" t="s">
        <v>40</v>
      </c>
      <c r="D1319" s="4">
        <v>83020</v>
      </c>
      <c r="E1319" s="2">
        <v>50400</v>
      </c>
      <c r="F1319" t="s">
        <v>19</v>
      </c>
      <c r="G1319" t="s">
        <v>20</v>
      </c>
      <c r="H1319">
        <v>3</v>
      </c>
      <c r="I1319">
        <v>2</v>
      </c>
      <c r="J1319">
        <v>1111.6589814177564</v>
      </c>
      <c r="K1319" s="5">
        <v>1.3482589999999999E-2</v>
      </c>
      <c r="L1319" t="s">
        <v>27</v>
      </c>
      <c r="M1319" s="4">
        <v>-32620</v>
      </c>
      <c r="N1319" s="3">
        <v>45.337600000000002</v>
      </c>
      <c r="O1319" t="s">
        <v>33</v>
      </c>
      <c r="P1319" t="s">
        <v>23</v>
      </c>
      <c r="Q1319" t="s">
        <v>24</v>
      </c>
      <c r="R1319" t="s">
        <v>47</v>
      </c>
      <c r="S1319">
        <v>5</v>
      </c>
    </row>
    <row r="1320" spans="1:19" x14ac:dyDescent="0.3">
      <c r="A1320" s="1">
        <v>42519</v>
      </c>
      <c r="B1320">
        <v>2016</v>
      </c>
      <c r="C1320" t="s">
        <v>29</v>
      </c>
      <c r="D1320" s="4">
        <v>162940</v>
      </c>
      <c r="E1320" s="2">
        <v>145000</v>
      </c>
      <c r="F1320" t="s">
        <v>30</v>
      </c>
      <c r="G1320" t="s">
        <v>31</v>
      </c>
      <c r="H1320">
        <v>4</v>
      </c>
      <c r="I1320">
        <v>3</v>
      </c>
      <c r="J1320">
        <v>1111.6589814177564</v>
      </c>
      <c r="K1320" s="5">
        <v>1.3482589999999999E-2</v>
      </c>
      <c r="L1320" t="s">
        <v>32</v>
      </c>
      <c r="M1320" s="4">
        <v>-17940</v>
      </c>
      <c r="N1320" s="3">
        <v>130.4357</v>
      </c>
      <c r="O1320" t="s">
        <v>33</v>
      </c>
      <c r="P1320" t="s">
        <v>23</v>
      </c>
      <c r="Q1320" t="s">
        <v>24</v>
      </c>
      <c r="R1320" t="s">
        <v>47</v>
      </c>
      <c r="S1320">
        <v>5</v>
      </c>
    </row>
    <row r="1321" spans="1:19" x14ac:dyDescent="0.3">
      <c r="A1321" s="1">
        <v>42520</v>
      </c>
      <c r="B1321">
        <v>2016</v>
      </c>
      <c r="C1321" t="s">
        <v>35</v>
      </c>
      <c r="D1321" s="4">
        <v>444584.20699999999</v>
      </c>
      <c r="E1321" s="2">
        <v>2299000</v>
      </c>
      <c r="F1321" t="s">
        <v>19</v>
      </c>
      <c r="G1321" t="s">
        <v>20</v>
      </c>
      <c r="H1321">
        <v>3</v>
      </c>
      <c r="I1321">
        <v>1</v>
      </c>
      <c r="J1321">
        <v>1044</v>
      </c>
      <c r="K1321" s="5">
        <v>1.3482589999999999E-2</v>
      </c>
      <c r="L1321" t="s">
        <v>32</v>
      </c>
      <c r="M1321" s="4">
        <v>1854415.7930000001</v>
      </c>
      <c r="N1321" s="3">
        <v>2202.1073000000001</v>
      </c>
      <c r="O1321" t="s">
        <v>22</v>
      </c>
      <c r="P1321" t="s">
        <v>28</v>
      </c>
      <c r="Q1321" t="s">
        <v>24</v>
      </c>
      <c r="R1321" t="s">
        <v>47</v>
      </c>
      <c r="S1321">
        <v>5</v>
      </c>
    </row>
    <row r="1322" spans="1:19" x14ac:dyDescent="0.3">
      <c r="A1322" s="1">
        <v>42523</v>
      </c>
      <c r="B1322">
        <v>2016</v>
      </c>
      <c r="C1322" t="s">
        <v>29</v>
      </c>
      <c r="D1322" s="4">
        <v>126020</v>
      </c>
      <c r="E1322" s="2">
        <v>69000</v>
      </c>
      <c r="F1322" t="s">
        <v>19</v>
      </c>
      <c r="G1322" t="s">
        <v>20</v>
      </c>
      <c r="H1322">
        <v>3</v>
      </c>
      <c r="I1322">
        <v>1</v>
      </c>
      <c r="J1322">
        <v>1022</v>
      </c>
      <c r="K1322" s="5">
        <v>1.3482589999999999E-2</v>
      </c>
      <c r="L1322" t="s">
        <v>32</v>
      </c>
      <c r="M1322" s="4">
        <v>-57020</v>
      </c>
      <c r="N1322" s="3">
        <v>67.514700000000005</v>
      </c>
      <c r="O1322" t="s">
        <v>33</v>
      </c>
      <c r="P1322" t="s">
        <v>23</v>
      </c>
      <c r="Q1322" t="s">
        <v>24</v>
      </c>
      <c r="R1322" t="s">
        <v>48</v>
      </c>
      <c r="S1322">
        <v>6</v>
      </c>
    </row>
    <row r="1323" spans="1:19" x14ac:dyDescent="0.3">
      <c r="A1323" s="1">
        <v>42524</v>
      </c>
      <c r="B1323">
        <v>2016</v>
      </c>
      <c r="C1323" t="s">
        <v>39</v>
      </c>
      <c r="D1323" s="4">
        <v>359730</v>
      </c>
      <c r="E1323" s="2">
        <v>510000</v>
      </c>
      <c r="F1323" t="s">
        <v>19</v>
      </c>
      <c r="G1323" t="s">
        <v>20</v>
      </c>
      <c r="H1323">
        <v>3</v>
      </c>
      <c r="I1323">
        <v>3</v>
      </c>
      <c r="J1323">
        <v>901</v>
      </c>
      <c r="K1323" s="5">
        <v>1.3482589999999999E-2</v>
      </c>
      <c r="L1323" t="s">
        <v>27</v>
      </c>
      <c r="M1323" s="4">
        <v>150270</v>
      </c>
      <c r="N1323" s="3">
        <v>566.03769999999997</v>
      </c>
      <c r="O1323" t="s">
        <v>22</v>
      </c>
      <c r="P1323" t="s">
        <v>24</v>
      </c>
      <c r="Q1323" t="s">
        <v>24</v>
      </c>
      <c r="R1323" t="s">
        <v>48</v>
      </c>
      <c r="S1323">
        <v>6</v>
      </c>
    </row>
    <row r="1324" spans="1:19" x14ac:dyDescent="0.3">
      <c r="A1324" s="1">
        <v>42527</v>
      </c>
      <c r="B1324">
        <v>2016</v>
      </c>
      <c r="C1324" t="s">
        <v>35</v>
      </c>
      <c r="D1324" s="4">
        <v>1247680</v>
      </c>
      <c r="E1324" s="2">
        <v>2608000</v>
      </c>
      <c r="F1324" t="s">
        <v>19</v>
      </c>
      <c r="G1324" t="s">
        <v>20</v>
      </c>
      <c r="H1324">
        <v>3</v>
      </c>
      <c r="I1324">
        <v>2</v>
      </c>
      <c r="J1324">
        <v>1056</v>
      </c>
      <c r="K1324" s="5">
        <v>1.3482589999999999E-2</v>
      </c>
      <c r="L1324" t="s">
        <v>27</v>
      </c>
      <c r="M1324" s="4">
        <v>1360320</v>
      </c>
      <c r="N1324" s="3">
        <v>2469.6970000000001</v>
      </c>
      <c r="O1324" t="s">
        <v>22</v>
      </c>
      <c r="P1324" t="s">
        <v>28</v>
      </c>
      <c r="Q1324" t="s">
        <v>24</v>
      </c>
      <c r="R1324" t="s">
        <v>48</v>
      </c>
      <c r="S1324">
        <v>6</v>
      </c>
    </row>
    <row r="1325" spans="1:19" x14ac:dyDescent="0.3">
      <c r="A1325" s="1">
        <v>42531</v>
      </c>
      <c r="B1325">
        <v>2016</v>
      </c>
      <c r="C1325" t="s">
        <v>29</v>
      </c>
      <c r="D1325" s="4">
        <v>161670</v>
      </c>
      <c r="E1325" s="2">
        <v>100000</v>
      </c>
      <c r="F1325" t="s">
        <v>30</v>
      </c>
      <c r="G1325" t="s">
        <v>31</v>
      </c>
      <c r="H1325">
        <v>4</v>
      </c>
      <c r="I1325">
        <v>4</v>
      </c>
      <c r="J1325">
        <v>1258</v>
      </c>
      <c r="K1325" s="5">
        <v>1.3482589999999999E-2</v>
      </c>
      <c r="L1325" t="s">
        <v>38</v>
      </c>
      <c r="M1325" s="4">
        <v>-61670</v>
      </c>
      <c r="N1325" s="3">
        <v>79.491299999999995</v>
      </c>
      <c r="O1325" t="s">
        <v>33</v>
      </c>
      <c r="P1325" t="s">
        <v>23</v>
      </c>
      <c r="Q1325" t="s">
        <v>24</v>
      </c>
      <c r="R1325" t="s">
        <v>48</v>
      </c>
      <c r="S1325">
        <v>6</v>
      </c>
    </row>
    <row r="1326" spans="1:19" x14ac:dyDescent="0.3">
      <c r="A1326" s="1">
        <v>42533</v>
      </c>
      <c r="B1326">
        <v>2016</v>
      </c>
      <c r="C1326" t="s">
        <v>40</v>
      </c>
      <c r="D1326" s="4">
        <v>444584.20699999999</v>
      </c>
      <c r="E1326" s="2">
        <v>320000</v>
      </c>
      <c r="F1326" t="s">
        <v>36</v>
      </c>
      <c r="G1326" t="s">
        <v>37</v>
      </c>
      <c r="H1326">
        <v>6</v>
      </c>
      <c r="I1326">
        <v>5</v>
      </c>
      <c r="J1326">
        <v>1956</v>
      </c>
      <c r="K1326" s="5">
        <v>1.3482589999999999E-2</v>
      </c>
      <c r="L1326" t="s">
        <v>38</v>
      </c>
      <c r="M1326" s="4">
        <v>-124584.20699999999</v>
      </c>
      <c r="N1326" s="3">
        <v>163.5992</v>
      </c>
      <c r="O1326" t="s">
        <v>33</v>
      </c>
      <c r="P1326" t="s">
        <v>24</v>
      </c>
      <c r="Q1326" t="s">
        <v>34</v>
      </c>
      <c r="R1326" t="s">
        <v>48</v>
      </c>
      <c r="S1326">
        <v>6</v>
      </c>
    </row>
    <row r="1327" spans="1:19" x14ac:dyDescent="0.3">
      <c r="A1327" s="1">
        <v>42534</v>
      </c>
      <c r="B1327">
        <v>2016</v>
      </c>
      <c r="C1327" t="s">
        <v>35</v>
      </c>
      <c r="D1327" s="4">
        <v>444584.20699999999</v>
      </c>
      <c r="E1327" s="2">
        <v>750200</v>
      </c>
      <c r="F1327" t="s">
        <v>19</v>
      </c>
      <c r="G1327" t="s">
        <v>20</v>
      </c>
      <c r="H1327">
        <v>3</v>
      </c>
      <c r="I1327">
        <v>2</v>
      </c>
      <c r="J1327">
        <v>920</v>
      </c>
      <c r="K1327" s="5">
        <v>1.3482589999999999E-2</v>
      </c>
      <c r="L1327" t="s">
        <v>27</v>
      </c>
      <c r="M1327" s="4">
        <v>305615.79300000001</v>
      </c>
      <c r="N1327" s="3">
        <v>815.4348</v>
      </c>
      <c r="O1327" t="s">
        <v>22</v>
      </c>
      <c r="P1327" t="s">
        <v>28</v>
      </c>
      <c r="Q1327" t="s">
        <v>24</v>
      </c>
      <c r="R1327" t="s">
        <v>48</v>
      </c>
      <c r="S1327">
        <v>6</v>
      </c>
    </row>
    <row r="1328" spans="1:19" x14ac:dyDescent="0.3">
      <c r="A1328" s="1">
        <v>42537</v>
      </c>
      <c r="B1328">
        <v>2016</v>
      </c>
      <c r="C1328" t="s">
        <v>39</v>
      </c>
      <c r="D1328" s="4">
        <v>198800</v>
      </c>
      <c r="E1328" s="2">
        <v>353000</v>
      </c>
      <c r="F1328" t="s">
        <v>19</v>
      </c>
      <c r="G1328" t="s">
        <v>20</v>
      </c>
      <c r="H1328">
        <v>3</v>
      </c>
      <c r="I1328">
        <v>2</v>
      </c>
      <c r="J1328">
        <v>1074</v>
      </c>
      <c r="K1328" s="5">
        <v>1.3482589999999999E-2</v>
      </c>
      <c r="L1328" t="s">
        <v>32</v>
      </c>
      <c r="M1328" s="4">
        <v>154200</v>
      </c>
      <c r="N1328" s="3">
        <v>328.67779999999999</v>
      </c>
      <c r="O1328" t="s">
        <v>22</v>
      </c>
      <c r="P1328" t="s">
        <v>24</v>
      </c>
      <c r="Q1328" t="s">
        <v>24</v>
      </c>
      <c r="R1328" t="s">
        <v>48</v>
      </c>
      <c r="S1328">
        <v>6</v>
      </c>
    </row>
    <row r="1329" spans="1:19" x14ac:dyDescent="0.3">
      <c r="A1329" s="1">
        <v>42538</v>
      </c>
      <c r="B1329">
        <v>2016</v>
      </c>
      <c r="C1329" t="s">
        <v>56</v>
      </c>
      <c r="D1329" s="4">
        <v>413090</v>
      </c>
      <c r="E1329" s="2">
        <v>644000</v>
      </c>
      <c r="F1329" t="s">
        <v>19</v>
      </c>
      <c r="G1329" t="s">
        <v>20</v>
      </c>
      <c r="H1329">
        <v>3</v>
      </c>
      <c r="I1329">
        <v>2</v>
      </c>
      <c r="J1329">
        <v>988</v>
      </c>
      <c r="K1329" s="5">
        <v>1.3482589999999999E-2</v>
      </c>
      <c r="L1329" t="s">
        <v>32</v>
      </c>
      <c r="M1329" s="4">
        <v>230910</v>
      </c>
      <c r="N1329" s="3">
        <v>651.82190000000003</v>
      </c>
      <c r="O1329" t="s">
        <v>22</v>
      </c>
      <c r="P1329" t="s">
        <v>28</v>
      </c>
      <c r="Q1329" t="s">
        <v>24</v>
      </c>
      <c r="R1329" t="s">
        <v>48</v>
      </c>
      <c r="S1329">
        <v>6</v>
      </c>
    </row>
    <row r="1330" spans="1:19" x14ac:dyDescent="0.3">
      <c r="A1330" s="1">
        <v>42541</v>
      </c>
      <c r="B1330">
        <v>2016</v>
      </c>
      <c r="C1330" t="s">
        <v>39</v>
      </c>
      <c r="D1330" s="4">
        <v>835380</v>
      </c>
      <c r="E1330" s="2">
        <v>1595000</v>
      </c>
      <c r="F1330" t="s">
        <v>19</v>
      </c>
      <c r="G1330" t="s">
        <v>20</v>
      </c>
      <c r="H1330">
        <v>3</v>
      </c>
      <c r="I1330">
        <v>2</v>
      </c>
      <c r="J1330">
        <v>983</v>
      </c>
      <c r="K1330" s="5">
        <v>1.3482589999999999E-2</v>
      </c>
      <c r="L1330" t="s">
        <v>27</v>
      </c>
      <c r="M1330" s="4">
        <v>759620</v>
      </c>
      <c r="N1330" s="3">
        <v>1622.5839000000001</v>
      </c>
      <c r="O1330" t="s">
        <v>22</v>
      </c>
      <c r="P1330" t="s">
        <v>28</v>
      </c>
      <c r="Q1330" t="s">
        <v>24</v>
      </c>
      <c r="R1330" t="s">
        <v>48</v>
      </c>
      <c r="S1330">
        <v>6</v>
      </c>
    </row>
    <row r="1331" spans="1:19" x14ac:dyDescent="0.3">
      <c r="A1331" s="1">
        <v>42544</v>
      </c>
      <c r="B1331">
        <v>2016</v>
      </c>
      <c r="C1331" t="s">
        <v>35</v>
      </c>
      <c r="D1331" s="4">
        <v>720370</v>
      </c>
      <c r="E1331" s="2">
        <v>850000</v>
      </c>
      <c r="F1331" t="s">
        <v>19</v>
      </c>
      <c r="G1331" t="s">
        <v>20</v>
      </c>
      <c r="H1331">
        <v>3</v>
      </c>
      <c r="I1331">
        <v>1</v>
      </c>
      <c r="J1331">
        <v>1075</v>
      </c>
      <c r="K1331" s="5">
        <v>1.3482589999999999E-2</v>
      </c>
      <c r="L1331" t="s">
        <v>27</v>
      </c>
      <c r="M1331" s="4">
        <v>129630</v>
      </c>
      <c r="N1331" s="3">
        <v>790.69770000000005</v>
      </c>
      <c r="O1331" t="s">
        <v>22</v>
      </c>
      <c r="P1331" t="s">
        <v>28</v>
      </c>
      <c r="Q1331" t="s">
        <v>24</v>
      </c>
      <c r="R1331" t="s">
        <v>48</v>
      </c>
      <c r="S1331">
        <v>6</v>
      </c>
    </row>
    <row r="1332" spans="1:19" x14ac:dyDescent="0.3">
      <c r="A1332" s="1">
        <v>42545</v>
      </c>
      <c r="B1332">
        <v>2016</v>
      </c>
      <c r="C1332" t="s">
        <v>18</v>
      </c>
      <c r="D1332" s="4">
        <v>56097</v>
      </c>
      <c r="E1332" s="2">
        <v>25000</v>
      </c>
      <c r="F1332" t="s">
        <v>42</v>
      </c>
      <c r="G1332" t="s">
        <v>43</v>
      </c>
      <c r="H1332">
        <v>8</v>
      </c>
      <c r="I1332">
        <v>8</v>
      </c>
      <c r="J1332">
        <v>2619</v>
      </c>
      <c r="K1332" s="5">
        <v>1.3482589999999999E-2</v>
      </c>
      <c r="L1332" t="s">
        <v>27</v>
      </c>
      <c r="M1332" s="4">
        <v>-31097</v>
      </c>
      <c r="N1332" s="3">
        <v>9.5456000000000003</v>
      </c>
      <c r="O1332" t="s">
        <v>33</v>
      </c>
      <c r="P1332" t="s">
        <v>23</v>
      </c>
      <c r="Q1332" t="s">
        <v>34</v>
      </c>
      <c r="R1332" t="s">
        <v>48</v>
      </c>
      <c r="S1332">
        <v>6</v>
      </c>
    </row>
    <row r="1333" spans="1:19" x14ac:dyDescent="0.3">
      <c r="A1333" s="1">
        <v>42546</v>
      </c>
      <c r="B1333">
        <v>2016</v>
      </c>
      <c r="C1333" t="s">
        <v>18</v>
      </c>
      <c r="D1333" s="4">
        <v>111120</v>
      </c>
      <c r="E1333" s="2">
        <v>148400</v>
      </c>
      <c r="F1333" t="s">
        <v>19</v>
      </c>
      <c r="G1333" t="s">
        <v>20</v>
      </c>
      <c r="H1333">
        <v>3</v>
      </c>
      <c r="I1333">
        <v>2</v>
      </c>
      <c r="J1333">
        <v>1111.6589814177564</v>
      </c>
      <c r="K1333" s="5">
        <v>1.3482589999999999E-2</v>
      </c>
      <c r="L1333" t="s">
        <v>32</v>
      </c>
      <c r="M1333" s="4">
        <v>37280</v>
      </c>
      <c r="N1333" s="3">
        <v>133.49420000000001</v>
      </c>
      <c r="O1333" t="s">
        <v>22</v>
      </c>
      <c r="P1333" t="s">
        <v>23</v>
      </c>
      <c r="Q1333" t="s">
        <v>24</v>
      </c>
      <c r="R1333" t="s">
        <v>48</v>
      </c>
      <c r="S1333">
        <v>6</v>
      </c>
    </row>
    <row r="1334" spans="1:19" x14ac:dyDescent="0.3">
      <c r="A1334" s="1">
        <v>42547</v>
      </c>
      <c r="B1334">
        <v>2016</v>
      </c>
      <c r="C1334" t="s">
        <v>40</v>
      </c>
      <c r="D1334" s="4">
        <v>444584.20699999999</v>
      </c>
      <c r="E1334" s="2">
        <v>262000</v>
      </c>
      <c r="F1334" t="s">
        <v>19</v>
      </c>
      <c r="G1334" t="s">
        <v>20</v>
      </c>
      <c r="H1334">
        <v>3</v>
      </c>
      <c r="I1334">
        <v>2</v>
      </c>
      <c r="J1334">
        <v>1010</v>
      </c>
      <c r="K1334" s="5">
        <v>1.3482589999999999E-2</v>
      </c>
      <c r="L1334" t="s">
        <v>32</v>
      </c>
      <c r="M1334" s="4">
        <v>-182584.20699999999</v>
      </c>
      <c r="N1334" s="3">
        <v>259.40589999999997</v>
      </c>
      <c r="O1334" t="s">
        <v>33</v>
      </c>
      <c r="P1334" t="s">
        <v>24</v>
      </c>
      <c r="Q1334" t="s">
        <v>24</v>
      </c>
      <c r="R1334" t="s">
        <v>48</v>
      </c>
      <c r="S1334">
        <v>6</v>
      </c>
    </row>
    <row r="1335" spans="1:19" x14ac:dyDescent="0.3">
      <c r="A1335" s="1">
        <v>42551</v>
      </c>
      <c r="B1335">
        <v>2016</v>
      </c>
      <c r="C1335" t="s">
        <v>56</v>
      </c>
      <c r="D1335" s="4">
        <v>381490</v>
      </c>
      <c r="E1335" s="2">
        <v>748000</v>
      </c>
      <c r="F1335" t="s">
        <v>19</v>
      </c>
      <c r="G1335" t="s">
        <v>20</v>
      </c>
      <c r="H1335">
        <v>3</v>
      </c>
      <c r="I1335">
        <v>3</v>
      </c>
      <c r="J1335">
        <v>1056</v>
      </c>
      <c r="K1335" s="5">
        <v>1.3482589999999999E-2</v>
      </c>
      <c r="L1335" t="s">
        <v>38</v>
      </c>
      <c r="M1335" s="4">
        <v>366510</v>
      </c>
      <c r="N1335" s="3">
        <v>708.33330000000001</v>
      </c>
      <c r="O1335" t="s">
        <v>22</v>
      </c>
      <c r="P1335" t="s">
        <v>28</v>
      </c>
      <c r="Q1335" t="s">
        <v>24</v>
      </c>
      <c r="R1335" t="s">
        <v>48</v>
      </c>
      <c r="S1335">
        <v>6</v>
      </c>
    </row>
    <row r="1336" spans="1:19" x14ac:dyDescent="0.3">
      <c r="A1336" s="1">
        <v>42552</v>
      </c>
      <c r="B1336">
        <v>2016</v>
      </c>
      <c r="C1336" t="s">
        <v>39</v>
      </c>
      <c r="D1336" s="4">
        <v>312900</v>
      </c>
      <c r="E1336" s="2">
        <v>547000</v>
      </c>
      <c r="F1336" t="s">
        <v>19</v>
      </c>
      <c r="G1336" t="s">
        <v>20</v>
      </c>
      <c r="H1336">
        <v>3</v>
      </c>
      <c r="I1336">
        <v>2</v>
      </c>
      <c r="J1336">
        <v>1060</v>
      </c>
      <c r="K1336" s="5">
        <v>1.3482589999999999E-2</v>
      </c>
      <c r="L1336" t="s">
        <v>32</v>
      </c>
      <c r="M1336" s="4">
        <v>234100</v>
      </c>
      <c r="N1336" s="3">
        <v>516.03769999999997</v>
      </c>
      <c r="O1336" t="s">
        <v>22</v>
      </c>
      <c r="P1336" t="s">
        <v>24</v>
      </c>
      <c r="Q1336" t="s">
        <v>24</v>
      </c>
      <c r="R1336" t="s">
        <v>49</v>
      </c>
      <c r="S1336">
        <v>7</v>
      </c>
    </row>
    <row r="1337" spans="1:19" x14ac:dyDescent="0.3">
      <c r="A1337" s="1">
        <v>42554</v>
      </c>
      <c r="B1337">
        <v>2016</v>
      </c>
      <c r="C1337" t="s">
        <v>35</v>
      </c>
      <c r="D1337" s="4">
        <v>1021510</v>
      </c>
      <c r="E1337" s="2">
        <v>2035000</v>
      </c>
      <c r="F1337" t="s">
        <v>19</v>
      </c>
      <c r="G1337" t="s">
        <v>20</v>
      </c>
      <c r="H1337">
        <v>3</v>
      </c>
      <c r="I1337">
        <v>2</v>
      </c>
      <c r="J1337">
        <v>946</v>
      </c>
      <c r="K1337" s="5">
        <v>1.3482589999999999E-2</v>
      </c>
      <c r="L1337" t="s">
        <v>21</v>
      </c>
      <c r="M1337" s="4">
        <v>1013490</v>
      </c>
      <c r="N1337" s="3">
        <v>2151.1628000000001</v>
      </c>
      <c r="O1337" t="s">
        <v>22</v>
      </c>
      <c r="P1337" t="s">
        <v>28</v>
      </c>
      <c r="Q1337" t="s">
        <v>24</v>
      </c>
      <c r="R1337" t="s">
        <v>49</v>
      </c>
      <c r="S1337">
        <v>7</v>
      </c>
    </row>
    <row r="1338" spans="1:19" x14ac:dyDescent="0.3">
      <c r="A1338" s="1">
        <v>42558</v>
      </c>
      <c r="B1338">
        <v>2016</v>
      </c>
      <c r="C1338" t="s">
        <v>35</v>
      </c>
      <c r="D1338" s="4">
        <v>444584.20699999999</v>
      </c>
      <c r="E1338" s="2">
        <v>729000</v>
      </c>
      <c r="F1338" t="s">
        <v>19</v>
      </c>
      <c r="G1338" t="s">
        <v>20</v>
      </c>
      <c r="H1338">
        <v>3</v>
      </c>
      <c r="I1338">
        <v>1</v>
      </c>
      <c r="J1338">
        <v>938</v>
      </c>
      <c r="K1338" s="5">
        <v>1.3482589999999999E-2</v>
      </c>
      <c r="L1338" t="s">
        <v>21</v>
      </c>
      <c r="M1338" s="4">
        <v>284415.79300000001</v>
      </c>
      <c r="N1338" s="3">
        <v>777.18550000000005</v>
      </c>
      <c r="O1338" t="s">
        <v>22</v>
      </c>
      <c r="P1338" t="s">
        <v>28</v>
      </c>
      <c r="Q1338" t="s">
        <v>24</v>
      </c>
      <c r="R1338" t="s">
        <v>49</v>
      </c>
      <c r="S1338">
        <v>7</v>
      </c>
    </row>
    <row r="1339" spans="1:19" x14ac:dyDescent="0.3">
      <c r="A1339" s="1">
        <v>42559</v>
      </c>
      <c r="B1339">
        <v>2016</v>
      </c>
      <c r="C1339" t="s">
        <v>29</v>
      </c>
      <c r="D1339" s="4">
        <v>228680</v>
      </c>
      <c r="E1339" s="2">
        <v>115000</v>
      </c>
      <c r="F1339" t="s">
        <v>30</v>
      </c>
      <c r="G1339" t="s">
        <v>31</v>
      </c>
      <c r="H1339">
        <v>4</v>
      </c>
      <c r="I1339">
        <v>3</v>
      </c>
      <c r="J1339">
        <v>1111.6589814177564</v>
      </c>
      <c r="K1339" s="5">
        <v>1.3482589999999999E-2</v>
      </c>
      <c r="L1339" t="s">
        <v>21</v>
      </c>
      <c r="M1339" s="4">
        <v>-113680</v>
      </c>
      <c r="N1339" s="3">
        <v>103.449</v>
      </c>
      <c r="O1339" t="s">
        <v>33</v>
      </c>
      <c r="P1339" t="s">
        <v>23</v>
      </c>
      <c r="Q1339" t="s">
        <v>24</v>
      </c>
      <c r="R1339" t="s">
        <v>49</v>
      </c>
      <c r="S1339">
        <v>7</v>
      </c>
    </row>
    <row r="1340" spans="1:19" x14ac:dyDescent="0.3">
      <c r="A1340" s="1">
        <v>42560</v>
      </c>
      <c r="B1340">
        <v>2016</v>
      </c>
      <c r="C1340" t="s">
        <v>29</v>
      </c>
      <c r="D1340" s="4">
        <v>116230</v>
      </c>
      <c r="E1340" s="2">
        <v>99000</v>
      </c>
      <c r="F1340" t="s">
        <v>19</v>
      </c>
      <c r="G1340" t="s">
        <v>20</v>
      </c>
      <c r="H1340">
        <v>3</v>
      </c>
      <c r="I1340">
        <v>1</v>
      </c>
      <c r="J1340">
        <v>1111.6589814177564</v>
      </c>
      <c r="K1340" s="5">
        <v>1.3482589999999999E-2</v>
      </c>
      <c r="L1340" t="s">
        <v>27</v>
      </c>
      <c r="M1340" s="4">
        <v>-17230</v>
      </c>
      <c r="N1340" s="3">
        <v>89.056100000000001</v>
      </c>
      <c r="O1340" t="s">
        <v>33</v>
      </c>
      <c r="P1340" t="s">
        <v>23</v>
      </c>
      <c r="Q1340" t="s">
        <v>24</v>
      </c>
      <c r="R1340" t="s">
        <v>49</v>
      </c>
      <c r="S1340">
        <v>7</v>
      </c>
    </row>
    <row r="1341" spans="1:19" x14ac:dyDescent="0.3">
      <c r="A1341" s="1">
        <v>42561</v>
      </c>
      <c r="B1341">
        <v>2016</v>
      </c>
      <c r="C1341" t="s">
        <v>56</v>
      </c>
      <c r="D1341" s="4">
        <v>289040</v>
      </c>
      <c r="E1341" s="2">
        <v>484000</v>
      </c>
      <c r="F1341" t="s">
        <v>19</v>
      </c>
      <c r="G1341" t="s">
        <v>20</v>
      </c>
      <c r="H1341">
        <v>3</v>
      </c>
      <c r="I1341">
        <v>3</v>
      </c>
      <c r="J1341">
        <v>1003</v>
      </c>
      <c r="K1341" s="5">
        <v>1.3482589999999999E-2</v>
      </c>
      <c r="L1341" t="s">
        <v>38</v>
      </c>
      <c r="M1341" s="4">
        <v>194960</v>
      </c>
      <c r="N1341" s="3">
        <v>482.5523</v>
      </c>
      <c r="O1341" t="s">
        <v>22</v>
      </c>
      <c r="P1341" t="s">
        <v>24</v>
      </c>
      <c r="Q1341" t="s">
        <v>24</v>
      </c>
      <c r="R1341" t="s">
        <v>49</v>
      </c>
      <c r="S1341">
        <v>7</v>
      </c>
    </row>
    <row r="1342" spans="1:19" x14ac:dyDescent="0.3">
      <c r="A1342" s="1">
        <v>42562</v>
      </c>
      <c r="B1342">
        <v>2016</v>
      </c>
      <c r="C1342" t="s">
        <v>35</v>
      </c>
      <c r="D1342" s="4">
        <v>763070</v>
      </c>
      <c r="E1342" s="2">
        <v>1300000</v>
      </c>
      <c r="F1342" t="s">
        <v>19</v>
      </c>
      <c r="G1342" t="s">
        <v>20</v>
      </c>
      <c r="H1342">
        <v>3</v>
      </c>
      <c r="I1342">
        <v>1</v>
      </c>
      <c r="J1342">
        <v>1111.6589814177564</v>
      </c>
      <c r="K1342" s="5">
        <v>1.3482589999999999E-2</v>
      </c>
      <c r="L1342" t="s">
        <v>32</v>
      </c>
      <c r="M1342" s="4">
        <v>536930</v>
      </c>
      <c r="N1342" s="3">
        <v>1169.4233999999999</v>
      </c>
      <c r="O1342" t="s">
        <v>22</v>
      </c>
      <c r="P1342" t="s">
        <v>28</v>
      </c>
      <c r="Q1342" t="s">
        <v>24</v>
      </c>
      <c r="R1342" t="s">
        <v>49</v>
      </c>
      <c r="S1342">
        <v>7</v>
      </c>
    </row>
    <row r="1343" spans="1:19" x14ac:dyDescent="0.3">
      <c r="A1343" s="1">
        <v>42565</v>
      </c>
      <c r="B1343">
        <v>2016</v>
      </c>
      <c r="C1343" t="s">
        <v>52</v>
      </c>
      <c r="D1343" s="4">
        <v>261310</v>
      </c>
      <c r="E1343" s="2">
        <v>470000</v>
      </c>
      <c r="F1343" t="s">
        <v>19</v>
      </c>
      <c r="G1343" t="s">
        <v>20</v>
      </c>
      <c r="H1343">
        <v>3</v>
      </c>
      <c r="I1343">
        <v>2</v>
      </c>
      <c r="J1343">
        <v>1064</v>
      </c>
      <c r="K1343" s="5">
        <v>1.3482589999999999E-2</v>
      </c>
      <c r="L1343" t="s">
        <v>38</v>
      </c>
      <c r="M1343" s="4">
        <v>208690</v>
      </c>
      <c r="N1343" s="3">
        <v>441.72930000000002</v>
      </c>
      <c r="O1343" t="s">
        <v>22</v>
      </c>
      <c r="P1343" t="s">
        <v>24</v>
      </c>
      <c r="Q1343" t="s">
        <v>24</v>
      </c>
      <c r="R1343" t="s">
        <v>49</v>
      </c>
      <c r="S1343">
        <v>7</v>
      </c>
    </row>
    <row r="1344" spans="1:19" x14ac:dyDescent="0.3">
      <c r="A1344" s="1">
        <v>42566</v>
      </c>
      <c r="B1344">
        <v>2016</v>
      </c>
      <c r="C1344" t="s">
        <v>18</v>
      </c>
      <c r="D1344" s="4">
        <v>107760</v>
      </c>
      <c r="E1344" s="2">
        <v>163000</v>
      </c>
      <c r="F1344" t="s">
        <v>19</v>
      </c>
      <c r="G1344" t="s">
        <v>20</v>
      </c>
      <c r="H1344">
        <v>3</v>
      </c>
      <c r="I1344">
        <v>1</v>
      </c>
      <c r="J1344">
        <v>1082</v>
      </c>
      <c r="K1344" s="5">
        <v>1.3482589999999999E-2</v>
      </c>
      <c r="L1344" t="s">
        <v>38</v>
      </c>
      <c r="M1344" s="4">
        <v>55240</v>
      </c>
      <c r="N1344" s="3">
        <v>150.64699999999999</v>
      </c>
      <c r="O1344" t="s">
        <v>22</v>
      </c>
      <c r="P1344" t="s">
        <v>23</v>
      </c>
      <c r="Q1344" t="s">
        <v>24</v>
      </c>
      <c r="R1344" t="s">
        <v>49</v>
      </c>
      <c r="S1344">
        <v>7</v>
      </c>
    </row>
    <row r="1345" spans="1:19" x14ac:dyDescent="0.3">
      <c r="A1345" s="1">
        <v>42568</v>
      </c>
      <c r="B1345">
        <v>2016</v>
      </c>
      <c r="C1345" t="s">
        <v>39</v>
      </c>
      <c r="D1345" s="4">
        <v>391650</v>
      </c>
      <c r="E1345" s="2">
        <v>705000</v>
      </c>
      <c r="F1345" t="s">
        <v>19</v>
      </c>
      <c r="G1345" t="s">
        <v>20</v>
      </c>
      <c r="H1345">
        <v>3</v>
      </c>
      <c r="I1345">
        <v>2</v>
      </c>
      <c r="J1345">
        <v>1111.6589814177564</v>
      </c>
      <c r="K1345" s="5">
        <v>1.3482589999999999E-2</v>
      </c>
      <c r="L1345" t="s">
        <v>21</v>
      </c>
      <c r="M1345" s="4">
        <v>313350</v>
      </c>
      <c r="N1345" s="3">
        <v>634.18730000000005</v>
      </c>
      <c r="O1345" t="s">
        <v>22</v>
      </c>
      <c r="P1345" t="s">
        <v>28</v>
      </c>
      <c r="Q1345" t="s">
        <v>24</v>
      </c>
      <c r="R1345" t="s">
        <v>49</v>
      </c>
      <c r="S1345">
        <v>7</v>
      </c>
    </row>
    <row r="1346" spans="1:19" x14ac:dyDescent="0.3">
      <c r="A1346" s="1">
        <v>42572</v>
      </c>
      <c r="B1346">
        <v>2016</v>
      </c>
      <c r="C1346" t="s">
        <v>39</v>
      </c>
      <c r="D1346" s="4">
        <v>191030</v>
      </c>
      <c r="E1346" s="2">
        <v>329000</v>
      </c>
      <c r="F1346" t="s">
        <v>19</v>
      </c>
      <c r="G1346" t="s">
        <v>20</v>
      </c>
      <c r="H1346">
        <v>3</v>
      </c>
      <c r="I1346">
        <v>1</v>
      </c>
      <c r="J1346">
        <v>902</v>
      </c>
      <c r="K1346" s="5">
        <v>1.3482589999999999E-2</v>
      </c>
      <c r="L1346" t="s">
        <v>21</v>
      </c>
      <c r="M1346" s="4">
        <v>137970</v>
      </c>
      <c r="N1346" s="3">
        <v>364.745</v>
      </c>
      <c r="O1346" t="s">
        <v>22</v>
      </c>
      <c r="P1346" t="s">
        <v>24</v>
      </c>
      <c r="Q1346" t="s">
        <v>24</v>
      </c>
      <c r="R1346" t="s">
        <v>49</v>
      </c>
      <c r="S1346">
        <v>7</v>
      </c>
    </row>
    <row r="1347" spans="1:19" x14ac:dyDescent="0.3">
      <c r="A1347" s="1">
        <v>42573</v>
      </c>
      <c r="B1347">
        <v>2016</v>
      </c>
      <c r="C1347" t="s">
        <v>29</v>
      </c>
      <c r="D1347" s="4">
        <v>444584.20699999999</v>
      </c>
      <c r="E1347" s="2">
        <v>55000</v>
      </c>
      <c r="F1347" t="s">
        <v>19</v>
      </c>
      <c r="G1347" t="s">
        <v>20</v>
      </c>
      <c r="H1347">
        <v>3</v>
      </c>
      <c r="I1347">
        <v>1</v>
      </c>
      <c r="J1347">
        <v>1063</v>
      </c>
      <c r="K1347" s="5">
        <v>1.3482589999999999E-2</v>
      </c>
      <c r="L1347" t="s">
        <v>38</v>
      </c>
      <c r="M1347" s="4">
        <v>-389584.20699999999</v>
      </c>
      <c r="N1347" s="3">
        <v>51.740400000000001</v>
      </c>
      <c r="O1347" t="s">
        <v>33</v>
      </c>
      <c r="P1347" t="s">
        <v>23</v>
      </c>
      <c r="Q1347" t="s">
        <v>24</v>
      </c>
      <c r="R1347" t="s">
        <v>49</v>
      </c>
      <c r="S1347">
        <v>7</v>
      </c>
    </row>
    <row r="1348" spans="1:19" x14ac:dyDescent="0.3">
      <c r="A1348" s="1">
        <v>42574</v>
      </c>
      <c r="B1348">
        <v>2016</v>
      </c>
      <c r="C1348" t="s">
        <v>52</v>
      </c>
      <c r="D1348" s="4">
        <v>179410</v>
      </c>
      <c r="E1348" s="2">
        <v>187000</v>
      </c>
      <c r="F1348" t="s">
        <v>19</v>
      </c>
      <c r="G1348" t="s">
        <v>20</v>
      </c>
      <c r="H1348">
        <v>3</v>
      </c>
      <c r="I1348">
        <v>3</v>
      </c>
      <c r="J1348">
        <v>1066</v>
      </c>
      <c r="K1348" s="5">
        <v>1.3482589999999999E-2</v>
      </c>
      <c r="L1348" t="s">
        <v>27</v>
      </c>
      <c r="M1348" s="4">
        <v>7590</v>
      </c>
      <c r="N1348" s="3">
        <v>175.4221</v>
      </c>
      <c r="O1348" t="s">
        <v>22</v>
      </c>
      <c r="P1348" t="s">
        <v>23</v>
      </c>
      <c r="Q1348" t="s">
        <v>24</v>
      </c>
      <c r="R1348" t="s">
        <v>49</v>
      </c>
      <c r="S1348">
        <v>7</v>
      </c>
    </row>
    <row r="1349" spans="1:19" x14ac:dyDescent="0.3">
      <c r="A1349" s="1">
        <v>42575</v>
      </c>
      <c r="B1349">
        <v>2016</v>
      </c>
      <c r="C1349" t="s">
        <v>52</v>
      </c>
      <c r="D1349" s="4">
        <v>262920</v>
      </c>
      <c r="E1349" s="2">
        <v>447000</v>
      </c>
      <c r="F1349" t="s">
        <v>19</v>
      </c>
      <c r="G1349" t="s">
        <v>20</v>
      </c>
      <c r="H1349">
        <v>3</v>
      </c>
      <c r="I1349">
        <v>1</v>
      </c>
      <c r="J1349">
        <v>1008</v>
      </c>
      <c r="K1349" s="5">
        <v>1.3482589999999999E-2</v>
      </c>
      <c r="L1349" t="s">
        <v>32</v>
      </c>
      <c r="M1349" s="4">
        <v>184080</v>
      </c>
      <c r="N1349" s="3">
        <v>443.45240000000001</v>
      </c>
      <c r="O1349" t="s">
        <v>22</v>
      </c>
      <c r="P1349" t="s">
        <v>24</v>
      </c>
      <c r="Q1349" t="s">
        <v>24</v>
      </c>
      <c r="R1349" t="s">
        <v>49</v>
      </c>
      <c r="S1349">
        <v>7</v>
      </c>
    </row>
    <row r="1350" spans="1:19" x14ac:dyDescent="0.3">
      <c r="A1350" s="1">
        <v>42576</v>
      </c>
      <c r="B1350">
        <v>2016</v>
      </c>
      <c r="C1350" t="s">
        <v>18</v>
      </c>
      <c r="D1350" s="4">
        <v>76800</v>
      </c>
      <c r="E1350" s="2">
        <v>101000</v>
      </c>
      <c r="F1350" t="s">
        <v>19</v>
      </c>
      <c r="G1350" t="s">
        <v>20</v>
      </c>
      <c r="H1350">
        <v>3</v>
      </c>
      <c r="I1350">
        <v>3</v>
      </c>
      <c r="J1350">
        <v>969</v>
      </c>
      <c r="K1350" s="5">
        <v>1.3482589999999999E-2</v>
      </c>
      <c r="L1350" t="s">
        <v>21</v>
      </c>
      <c r="M1350" s="4">
        <v>24200</v>
      </c>
      <c r="N1350" s="3">
        <v>104.2312</v>
      </c>
      <c r="O1350" t="s">
        <v>22</v>
      </c>
      <c r="P1350" t="s">
        <v>23</v>
      </c>
      <c r="Q1350" t="s">
        <v>24</v>
      </c>
      <c r="R1350" t="s">
        <v>49</v>
      </c>
      <c r="S1350">
        <v>7</v>
      </c>
    </row>
    <row r="1351" spans="1:19" x14ac:dyDescent="0.3">
      <c r="A1351" s="1">
        <v>42579</v>
      </c>
      <c r="B1351">
        <v>2016</v>
      </c>
      <c r="C1351" t="s">
        <v>35</v>
      </c>
      <c r="D1351" s="4">
        <v>636230</v>
      </c>
      <c r="E1351" s="2">
        <v>1320000</v>
      </c>
      <c r="F1351" t="s">
        <v>19</v>
      </c>
      <c r="G1351" t="s">
        <v>20</v>
      </c>
      <c r="H1351">
        <v>3</v>
      </c>
      <c r="I1351">
        <v>2</v>
      </c>
      <c r="J1351">
        <v>960</v>
      </c>
      <c r="K1351" s="5">
        <v>1.3482589999999999E-2</v>
      </c>
      <c r="L1351" t="s">
        <v>32</v>
      </c>
      <c r="M1351" s="4">
        <v>683770</v>
      </c>
      <c r="N1351" s="3">
        <v>1375</v>
      </c>
      <c r="O1351" t="s">
        <v>22</v>
      </c>
      <c r="P1351" t="s">
        <v>28</v>
      </c>
      <c r="Q1351" t="s">
        <v>24</v>
      </c>
      <c r="R1351" t="s">
        <v>49</v>
      </c>
      <c r="S1351">
        <v>7</v>
      </c>
    </row>
    <row r="1352" spans="1:19" x14ac:dyDescent="0.3">
      <c r="A1352" s="1">
        <v>42581</v>
      </c>
      <c r="B1352">
        <v>2016</v>
      </c>
      <c r="C1352" t="s">
        <v>35</v>
      </c>
      <c r="D1352" s="4">
        <v>824110</v>
      </c>
      <c r="E1352" s="2">
        <v>1076000</v>
      </c>
      <c r="F1352" t="s">
        <v>19</v>
      </c>
      <c r="G1352" t="s">
        <v>20</v>
      </c>
      <c r="H1352">
        <v>3</v>
      </c>
      <c r="I1352">
        <v>3</v>
      </c>
      <c r="J1352">
        <v>991</v>
      </c>
      <c r="K1352" s="5">
        <v>1.3482589999999999E-2</v>
      </c>
      <c r="L1352" t="s">
        <v>27</v>
      </c>
      <c r="M1352" s="4">
        <v>251890</v>
      </c>
      <c r="N1352" s="3">
        <v>1085.7719</v>
      </c>
      <c r="O1352" t="s">
        <v>22</v>
      </c>
      <c r="P1352" t="s">
        <v>28</v>
      </c>
      <c r="Q1352" t="s">
        <v>24</v>
      </c>
      <c r="R1352" t="s">
        <v>49</v>
      </c>
      <c r="S1352">
        <v>7</v>
      </c>
    </row>
    <row r="1353" spans="1:19" x14ac:dyDescent="0.3">
      <c r="A1353" s="1">
        <v>42582</v>
      </c>
      <c r="B1353">
        <v>2016</v>
      </c>
      <c r="C1353" t="s">
        <v>52</v>
      </c>
      <c r="D1353" s="4">
        <v>277830</v>
      </c>
      <c r="E1353" s="2">
        <v>525000</v>
      </c>
      <c r="F1353" t="s">
        <v>19</v>
      </c>
      <c r="G1353" t="s">
        <v>20</v>
      </c>
      <c r="H1353">
        <v>3</v>
      </c>
      <c r="I1353">
        <v>2</v>
      </c>
      <c r="J1353">
        <v>1035</v>
      </c>
      <c r="K1353" s="5">
        <v>1.3482589999999999E-2</v>
      </c>
      <c r="L1353" t="s">
        <v>32</v>
      </c>
      <c r="M1353" s="4">
        <v>247170</v>
      </c>
      <c r="N1353" s="3">
        <v>507.24639999999999</v>
      </c>
      <c r="O1353" t="s">
        <v>22</v>
      </c>
      <c r="P1353" t="s">
        <v>24</v>
      </c>
      <c r="Q1353" t="s">
        <v>24</v>
      </c>
      <c r="R1353" t="s">
        <v>49</v>
      </c>
      <c r="S1353">
        <v>7</v>
      </c>
    </row>
    <row r="1354" spans="1:19" x14ac:dyDescent="0.3">
      <c r="A1354" s="1">
        <v>42583</v>
      </c>
      <c r="B1354">
        <v>2016</v>
      </c>
      <c r="C1354" t="s">
        <v>56</v>
      </c>
      <c r="D1354" s="4">
        <v>214140</v>
      </c>
      <c r="E1354" s="2">
        <v>436000</v>
      </c>
      <c r="F1354" t="s">
        <v>19</v>
      </c>
      <c r="G1354" t="s">
        <v>20</v>
      </c>
      <c r="H1354">
        <v>3</v>
      </c>
      <c r="I1354">
        <v>3</v>
      </c>
      <c r="J1354">
        <v>993</v>
      </c>
      <c r="K1354" s="5">
        <v>1.3482589999999999E-2</v>
      </c>
      <c r="L1354" t="s">
        <v>27</v>
      </c>
      <c r="M1354" s="4">
        <v>221860</v>
      </c>
      <c r="N1354" s="3">
        <v>439.07350000000002</v>
      </c>
      <c r="O1354" t="s">
        <v>22</v>
      </c>
      <c r="P1354" t="s">
        <v>24</v>
      </c>
      <c r="Q1354" t="s">
        <v>24</v>
      </c>
      <c r="R1354" t="s">
        <v>50</v>
      </c>
      <c r="S1354">
        <v>8</v>
      </c>
    </row>
    <row r="1355" spans="1:19" x14ac:dyDescent="0.3">
      <c r="A1355" s="1">
        <v>42587</v>
      </c>
      <c r="B1355">
        <v>2016</v>
      </c>
      <c r="C1355" t="s">
        <v>39</v>
      </c>
      <c r="D1355" s="4">
        <v>595910</v>
      </c>
      <c r="E1355" s="2">
        <v>840000</v>
      </c>
      <c r="F1355" t="s">
        <v>19</v>
      </c>
      <c r="G1355" t="s">
        <v>20</v>
      </c>
      <c r="H1355">
        <v>3</v>
      </c>
      <c r="I1355">
        <v>1</v>
      </c>
      <c r="J1355">
        <v>970</v>
      </c>
      <c r="K1355" s="5">
        <v>1.3482589999999999E-2</v>
      </c>
      <c r="L1355" t="s">
        <v>21</v>
      </c>
      <c r="M1355" s="4">
        <v>244090</v>
      </c>
      <c r="N1355" s="3">
        <v>865.97940000000006</v>
      </c>
      <c r="O1355" t="s">
        <v>22</v>
      </c>
      <c r="P1355" t="s">
        <v>28</v>
      </c>
      <c r="Q1355" t="s">
        <v>24</v>
      </c>
      <c r="R1355" t="s">
        <v>50</v>
      </c>
      <c r="S1355">
        <v>8</v>
      </c>
    </row>
    <row r="1356" spans="1:19" x14ac:dyDescent="0.3">
      <c r="A1356" s="1">
        <v>42588</v>
      </c>
      <c r="B1356">
        <v>2016</v>
      </c>
      <c r="C1356" t="s">
        <v>40</v>
      </c>
      <c r="D1356" s="4">
        <v>205920</v>
      </c>
      <c r="E1356" s="2">
        <v>105000</v>
      </c>
      <c r="F1356" t="s">
        <v>30</v>
      </c>
      <c r="G1356" t="s">
        <v>31</v>
      </c>
      <c r="H1356">
        <v>4</v>
      </c>
      <c r="I1356">
        <v>2</v>
      </c>
      <c r="J1356">
        <v>1484</v>
      </c>
      <c r="K1356" s="5">
        <v>1.3482589999999999E-2</v>
      </c>
      <c r="L1356" t="s">
        <v>38</v>
      </c>
      <c r="M1356" s="4">
        <v>-100920</v>
      </c>
      <c r="N1356" s="3">
        <v>70.7547</v>
      </c>
      <c r="O1356" t="s">
        <v>33</v>
      </c>
      <c r="P1356" t="s">
        <v>23</v>
      </c>
      <c r="Q1356" t="s">
        <v>34</v>
      </c>
      <c r="R1356" t="s">
        <v>50</v>
      </c>
      <c r="S1356">
        <v>8</v>
      </c>
    </row>
    <row r="1357" spans="1:19" x14ac:dyDescent="0.3">
      <c r="A1357" s="1">
        <v>42589</v>
      </c>
      <c r="B1357">
        <v>2016</v>
      </c>
      <c r="C1357" t="s">
        <v>18</v>
      </c>
      <c r="D1357" s="4">
        <v>444584.20699999999</v>
      </c>
      <c r="E1357" s="2">
        <v>115000</v>
      </c>
      <c r="F1357" t="s">
        <v>19</v>
      </c>
      <c r="G1357" t="s">
        <v>20</v>
      </c>
      <c r="H1357">
        <v>3</v>
      </c>
      <c r="I1357">
        <v>3</v>
      </c>
      <c r="J1357">
        <v>1111.6589814177564</v>
      </c>
      <c r="K1357" s="5">
        <v>1.3482589999999999E-2</v>
      </c>
      <c r="L1357" t="s">
        <v>32</v>
      </c>
      <c r="M1357" s="4">
        <v>-329584.20699999999</v>
      </c>
      <c r="N1357" s="3">
        <v>103.449</v>
      </c>
      <c r="O1357" t="s">
        <v>33</v>
      </c>
      <c r="P1357" t="s">
        <v>23</v>
      </c>
      <c r="Q1357" t="s">
        <v>24</v>
      </c>
      <c r="R1357" t="s">
        <v>50</v>
      </c>
      <c r="S1357">
        <v>8</v>
      </c>
    </row>
    <row r="1358" spans="1:19" x14ac:dyDescent="0.3">
      <c r="A1358" s="1">
        <v>42590</v>
      </c>
      <c r="B1358">
        <v>2016</v>
      </c>
      <c r="C1358" t="s">
        <v>18</v>
      </c>
      <c r="D1358" s="4">
        <v>66870</v>
      </c>
      <c r="E1358" s="2">
        <v>109000</v>
      </c>
      <c r="F1358" t="s">
        <v>19</v>
      </c>
      <c r="G1358" t="s">
        <v>20</v>
      </c>
      <c r="H1358">
        <v>3</v>
      </c>
      <c r="I1358">
        <v>3</v>
      </c>
      <c r="J1358">
        <v>1086</v>
      </c>
      <c r="K1358" s="5">
        <v>1.3482589999999999E-2</v>
      </c>
      <c r="L1358" t="s">
        <v>32</v>
      </c>
      <c r="M1358" s="4">
        <v>42130</v>
      </c>
      <c r="N1358" s="3">
        <v>100.3683</v>
      </c>
      <c r="O1358" t="s">
        <v>22</v>
      </c>
      <c r="P1358" t="s">
        <v>23</v>
      </c>
      <c r="Q1358" t="s">
        <v>24</v>
      </c>
      <c r="R1358" t="s">
        <v>50</v>
      </c>
      <c r="S1358">
        <v>8</v>
      </c>
    </row>
    <row r="1359" spans="1:19" x14ac:dyDescent="0.3">
      <c r="A1359" s="1">
        <v>42594</v>
      </c>
      <c r="B1359">
        <v>2016</v>
      </c>
      <c r="C1359" t="s">
        <v>35</v>
      </c>
      <c r="D1359" s="4">
        <v>930230</v>
      </c>
      <c r="E1359" s="2">
        <v>1298000</v>
      </c>
      <c r="F1359" t="s">
        <v>19</v>
      </c>
      <c r="G1359" t="s">
        <v>20</v>
      </c>
      <c r="H1359">
        <v>3</v>
      </c>
      <c r="I1359">
        <v>2</v>
      </c>
      <c r="J1359">
        <v>962</v>
      </c>
      <c r="K1359" s="5">
        <v>1.3482589999999999E-2</v>
      </c>
      <c r="L1359" t="s">
        <v>38</v>
      </c>
      <c r="M1359" s="4">
        <v>367770</v>
      </c>
      <c r="N1359" s="3">
        <v>1349.2723000000001</v>
      </c>
      <c r="O1359" t="s">
        <v>22</v>
      </c>
      <c r="P1359" t="s">
        <v>28</v>
      </c>
      <c r="Q1359" t="s">
        <v>24</v>
      </c>
      <c r="R1359" t="s">
        <v>50</v>
      </c>
      <c r="S1359">
        <v>8</v>
      </c>
    </row>
    <row r="1360" spans="1:19" x14ac:dyDescent="0.3">
      <c r="A1360" s="1">
        <v>42595</v>
      </c>
      <c r="B1360">
        <v>2016</v>
      </c>
      <c r="C1360" t="s">
        <v>18</v>
      </c>
      <c r="D1360" s="4">
        <v>444584.20699999999</v>
      </c>
      <c r="E1360" s="2">
        <v>122772</v>
      </c>
      <c r="F1360" t="s">
        <v>19</v>
      </c>
      <c r="G1360" t="s">
        <v>20</v>
      </c>
      <c r="H1360">
        <v>3</v>
      </c>
      <c r="I1360">
        <v>1</v>
      </c>
      <c r="J1360">
        <v>915</v>
      </c>
      <c r="K1360" s="5">
        <v>1.3482589999999999E-2</v>
      </c>
      <c r="L1360" t="s">
        <v>21</v>
      </c>
      <c r="M1360" s="4">
        <v>-321812.20699999999</v>
      </c>
      <c r="N1360" s="3">
        <v>134.17699999999999</v>
      </c>
      <c r="O1360" t="s">
        <v>33</v>
      </c>
      <c r="P1360" t="s">
        <v>23</v>
      </c>
      <c r="Q1360" t="s">
        <v>24</v>
      </c>
      <c r="R1360" t="s">
        <v>50</v>
      </c>
      <c r="S1360">
        <v>8</v>
      </c>
    </row>
    <row r="1361" spans="1:19" x14ac:dyDescent="0.3">
      <c r="A1361" s="1">
        <v>42596</v>
      </c>
      <c r="B1361">
        <v>2016</v>
      </c>
      <c r="C1361" t="s">
        <v>35</v>
      </c>
      <c r="D1361" s="4">
        <v>626220</v>
      </c>
      <c r="E1361" s="2">
        <v>955000</v>
      </c>
      <c r="F1361" t="s">
        <v>19</v>
      </c>
      <c r="G1361" t="s">
        <v>20</v>
      </c>
      <c r="H1361">
        <v>3</v>
      </c>
      <c r="I1361">
        <v>3</v>
      </c>
      <c r="J1361">
        <v>935</v>
      </c>
      <c r="K1361" s="5">
        <v>1.3482589999999999E-2</v>
      </c>
      <c r="L1361" t="s">
        <v>27</v>
      </c>
      <c r="M1361" s="4">
        <v>328780</v>
      </c>
      <c r="N1361" s="3">
        <v>1021.3904</v>
      </c>
      <c r="O1361" t="s">
        <v>22</v>
      </c>
      <c r="P1361" t="s">
        <v>28</v>
      </c>
      <c r="Q1361" t="s">
        <v>24</v>
      </c>
      <c r="R1361" t="s">
        <v>50</v>
      </c>
      <c r="S1361">
        <v>8</v>
      </c>
    </row>
    <row r="1362" spans="1:19" x14ac:dyDescent="0.3">
      <c r="A1362" s="1">
        <v>42597</v>
      </c>
      <c r="B1362">
        <v>2016</v>
      </c>
      <c r="C1362" t="s">
        <v>39</v>
      </c>
      <c r="D1362" s="4">
        <v>394800</v>
      </c>
      <c r="E1362" s="2">
        <v>625000</v>
      </c>
      <c r="F1362" t="s">
        <v>19</v>
      </c>
      <c r="G1362" t="s">
        <v>20</v>
      </c>
      <c r="H1362">
        <v>3</v>
      </c>
      <c r="I1362">
        <v>2</v>
      </c>
      <c r="J1362">
        <v>1086</v>
      </c>
      <c r="K1362" s="5">
        <v>1.3482589999999999E-2</v>
      </c>
      <c r="L1362" t="s">
        <v>27</v>
      </c>
      <c r="M1362" s="4">
        <v>230200</v>
      </c>
      <c r="N1362" s="3">
        <v>575.50639999999999</v>
      </c>
      <c r="O1362" t="s">
        <v>22</v>
      </c>
      <c r="P1362" t="s">
        <v>28</v>
      </c>
      <c r="Q1362" t="s">
        <v>24</v>
      </c>
      <c r="R1362" t="s">
        <v>50</v>
      </c>
      <c r="S1362">
        <v>8</v>
      </c>
    </row>
    <row r="1363" spans="1:19" x14ac:dyDescent="0.3">
      <c r="A1363" s="1">
        <v>42600</v>
      </c>
      <c r="B1363">
        <v>2016</v>
      </c>
      <c r="C1363" t="s">
        <v>39</v>
      </c>
      <c r="D1363" s="4">
        <v>399000</v>
      </c>
      <c r="E1363" s="2">
        <v>472000</v>
      </c>
      <c r="F1363" t="s">
        <v>19</v>
      </c>
      <c r="G1363" t="s">
        <v>20</v>
      </c>
      <c r="H1363">
        <v>3</v>
      </c>
      <c r="I1363">
        <v>1</v>
      </c>
      <c r="J1363">
        <v>932</v>
      </c>
      <c r="K1363" s="5">
        <v>1.3482589999999999E-2</v>
      </c>
      <c r="L1363" t="s">
        <v>32</v>
      </c>
      <c r="M1363" s="4">
        <v>73000</v>
      </c>
      <c r="N1363" s="3">
        <v>506.43779999999998</v>
      </c>
      <c r="O1363" t="s">
        <v>22</v>
      </c>
      <c r="P1363" t="s">
        <v>24</v>
      </c>
      <c r="Q1363" t="s">
        <v>24</v>
      </c>
      <c r="R1363" t="s">
        <v>50</v>
      </c>
      <c r="S1363">
        <v>8</v>
      </c>
    </row>
    <row r="1364" spans="1:19" x14ac:dyDescent="0.3">
      <c r="A1364" s="1">
        <v>42601</v>
      </c>
      <c r="B1364">
        <v>2016</v>
      </c>
      <c r="C1364" t="s">
        <v>39</v>
      </c>
      <c r="D1364" s="4">
        <v>630000</v>
      </c>
      <c r="E1364" s="2">
        <v>967500</v>
      </c>
      <c r="F1364" t="s">
        <v>19</v>
      </c>
      <c r="G1364" t="s">
        <v>20</v>
      </c>
      <c r="H1364">
        <v>3</v>
      </c>
      <c r="I1364">
        <v>1</v>
      </c>
      <c r="J1364">
        <v>1054</v>
      </c>
      <c r="K1364" s="5">
        <v>1.3482589999999999E-2</v>
      </c>
      <c r="L1364" t="s">
        <v>32</v>
      </c>
      <c r="M1364" s="4">
        <v>337500</v>
      </c>
      <c r="N1364" s="3">
        <v>917.93169999999998</v>
      </c>
      <c r="O1364" t="s">
        <v>22</v>
      </c>
      <c r="P1364" t="s">
        <v>28</v>
      </c>
      <c r="Q1364" t="s">
        <v>24</v>
      </c>
      <c r="R1364" t="s">
        <v>50</v>
      </c>
      <c r="S1364">
        <v>8</v>
      </c>
    </row>
    <row r="1365" spans="1:19" x14ac:dyDescent="0.3">
      <c r="A1365" s="1">
        <v>42602</v>
      </c>
      <c r="B1365">
        <v>2016</v>
      </c>
      <c r="C1365" t="s">
        <v>18</v>
      </c>
      <c r="D1365" s="4">
        <v>49990</v>
      </c>
      <c r="E1365" s="2">
        <v>95031</v>
      </c>
      <c r="F1365" t="s">
        <v>19</v>
      </c>
      <c r="G1365" t="s">
        <v>20</v>
      </c>
      <c r="H1365">
        <v>3</v>
      </c>
      <c r="I1365">
        <v>3</v>
      </c>
      <c r="J1365">
        <v>1025</v>
      </c>
      <c r="K1365" s="5">
        <v>1.3482589999999999E-2</v>
      </c>
      <c r="L1365" t="s">
        <v>32</v>
      </c>
      <c r="M1365" s="4">
        <v>45041</v>
      </c>
      <c r="N1365" s="3">
        <v>92.713200000000001</v>
      </c>
      <c r="O1365" t="s">
        <v>22</v>
      </c>
      <c r="P1365" t="s">
        <v>23</v>
      </c>
      <c r="Q1365" t="s">
        <v>24</v>
      </c>
      <c r="R1365" t="s">
        <v>50</v>
      </c>
      <c r="S1365">
        <v>8</v>
      </c>
    </row>
    <row r="1366" spans="1:19" x14ac:dyDescent="0.3">
      <c r="A1366" s="1">
        <v>42603</v>
      </c>
      <c r="B1366">
        <v>2016</v>
      </c>
      <c r="C1366" t="s">
        <v>29</v>
      </c>
      <c r="D1366" s="4">
        <v>178410</v>
      </c>
      <c r="E1366" s="2">
        <v>45000</v>
      </c>
      <c r="F1366" t="s">
        <v>36</v>
      </c>
      <c r="G1366" t="s">
        <v>37</v>
      </c>
      <c r="H1366">
        <v>6</v>
      </c>
      <c r="I1366">
        <v>5</v>
      </c>
      <c r="J1366">
        <v>2181</v>
      </c>
      <c r="K1366" s="5">
        <v>1.3482589999999999E-2</v>
      </c>
      <c r="L1366" t="s">
        <v>21</v>
      </c>
      <c r="M1366" s="4">
        <v>-133410</v>
      </c>
      <c r="N1366" s="3">
        <v>20.6327</v>
      </c>
      <c r="O1366" t="s">
        <v>33</v>
      </c>
      <c r="P1366" t="s">
        <v>23</v>
      </c>
      <c r="Q1366" t="s">
        <v>34</v>
      </c>
      <c r="R1366" t="s">
        <v>50</v>
      </c>
      <c r="S1366">
        <v>8</v>
      </c>
    </row>
    <row r="1367" spans="1:19" x14ac:dyDescent="0.3">
      <c r="A1367" s="1">
        <v>42604</v>
      </c>
      <c r="B1367">
        <v>2016</v>
      </c>
      <c r="C1367" t="s">
        <v>18</v>
      </c>
      <c r="D1367" s="4">
        <v>444584.20699999999</v>
      </c>
      <c r="E1367" s="2">
        <v>65831</v>
      </c>
      <c r="F1367" t="s">
        <v>30</v>
      </c>
      <c r="G1367" t="s">
        <v>31</v>
      </c>
      <c r="H1367">
        <v>4</v>
      </c>
      <c r="I1367">
        <v>2</v>
      </c>
      <c r="J1367">
        <v>1443</v>
      </c>
      <c r="K1367" s="5">
        <v>1.3482589999999999E-2</v>
      </c>
      <c r="L1367" t="s">
        <v>32</v>
      </c>
      <c r="M1367" s="4">
        <v>-378753.20699999999</v>
      </c>
      <c r="N1367" s="3">
        <v>45.620899999999999</v>
      </c>
      <c r="O1367" t="s">
        <v>33</v>
      </c>
      <c r="P1367" t="s">
        <v>23</v>
      </c>
      <c r="Q1367" t="s">
        <v>34</v>
      </c>
      <c r="R1367" t="s">
        <v>50</v>
      </c>
      <c r="S1367">
        <v>8</v>
      </c>
    </row>
    <row r="1368" spans="1:19" x14ac:dyDescent="0.3">
      <c r="A1368" s="1">
        <v>42609</v>
      </c>
      <c r="B1368">
        <v>2016</v>
      </c>
      <c r="C1368" t="s">
        <v>39</v>
      </c>
      <c r="D1368" s="4">
        <v>313810</v>
      </c>
      <c r="E1368" s="2">
        <v>999000</v>
      </c>
      <c r="F1368" t="s">
        <v>19</v>
      </c>
      <c r="G1368" t="s">
        <v>20</v>
      </c>
      <c r="H1368">
        <v>3</v>
      </c>
      <c r="I1368">
        <v>3</v>
      </c>
      <c r="J1368">
        <v>913</v>
      </c>
      <c r="K1368" s="5">
        <v>1.3482589999999999E-2</v>
      </c>
      <c r="L1368" t="s">
        <v>32</v>
      </c>
      <c r="M1368" s="4">
        <v>685190</v>
      </c>
      <c r="N1368" s="3">
        <v>1094.1949999999999</v>
      </c>
      <c r="O1368" t="s">
        <v>22</v>
      </c>
      <c r="P1368" t="s">
        <v>28</v>
      </c>
      <c r="Q1368" t="s">
        <v>24</v>
      </c>
      <c r="R1368" t="s">
        <v>50</v>
      </c>
      <c r="S1368">
        <v>8</v>
      </c>
    </row>
    <row r="1369" spans="1:19" x14ac:dyDescent="0.3">
      <c r="A1369" s="1">
        <v>42610</v>
      </c>
      <c r="B1369">
        <v>2016</v>
      </c>
      <c r="C1369" t="s">
        <v>56</v>
      </c>
      <c r="D1369" s="4">
        <v>444584.20699999999</v>
      </c>
      <c r="E1369" s="2">
        <v>435000</v>
      </c>
      <c r="F1369" t="s">
        <v>19</v>
      </c>
      <c r="G1369" t="s">
        <v>20</v>
      </c>
      <c r="H1369">
        <v>3</v>
      </c>
      <c r="I1369">
        <v>2</v>
      </c>
      <c r="J1369">
        <v>981</v>
      </c>
      <c r="K1369" s="5">
        <v>1.3482589999999999E-2</v>
      </c>
      <c r="L1369" t="s">
        <v>32</v>
      </c>
      <c r="M1369" s="4">
        <v>-9584.2070000000003</v>
      </c>
      <c r="N1369" s="3">
        <v>443.42509999999999</v>
      </c>
      <c r="O1369" t="s">
        <v>33</v>
      </c>
      <c r="P1369" t="s">
        <v>24</v>
      </c>
      <c r="Q1369" t="s">
        <v>24</v>
      </c>
      <c r="R1369" t="s">
        <v>50</v>
      </c>
      <c r="S1369">
        <v>8</v>
      </c>
    </row>
    <row r="1370" spans="1:19" x14ac:dyDescent="0.3">
      <c r="A1370" s="1">
        <v>42611</v>
      </c>
      <c r="B1370">
        <v>2016</v>
      </c>
      <c r="C1370" t="s">
        <v>56</v>
      </c>
      <c r="D1370" s="4">
        <v>262630</v>
      </c>
      <c r="E1370" s="2">
        <v>451000</v>
      </c>
      <c r="F1370" t="s">
        <v>19</v>
      </c>
      <c r="G1370" t="s">
        <v>20</v>
      </c>
      <c r="H1370">
        <v>3</v>
      </c>
      <c r="I1370">
        <v>2</v>
      </c>
      <c r="J1370">
        <v>981</v>
      </c>
      <c r="K1370" s="5">
        <v>1.3482589999999999E-2</v>
      </c>
      <c r="L1370" t="s">
        <v>32</v>
      </c>
      <c r="M1370" s="4">
        <v>188370</v>
      </c>
      <c r="N1370" s="3">
        <v>459.73500000000001</v>
      </c>
      <c r="O1370" t="s">
        <v>22</v>
      </c>
      <c r="P1370" t="s">
        <v>24</v>
      </c>
      <c r="Q1370" t="s">
        <v>24</v>
      </c>
      <c r="R1370" t="s">
        <v>50</v>
      </c>
      <c r="S1370">
        <v>8</v>
      </c>
    </row>
    <row r="1371" spans="1:19" x14ac:dyDescent="0.3">
      <c r="A1371" s="1">
        <v>42616</v>
      </c>
      <c r="B1371">
        <v>2016</v>
      </c>
      <c r="C1371" t="s">
        <v>40</v>
      </c>
      <c r="D1371" s="4">
        <v>281330</v>
      </c>
      <c r="E1371" s="2">
        <v>493000</v>
      </c>
      <c r="F1371" t="s">
        <v>19</v>
      </c>
      <c r="G1371" t="s">
        <v>20</v>
      </c>
      <c r="H1371">
        <v>3</v>
      </c>
      <c r="I1371">
        <v>3</v>
      </c>
      <c r="J1371">
        <v>1111.6589814177564</v>
      </c>
      <c r="K1371" s="5">
        <v>1.3482589999999999E-2</v>
      </c>
      <c r="L1371" t="s">
        <v>32</v>
      </c>
      <c r="M1371" s="4">
        <v>211670</v>
      </c>
      <c r="N1371" s="3">
        <v>443.48129999999998</v>
      </c>
      <c r="O1371" t="s">
        <v>22</v>
      </c>
      <c r="P1371" t="s">
        <v>24</v>
      </c>
      <c r="Q1371" t="s">
        <v>24</v>
      </c>
      <c r="R1371" t="s">
        <v>51</v>
      </c>
      <c r="S1371">
        <v>9</v>
      </c>
    </row>
    <row r="1372" spans="1:19" x14ac:dyDescent="0.3">
      <c r="A1372" s="1">
        <v>42617</v>
      </c>
      <c r="B1372">
        <v>2016</v>
      </c>
      <c r="C1372" t="s">
        <v>56</v>
      </c>
      <c r="D1372" s="4">
        <v>444584.20699999999</v>
      </c>
      <c r="E1372" s="2">
        <v>489900</v>
      </c>
      <c r="F1372" t="s">
        <v>19</v>
      </c>
      <c r="G1372" t="s">
        <v>20</v>
      </c>
      <c r="H1372">
        <v>3</v>
      </c>
      <c r="I1372">
        <v>2</v>
      </c>
      <c r="J1372">
        <v>1039</v>
      </c>
      <c r="K1372" s="5">
        <v>1.3482589999999999E-2</v>
      </c>
      <c r="L1372" t="s">
        <v>21</v>
      </c>
      <c r="M1372" s="4">
        <v>45315.792999999998</v>
      </c>
      <c r="N1372" s="3">
        <v>471.5111</v>
      </c>
      <c r="O1372" t="s">
        <v>22</v>
      </c>
      <c r="P1372" t="s">
        <v>24</v>
      </c>
      <c r="Q1372" t="s">
        <v>24</v>
      </c>
      <c r="R1372" t="s">
        <v>51</v>
      </c>
      <c r="S1372">
        <v>9</v>
      </c>
    </row>
    <row r="1373" spans="1:19" x14ac:dyDescent="0.3">
      <c r="A1373" s="1">
        <v>42618</v>
      </c>
      <c r="B1373">
        <v>2016</v>
      </c>
      <c r="C1373" t="s">
        <v>39</v>
      </c>
      <c r="D1373" s="4">
        <v>522760</v>
      </c>
      <c r="E1373" s="2">
        <v>650000</v>
      </c>
      <c r="F1373" t="s">
        <v>19</v>
      </c>
      <c r="G1373" t="s">
        <v>20</v>
      </c>
      <c r="H1373">
        <v>3</v>
      </c>
      <c r="I1373">
        <v>1</v>
      </c>
      <c r="J1373">
        <v>939</v>
      </c>
      <c r="K1373" s="5">
        <v>1.3482589999999999E-2</v>
      </c>
      <c r="L1373" t="s">
        <v>38</v>
      </c>
      <c r="M1373" s="4">
        <v>127240</v>
      </c>
      <c r="N1373" s="3">
        <v>692.22580000000005</v>
      </c>
      <c r="O1373" t="s">
        <v>22</v>
      </c>
      <c r="P1373" t="s">
        <v>28</v>
      </c>
      <c r="Q1373" t="s">
        <v>24</v>
      </c>
      <c r="R1373" t="s">
        <v>51</v>
      </c>
      <c r="S1373">
        <v>9</v>
      </c>
    </row>
    <row r="1374" spans="1:19" x14ac:dyDescent="0.3">
      <c r="A1374" s="1">
        <v>42621</v>
      </c>
      <c r="B1374">
        <v>2016</v>
      </c>
      <c r="C1374" t="s">
        <v>52</v>
      </c>
      <c r="D1374" s="4">
        <v>193690</v>
      </c>
      <c r="E1374" s="2">
        <v>417500</v>
      </c>
      <c r="F1374" t="s">
        <v>19</v>
      </c>
      <c r="G1374" t="s">
        <v>20</v>
      </c>
      <c r="H1374">
        <v>3</v>
      </c>
      <c r="I1374">
        <v>1</v>
      </c>
      <c r="J1374">
        <v>953</v>
      </c>
      <c r="K1374" s="5">
        <v>1.3482589999999999E-2</v>
      </c>
      <c r="L1374" t="s">
        <v>38</v>
      </c>
      <c r="M1374" s="4">
        <v>223810</v>
      </c>
      <c r="N1374" s="3">
        <v>438.09019999999998</v>
      </c>
      <c r="O1374" t="s">
        <v>22</v>
      </c>
      <c r="P1374" t="s">
        <v>24</v>
      </c>
      <c r="Q1374" t="s">
        <v>24</v>
      </c>
      <c r="R1374" t="s">
        <v>51</v>
      </c>
      <c r="S1374">
        <v>9</v>
      </c>
    </row>
    <row r="1375" spans="1:19" x14ac:dyDescent="0.3">
      <c r="A1375" s="1">
        <v>42622</v>
      </c>
      <c r="B1375">
        <v>2016</v>
      </c>
      <c r="C1375" t="s">
        <v>40</v>
      </c>
      <c r="D1375" s="4">
        <v>176680</v>
      </c>
      <c r="E1375" s="2">
        <v>307000</v>
      </c>
      <c r="F1375" t="s">
        <v>19</v>
      </c>
      <c r="G1375" t="s">
        <v>20</v>
      </c>
      <c r="H1375">
        <v>3</v>
      </c>
      <c r="I1375">
        <v>2</v>
      </c>
      <c r="J1375">
        <v>1083</v>
      </c>
      <c r="K1375" s="5">
        <v>1.3482589999999999E-2</v>
      </c>
      <c r="L1375" t="s">
        <v>21</v>
      </c>
      <c r="M1375" s="4">
        <v>130320</v>
      </c>
      <c r="N1375" s="3">
        <v>283.47179999999997</v>
      </c>
      <c r="O1375" t="s">
        <v>22</v>
      </c>
      <c r="P1375" t="s">
        <v>24</v>
      </c>
      <c r="Q1375" t="s">
        <v>24</v>
      </c>
      <c r="R1375" t="s">
        <v>51</v>
      </c>
      <c r="S1375">
        <v>9</v>
      </c>
    </row>
    <row r="1376" spans="1:19" x14ac:dyDescent="0.3">
      <c r="A1376" s="1">
        <v>42623</v>
      </c>
      <c r="B1376">
        <v>2016</v>
      </c>
      <c r="C1376" t="s">
        <v>18</v>
      </c>
      <c r="D1376" s="4">
        <v>69990</v>
      </c>
      <c r="E1376" s="2">
        <v>31500</v>
      </c>
      <c r="F1376" t="s">
        <v>19</v>
      </c>
      <c r="G1376" t="s">
        <v>20</v>
      </c>
      <c r="H1376">
        <v>3</v>
      </c>
      <c r="I1376">
        <v>3</v>
      </c>
      <c r="J1376">
        <v>987</v>
      </c>
      <c r="K1376" s="5">
        <v>1.3482589999999999E-2</v>
      </c>
      <c r="L1376" t="s">
        <v>27</v>
      </c>
      <c r="M1376" s="4">
        <v>-38490</v>
      </c>
      <c r="N1376" s="3">
        <v>31.914899999999999</v>
      </c>
      <c r="O1376" t="s">
        <v>33</v>
      </c>
      <c r="P1376" t="s">
        <v>23</v>
      </c>
      <c r="Q1376" t="s">
        <v>24</v>
      </c>
      <c r="R1376" t="s">
        <v>51</v>
      </c>
      <c r="S1376">
        <v>9</v>
      </c>
    </row>
    <row r="1377" spans="1:19" x14ac:dyDescent="0.3">
      <c r="A1377" s="1">
        <v>42624</v>
      </c>
      <c r="B1377">
        <v>2016</v>
      </c>
      <c r="C1377" t="s">
        <v>56</v>
      </c>
      <c r="D1377" s="4">
        <v>960120</v>
      </c>
      <c r="E1377" s="2">
        <v>1600000</v>
      </c>
      <c r="F1377" t="s">
        <v>19</v>
      </c>
      <c r="G1377" t="s">
        <v>20</v>
      </c>
      <c r="H1377">
        <v>3</v>
      </c>
      <c r="I1377">
        <v>2</v>
      </c>
      <c r="J1377">
        <v>928</v>
      </c>
      <c r="K1377" s="5">
        <v>1.3482589999999999E-2</v>
      </c>
      <c r="L1377" t="s">
        <v>21</v>
      </c>
      <c r="M1377" s="4">
        <v>639880</v>
      </c>
      <c r="N1377" s="3">
        <v>1724.1378999999999</v>
      </c>
      <c r="O1377" t="s">
        <v>22</v>
      </c>
      <c r="P1377" t="s">
        <v>28</v>
      </c>
      <c r="Q1377" t="s">
        <v>24</v>
      </c>
      <c r="R1377" t="s">
        <v>51</v>
      </c>
      <c r="S1377">
        <v>9</v>
      </c>
    </row>
    <row r="1378" spans="1:19" x14ac:dyDescent="0.3">
      <c r="A1378" s="1">
        <v>42625</v>
      </c>
      <c r="B1378">
        <v>2016</v>
      </c>
      <c r="C1378" t="s">
        <v>56</v>
      </c>
      <c r="D1378" s="4">
        <v>698200</v>
      </c>
      <c r="E1378" s="2">
        <v>1000000</v>
      </c>
      <c r="F1378" t="s">
        <v>19</v>
      </c>
      <c r="G1378" t="s">
        <v>20</v>
      </c>
      <c r="H1378">
        <v>3</v>
      </c>
      <c r="I1378">
        <v>3</v>
      </c>
      <c r="J1378">
        <v>1014</v>
      </c>
      <c r="K1378" s="5">
        <v>1.3482589999999999E-2</v>
      </c>
      <c r="L1378" t="s">
        <v>21</v>
      </c>
      <c r="M1378" s="4">
        <v>301800</v>
      </c>
      <c r="N1378" s="3">
        <v>986.19330000000002</v>
      </c>
      <c r="O1378" t="s">
        <v>22</v>
      </c>
      <c r="P1378" t="s">
        <v>28</v>
      </c>
      <c r="Q1378" t="s">
        <v>24</v>
      </c>
      <c r="R1378" t="s">
        <v>51</v>
      </c>
      <c r="S1378">
        <v>9</v>
      </c>
    </row>
    <row r="1379" spans="1:19" x14ac:dyDescent="0.3">
      <c r="A1379" s="1">
        <v>42628</v>
      </c>
      <c r="B1379">
        <v>2016</v>
      </c>
      <c r="C1379" t="s">
        <v>18</v>
      </c>
      <c r="D1379" s="4">
        <v>98880</v>
      </c>
      <c r="E1379" s="2">
        <v>50000</v>
      </c>
      <c r="F1379" t="s">
        <v>19</v>
      </c>
      <c r="G1379" t="s">
        <v>20</v>
      </c>
      <c r="H1379">
        <v>3</v>
      </c>
      <c r="I1379">
        <v>2</v>
      </c>
      <c r="J1379">
        <v>905</v>
      </c>
      <c r="K1379" s="5">
        <v>1.3482589999999999E-2</v>
      </c>
      <c r="L1379" t="s">
        <v>38</v>
      </c>
      <c r="M1379" s="4">
        <v>-48880</v>
      </c>
      <c r="N1379" s="3">
        <v>55.248600000000003</v>
      </c>
      <c r="O1379" t="s">
        <v>33</v>
      </c>
      <c r="P1379" t="s">
        <v>23</v>
      </c>
      <c r="Q1379" t="s">
        <v>24</v>
      </c>
      <c r="R1379" t="s">
        <v>51</v>
      </c>
      <c r="S1379">
        <v>9</v>
      </c>
    </row>
    <row r="1380" spans="1:19" x14ac:dyDescent="0.3">
      <c r="A1380" s="1">
        <v>42630</v>
      </c>
      <c r="B1380">
        <v>2016</v>
      </c>
      <c r="C1380" t="s">
        <v>40</v>
      </c>
      <c r="D1380" s="4">
        <v>121700</v>
      </c>
      <c r="E1380" s="2">
        <v>115200</v>
      </c>
      <c r="F1380" t="s">
        <v>19</v>
      </c>
      <c r="G1380" t="s">
        <v>20</v>
      </c>
      <c r="H1380">
        <v>3</v>
      </c>
      <c r="I1380">
        <v>2</v>
      </c>
      <c r="J1380">
        <v>1036</v>
      </c>
      <c r="K1380" s="5">
        <v>1.3482589999999999E-2</v>
      </c>
      <c r="L1380" t="s">
        <v>27</v>
      </c>
      <c r="M1380" s="4">
        <v>-6500</v>
      </c>
      <c r="N1380" s="3">
        <v>111.1969</v>
      </c>
      <c r="O1380" t="s">
        <v>33</v>
      </c>
      <c r="P1380" t="s">
        <v>23</v>
      </c>
      <c r="Q1380" t="s">
        <v>24</v>
      </c>
      <c r="R1380" t="s">
        <v>51</v>
      </c>
      <c r="S1380">
        <v>9</v>
      </c>
    </row>
    <row r="1381" spans="1:19" x14ac:dyDescent="0.3">
      <c r="A1381" s="1">
        <v>42631</v>
      </c>
      <c r="B1381">
        <v>2016</v>
      </c>
      <c r="C1381" t="s">
        <v>40</v>
      </c>
      <c r="D1381" s="4">
        <v>451150</v>
      </c>
      <c r="E1381" s="2">
        <v>710000</v>
      </c>
      <c r="F1381" t="s">
        <v>19</v>
      </c>
      <c r="G1381" t="s">
        <v>20</v>
      </c>
      <c r="H1381">
        <v>3</v>
      </c>
      <c r="I1381">
        <v>2</v>
      </c>
      <c r="J1381">
        <v>993</v>
      </c>
      <c r="K1381" s="5">
        <v>1.3482589999999999E-2</v>
      </c>
      <c r="L1381" t="s">
        <v>21</v>
      </c>
      <c r="M1381" s="4">
        <v>258850</v>
      </c>
      <c r="N1381" s="3">
        <v>715.005</v>
      </c>
      <c r="O1381" t="s">
        <v>22</v>
      </c>
      <c r="P1381" t="s">
        <v>28</v>
      </c>
      <c r="Q1381" t="s">
        <v>24</v>
      </c>
      <c r="R1381" t="s">
        <v>51</v>
      </c>
      <c r="S1381">
        <v>9</v>
      </c>
    </row>
    <row r="1382" spans="1:19" x14ac:dyDescent="0.3">
      <c r="A1382" s="1">
        <v>42632</v>
      </c>
      <c r="B1382">
        <v>2016</v>
      </c>
      <c r="C1382" t="s">
        <v>18</v>
      </c>
      <c r="D1382" s="4">
        <v>60640</v>
      </c>
      <c r="E1382" s="2">
        <v>36000</v>
      </c>
      <c r="F1382" t="s">
        <v>19</v>
      </c>
      <c r="G1382" t="s">
        <v>20</v>
      </c>
      <c r="H1382">
        <v>3</v>
      </c>
      <c r="I1382">
        <v>1</v>
      </c>
      <c r="J1382">
        <v>1111.6589814177564</v>
      </c>
      <c r="K1382" s="5">
        <v>1.3482589999999999E-2</v>
      </c>
      <c r="L1382" t="s">
        <v>27</v>
      </c>
      <c r="M1382" s="4">
        <v>-24640</v>
      </c>
      <c r="N1382" s="3">
        <v>32.384</v>
      </c>
      <c r="O1382" t="s">
        <v>33</v>
      </c>
      <c r="P1382" t="s">
        <v>23</v>
      </c>
      <c r="Q1382" t="s">
        <v>24</v>
      </c>
      <c r="R1382" t="s">
        <v>51</v>
      </c>
      <c r="S1382">
        <v>9</v>
      </c>
    </row>
    <row r="1383" spans="1:19" x14ac:dyDescent="0.3">
      <c r="A1383" s="1">
        <v>42636</v>
      </c>
      <c r="B1383">
        <v>2016</v>
      </c>
      <c r="C1383" t="s">
        <v>39</v>
      </c>
      <c r="D1383" s="4">
        <v>237930</v>
      </c>
      <c r="E1383" s="2">
        <v>287500</v>
      </c>
      <c r="F1383" t="s">
        <v>19</v>
      </c>
      <c r="G1383" t="s">
        <v>20</v>
      </c>
      <c r="H1383">
        <v>3</v>
      </c>
      <c r="I1383">
        <v>1</v>
      </c>
      <c r="J1383">
        <v>1088</v>
      </c>
      <c r="K1383" s="5">
        <v>1.3482589999999999E-2</v>
      </c>
      <c r="L1383" t="s">
        <v>38</v>
      </c>
      <c r="M1383" s="4">
        <v>49570</v>
      </c>
      <c r="N1383" s="3">
        <v>264.24630000000002</v>
      </c>
      <c r="O1383" t="s">
        <v>22</v>
      </c>
      <c r="P1383" t="s">
        <v>24</v>
      </c>
      <c r="Q1383" t="s">
        <v>24</v>
      </c>
      <c r="R1383" t="s">
        <v>51</v>
      </c>
      <c r="S1383">
        <v>9</v>
      </c>
    </row>
    <row r="1384" spans="1:19" x14ac:dyDescent="0.3">
      <c r="A1384" s="1">
        <v>42638</v>
      </c>
      <c r="B1384">
        <v>2016</v>
      </c>
      <c r="C1384" t="s">
        <v>18</v>
      </c>
      <c r="D1384" s="4">
        <v>108410</v>
      </c>
      <c r="E1384" s="2">
        <v>70000</v>
      </c>
      <c r="F1384" t="s">
        <v>19</v>
      </c>
      <c r="G1384" t="s">
        <v>20</v>
      </c>
      <c r="H1384">
        <v>3</v>
      </c>
      <c r="I1384">
        <v>2</v>
      </c>
      <c r="J1384">
        <v>1025</v>
      </c>
      <c r="K1384" s="5">
        <v>1.3482589999999999E-2</v>
      </c>
      <c r="L1384" t="s">
        <v>38</v>
      </c>
      <c r="M1384" s="4">
        <v>-38410</v>
      </c>
      <c r="N1384" s="3">
        <v>68.292699999999996</v>
      </c>
      <c r="O1384" t="s">
        <v>33</v>
      </c>
      <c r="P1384" t="s">
        <v>23</v>
      </c>
      <c r="Q1384" t="s">
        <v>24</v>
      </c>
      <c r="R1384" t="s">
        <v>51</v>
      </c>
      <c r="S1384">
        <v>9</v>
      </c>
    </row>
    <row r="1385" spans="1:19" x14ac:dyDescent="0.3">
      <c r="A1385" s="1">
        <v>42642</v>
      </c>
      <c r="B1385">
        <v>2016</v>
      </c>
      <c r="C1385" t="s">
        <v>39</v>
      </c>
      <c r="D1385" s="4">
        <v>305830</v>
      </c>
      <c r="E1385" s="2">
        <v>415000</v>
      </c>
      <c r="F1385" t="s">
        <v>19</v>
      </c>
      <c r="G1385" t="s">
        <v>20</v>
      </c>
      <c r="H1385">
        <v>3</v>
      </c>
      <c r="I1385">
        <v>3</v>
      </c>
      <c r="J1385">
        <v>1111.6589814177564</v>
      </c>
      <c r="K1385" s="5">
        <v>1.3482589999999999E-2</v>
      </c>
      <c r="L1385" t="s">
        <v>21</v>
      </c>
      <c r="M1385" s="4">
        <v>109170</v>
      </c>
      <c r="N1385" s="3">
        <v>373.3159</v>
      </c>
      <c r="O1385" t="s">
        <v>22</v>
      </c>
      <c r="P1385" t="s">
        <v>24</v>
      </c>
      <c r="Q1385" t="s">
        <v>24</v>
      </c>
      <c r="R1385" t="s">
        <v>51</v>
      </c>
      <c r="S1385">
        <v>9</v>
      </c>
    </row>
    <row r="1386" spans="1:19" x14ac:dyDescent="0.3">
      <c r="A1386" s="1">
        <v>42643</v>
      </c>
      <c r="B1386">
        <v>2016</v>
      </c>
      <c r="C1386" t="s">
        <v>18</v>
      </c>
      <c r="D1386" s="4">
        <v>87520</v>
      </c>
      <c r="E1386" s="2">
        <v>42000</v>
      </c>
      <c r="F1386" t="s">
        <v>30</v>
      </c>
      <c r="G1386" t="s">
        <v>31</v>
      </c>
      <c r="H1386">
        <v>4</v>
      </c>
      <c r="I1386">
        <v>4</v>
      </c>
      <c r="J1386">
        <v>1495</v>
      </c>
      <c r="K1386" s="5">
        <v>1.3482589999999999E-2</v>
      </c>
      <c r="L1386" t="s">
        <v>27</v>
      </c>
      <c r="M1386" s="4">
        <v>-45520</v>
      </c>
      <c r="N1386" s="3">
        <v>28.093599999999999</v>
      </c>
      <c r="O1386" t="s">
        <v>33</v>
      </c>
      <c r="P1386" t="s">
        <v>23</v>
      </c>
      <c r="Q1386" t="s">
        <v>34</v>
      </c>
      <c r="R1386" t="s">
        <v>51</v>
      </c>
      <c r="S1386">
        <v>9</v>
      </c>
    </row>
    <row r="1387" spans="1:19" x14ac:dyDescent="0.3">
      <c r="A1387" s="1">
        <v>42644</v>
      </c>
      <c r="B1387">
        <v>2016</v>
      </c>
      <c r="C1387" t="s">
        <v>39</v>
      </c>
      <c r="D1387" s="4">
        <v>549290</v>
      </c>
      <c r="E1387" s="2">
        <v>450000</v>
      </c>
      <c r="F1387" t="s">
        <v>19</v>
      </c>
      <c r="G1387" t="s">
        <v>20</v>
      </c>
      <c r="H1387">
        <v>3</v>
      </c>
      <c r="I1387">
        <v>3</v>
      </c>
      <c r="J1387">
        <v>1029</v>
      </c>
      <c r="K1387" s="5">
        <v>1.3482589999999999E-2</v>
      </c>
      <c r="L1387" t="s">
        <v>27</v>
      </c>
      <c r="M1387" s="4">
        <v>-99290</v>
      </c>
      <c r="N1387" s="3">
        <v>437.31779999999998</v>
      </c>
      <c r="O1387" t="s">
        <v>33</v>
      </c>
      <c r="P1387" t="s">
        <v>24</v>
      </c>
      <c r="Q1387" t="s">
        <v>24</v>
      </c>
      <c r="R1387" t="s">
        <v>53</v>
      </c>
      <c r="S1387">
        <v>10</v>
      </c>
    </row>
    <row r="1388" spans="1:19" x14ac:dyDescent="0.3">
      <c r="A1388" s="1">
        <v>42646</v>
      </c>
      <c r="B1388">
        <v>2016</v>
      </c>
      <c r="C1388" t="s">
        <v>26</v>
      </c>
      <c r="D1388" s="4">
        <v>317380</v>
      </c>
      <c r="E1388" s="2">
        <v>472500</v>
      </c>
      <c r="F1388" t="s">
        <v>19</v>
      </c>
      <c r="G1388" t="s">
        <v>20</v>
      </c>
      <c r="H1388">
        <v>3</v>
      </c>
      <c r="I1388">
        <v>3</v>
      </c>
      <c r="J1388">
        <v>1011</v>
      </c>
      <c r="K1388" s="5">
        <v>1.3482589999999999E-2</v>
      </c>
      <c r="L1388" t="s">
        <v>27</v>
      </c>
      <c r="M1388" s="4">
        <v>155120</v>
      </c>
      <c r="N1388" s="3">
        <v>467.35910000000001</v>
      </c>
      <c r="O1388" t="s">
        <v>22</v>
      </c>
      <c r="P1388" t="s">
        <v>24</v>
      </c>
      <c r="Q1388" t="s">
        <v>24</v>
      </c>
      <c r="R1388" t="s">
        <v>53</v>
      </c>
      <c r="S1388">
        <v>10</v>
      </c>
    </row>
    <row r="1389" spans="1:19" x14ac:dyDescent="0.3">
      <c r="A1389" s="1">
        <v>42649</v>
      </c>
      <c r="B1389">
        <v>2016</v>
      </c>
      <c r="C1389" t="s">
        <v>40</v>
      </c>
      <c r="D1389" s="4">
        <v>117350</v>
      </c>
      <c r="E1389" s="2">
        <v>87500</v>
      </c>
      <c r="F1389" t="s">
        <v>19</v>
      </c>
      <c r="G1389" t="s">
        <v>20</v>
      </c>
      <c r="H1389">
        <v>3</v>
      </c>
      <c r="I1389">
        <v>2</v>
      </c>
      <c r="J1389">
        <v>1076</v>
      </c>
      <c r="K1389" s="5">
        <v>1.3482589999999999E-2</v>
      </c>
      <c r="L1389" t="s">
        <v>21</v>
      </c>
      <c r="M1389" s="4">
        <v>-29850</v>
      </c>
      <c r="N1389" s="3">
        <v>81.319699999999997</v>
      </c>
      <c r="O1389" t="s">
        <v>33</v>
      </c>
      <c r="P1389" t="s">
        <v>23</v>
      </c>
      <c r="Q1389" t="s">
        <v>24</v>
      </c>
      <c r="R1389" t="s">
        <v>53</v>
      </c>
      <c r="S1389">
        <v>10</v>
      </c>
    </row>
    <row r="1390" spans="1:19" x14ac:dyDescent="0.3">
      <c r="A1390" s="1">
        <v>42650</v>
      </c>
      <c r="B1390">
        <v>2016</v>
      </c>
      <c r="C1390" t="s">
        <v>26</v>
      </c>
      <c r="D1390" s="4">
        <v>980280</v>
      </c>
      <c r="E1390" s="2">
        <v>2150000</v>
      </c>
      <c r="F1390" t="s">
        <v>19</v>
      </c>
      <c r="G1390" t="s">
        <v>20</v>
      </c>
      <c r="H1390">
        <v>3</v>
      </c>
      <c r="I1390">
        <v>2</v>
      </c>
      <c r="J1390">
        <v>1045</v>
      </c>
      <c r="K1390" s="5">
        <v>1.3482589999999999E-2</v>
      </c>
      <c r="L1390" t="s">
        <v>32</v>
      </c>
      <c r="M1390" s="4">
        <v>1169720</v>
      </c>
      <c r="N1390" s="3">
        <v>2057.4162999999999</v>
      </c>
      <c r="O1390" t="s">
        <v>22</v>
      </c>
      <c r="P1390" t="s">
        <v>28</v>
      </c>
      <c r="Q1390" t="s">
        <v>24</v>
      </c>
      <c r="R1390" t="s">
        <v>53</v>
      </c>
      <c r="S1390">
        <v>10</v>
      </c>
    </row>
    <row r="1391" spans="1:19" x14ac:dyDescent="0.3">
      <c r="A1391" s="1">
        <v>42651</v>
      </c>
      <c r="B1391">
        <v>2016</v>
      </c>
      <c r="C1391" t="s">
        <v>29</v>
      </c>
      <c r="D1391" s="4">
        <v>124370</v>
      </c>
      <c r="E1391" s="2">
        <v>135000</v>
      </c>
      <c r="F1391" t="s">
        <v>36</v>
      </c>
      <c r="G1391" t="s">
        <v>37</v>
      </c>
      <c r="H1391">
        <v>6</v>
      </c>
      <c r="I1391">
        <v>4</v>
      </c>
      <c r="J1391">
        <v>1950</v>
      </c>
      <c r="K1391" s="5">
        <v>1.3482589999999999E-2</v>
      </c>
      <c r="L1391" t="s">
        <v>38</v>
      </c>
      <c r="M1391" s="4">
        <v>10630</v>
      </c>
      <c r="N1391" s="3">
        <v>69.230800000000002</v>
      </c>
      <c r="O1391" t="s">
        <v>22</v>
      </c>
      <c r="P1391" t="s">
        <v>23</v>
      </c>
      <c r="Q1391" t="s">
        <v>34</v>
      </c>
      <c r="R1391" t="s">
        <v>53</v>
      </c>
      <c r="S1391">
        <v>10</v>
      </c>
    </row>
    <row r="1392" spans="1:19" x14ac:dyDescent="0.3">
      <c r="A1392" s="1">
        <v>42652</v>
      </c>
      <c r="B1392">
        <v>2016</v>
      </c>
      <c r="C1392" t="s">
        <v>40</v>
      </c>
      <c r="D1392" s="4">
        <v>128190</v>
      </c>
      <c r="E1392" s="2">
        <v>105000</v>
      </c>
      <c r="F1392" t="s">
        <v>19</v>
      </c>
      <c r="G1392" t="s">
        <v>20</v>
      </c>
      <c r="H1392">
        <v>3</v>
      </c>
      <c r="I1392">
        <v>3</v>
      </c>
      <c r="J1392">
        <v>1111.6589814177564</v>
      </c>
      <c r="K1392" s="5">
        <v>1.3482589999999999E-2</v>
      </c>
      <c r="L1392" t="s">
        <v>32</v>
      </c>
      <c r="M1392" s="4">
        <v>-23190</v>
      </c>
      <c r="N1392" s="3">
        <v>94.453400000000002</v>
      </c>
      <c r="O1392" t="s">
        <v>33</v>
      </c>
      <c r="P1392" t="s">
        <v>23</v>
      </c>
      <c r="Q1392" t="s">
        <v>24</v>
      </c>
      <c r="R1392" t="s">
        <v>53</v>
      </c>
      <c r="S1392">
        <v>10</v>
      </c>
    </row>
    <row r="1393" spans="1:19" x14ac:dyDescent="0.3">
      <c r="A1393" s="1">
        <v>42653</v>
      </c>
      <c r="B1393">
        <v>2016</v>
      </c>
      <c r="C1393" t="s">
        <v>18</v>
      </c>
      <c r="D1393" s="4">
        <v>46450</v>
      </c>
      <c r="E1393" s="2">
        <v>40500</v>
      </c>
      <c r="F1393" t="s">
        <v>36</v>
      </c>
      <c r="G1393" t="s">
        <v>37</v>
      </c>
      <c r="H1393">
        <v>6</v>
      </c>
      <c r="I1393">
        <v>4</v>
      </c>
      <c r="J1393">
        <v>2057</v>
      </c>
      <c r="K1393" s="5">
        <v>1.3482589999999999E-2</v>
      </c>
      <c r="L1393" t="s">
        <v>27</v>
      </c>
      <c r="M1393" s="4">
        <v>-5950</v>
      </c>
      <c r="N1393" s="3">
        <v>19.6889</v>
      </c>
      <c r="O1393" t="s">
        <v>33</v>
      </c>
      <c r="P1393" t="s">
        <v>23</v>
      </c>
      <c r="Q1393" t="s">
        <v>34</v>
      </c>
      <c r="R1393" t="s">
        <v>53</v>
      </c>
      <c r="S1393">
        <v>10</v>
      </c>
    </row>
    <row r="1394" spans="1:19" x14ac:dyDescent="0.3">
      <c r="A1394" s="1">
        <v>42657</v>
      </c>
      <c r="B1394">
        <v>2016</v>
      </c>
      <c r="C1394" t="s">
        <v>40</v>
      </c>
      <c r="D1394" s="4">
        <v>278510</v>
      </c>
      <c r="E1394" s="2">
        <v>435000</v>
      </c>
      <c r="F1394" t="s">
        <v>19</v>
      </c>
      <c r="G1394" t="s">
        <v>20</v>
      </c>
      <c r="H1394">
        <v>3</v>
      </c>
      <c r="I1394">
        <v>1</v>
      </c>
      <c r="J1394">
        <v>951</v>
      </c>
      <c r="K1394" s="5">
        <v>1.3482589999999999E-2</v>
      </c>
      <c r="L1394" t="s">
        <v>38</v>
      </c>
      <c r="M1394" s="4">
        <v>156490</v>
      </c>
      <c r="N1394" s="3">
        <v>457.41320000000002</v>
      </c>
      <c r="O1394" t="s">
        <v>22</v>
      </c>
      <c r="P1394" t="s">
        <v>24</v>
      </c>
      <c r="Q1394" t="s">
        <v>24</v>
      </c>
      <c r="R1394" t="s">
        <v>53</v>
      </c>
      <c r="S1394">
        <v>10</v>
      </c>
    </row>
    <row r="1395" spans="1:19" x14ac:dyDescent="0.3">
      <c r="A1395" s="1">
        <v>42658</v>
      </c>
      <c r="B1395">
        <v>2016</v>
      </c>
      <c r="C1395" t="s">
        <v>29</v>
      </c>
      <c r="D1395" s="4">
        <v>444584.20699999999</v>
      </c>
      <c r="E1395" s="2">
        <v>174900</v>
      </c>
      <c r="F1395" t="s">
        <v>19</v>
      </c>
      <c r="G1395" t="s">
        <v>20</v>
      </c>
      <c r="H1395">
        <v>3</v>
      </c>
      <c r="I1395">
        <v>1</v>
      </c>
      <c r="J1395">
        <v>948</v>
      </c>
      <c r="K1395" s="5">
        <v>1.3482589999999999E-2</v>
      </c>
      <c r="L1395" t="s">
        <v>21</v>
      </c>
      <c r="M1395" s="4">
        <v>-269684.20699999999</v>
      </c>
      <c r="N1395" s="3">
        <v>184.49369999999999</v>
      </c>
      <c r="O1395" t="s">
        <v>33</v>
      </c>
      <c r="P1395" t="s">
        <v>23</v>
      </c>
      <c r="Q1395" t="s">
        <v>24</v>
      </c>
      <c r="R1395" t="s">
        <v>53</v>
      </c>
      <c r="S1395">
        <v>10</v>
      </c>
    </row>
    <row r="1396" spans="1:19" x14ac:dyDescent="0.3">
      <c r="A1396" s="1">
        <v>42659</v>
      </c>
      <c r="B1396">
        <v>2016</v>
      </c>
      <c r="C1396" t="s">
        <v>29</v>
      </c>
      <c r="D1396" s="4">
        <v>204150</v>
      </c>
      <c r="E1396" s="2">
        <v>150000</v>
      </c>
      <c r="F1396" t="s">
        <v>30</v>
      </c>
      <c r="G1396" t="s">
        <v>31</v>
      </c>
      <c r="H1396">
        <v>4</v>
      </c>
      <c r="I1396">
        <v>3</v>
      </c>
      <c r="J1396">
        <v>1493</v>
      </c>
      <c r="K1396" s="5">
        <v>1.3482589999999999E-2</v>
      </c>
      <c r="L1396" t="s">
        <v>27</v>
      </c>
      <c r="M1396" s="4">
        <v>-54150</v>
      </c>
      <c r="N1396" s="3">
        <v>100.4689</v>
      </c>
      <c r="O1396" t="s">
        <v>33</v>
      </c>
      <c r="P1396" t="s">
        <v>23</v>
      </c>
      <c r="Q1396" t="s">
        <v>34</v>
      </c>
      <c r="R1396" t="s">
        <v>53</v>
      </c>
      <c r="S1396">
        <v>10</v>
      </c>
    </row>
    <row r="1397" spans="1:19" x14ac:dyDescent="0.3">
      <c r="A1397" s="1">
        <v>42660</v>
      </c>
      <c r="B1397">
        <v>2016</v>
      </c>
      <c r="C1397" t="s">
        <v>39</v>
      </c>
      <c r="D1397" s="4">
        <v>310940</v>
      </c>
      <c r="E1397" s="2">
        <v>391500</v>
      </c>
      <c r="F1397" t="s">
        <v>19</v>
      </c>
      <c r="G1397" t="s">
        <v>20</v>
      </c>
      <c r="H1397">
        <v>3</v>
      </c>
      <c r="I1397">
        <v>2</v>
      </c>
      <c r="J1397">
        <v>1059</v>
      </c>
      <c r="K1397" s="5">
        <v>1.3482589999999999E-2</v>
      </c>
      <c r="L1397" t="s">
        <v>21</v>
      </c>
      <c r="M1397" s="4">
        <v>80560</v>
      </c>
      <c r="N1397" s="3">
        <v>369.6884</v>
      </c>
      <c r="O1397" t="s">
        <v>22</v>
      </c>
      <c r="P1397" t="s">
        <v>24</v>
      </c>
      <c r="Q1397" t="s">
        <v>24</v>
      </c>
      <c r="R1397" t="s">
        <v>53</v>
      </c>
      <c r="S1397">
        <v>10</v>
      </c>
    </row>
    <row r="1398" spans="1:19" x14ac:dyDescent="0.3">
      <c r="A1398" s="1">
        <v>42663</v>
      </c>
      <c r="B1398">
        <v>2016</v>
      </c>
      <c r="C1398" t="s">
        <v>52</v>
      </c>
      <c r="D1398" s="4">
        <v>167440</v>
      </c>
      <c r="E1398" s="2">
        <v>191250</v>
      </c>
      <c r="F1398" t="s">
        <v>19</v>
      </c>
      <c r="G1398" t="s">
        <v>20</v>
      </c>
      <c r="H1398">
        <v>3</v>
      </c>
      <c r="I1398">
        <v>2</v>
      </c>
      <c r="J1398">
        <v>968</v>
      </c>
      <c r="K1398" s="5">
        <v>1.3482589999999999E-2</v>
      </c>
      <c r="L1398" t="s">
        <v>32</v>
      </c>
      <c r="M1398" s="4">
        <v>23810</v>
      </c>
      <c r="N1398" s="3">
        <v>197.57230000000001</v>
      </c>
      <c r="O1398" t="s">
        <v>22</v>
      </c>
      <c r="P1398" t="s">
        <v>23</v>
      </c>
      <c r="Q1398" t="s">
        <v>24</v>
      </c>
      <c r="R1398" t="s">
        <v>53</v>
      </c>
      <c r="S1398">
        <v>10</v>
      </c>
    </row>
    <row r="1399" spans="1:19" x14ac:dyDescent="0.3">
      <c r="A1399" s="1">
        <v>42664</v>
      </c>
      <c r="B1399">
        <v>2016</v>
      </c>
      <c r="C1399" t="s">
        <v>39</v>
      </c>
      <c r="D1399" s="4">
        <v>230930</v>
      </c>
      <c r="E1399" s="2">
        <v>248000</v>
      </c>
      <c r="F1399" t="s">
        <v>19</v>
      </c>
      <c r="G1399" t="s">
        <v>20</v>
      </c>
      <c r="H1399">
        <v>3</v>
      </c>
      <c r="I1399">
        <v>2</v>
      </c>
      <c r="J1399">
        <v>995</v>
      </c>
      <c r="K1399" s="5">
        <v>1.3482589999999999E-2</v>
      </c>
      <c r="L1399" t="s">
        <v>32</v>
      </c>
      <c r="M1399" s="4">
        <v>17070</v>
      </c>
      <c r="N1399" s="3">
        <v>249.24619999999999</v>
      </c>
      <c r="O1399" t="s">
        <v>22</v>
      </c>
      <c r="P1399" t="s">
        <v>24</v>
      </c>
      <c r="Q1399" t="s">
        <v>24</v>
      </c>
      <c r="R1399" t="s">
        <v>53</v>
      </c>
      <c r="S1399">
        <v>10</v>
      </c>
    </row>
    <row r="1400" spans="1:19" x14ac:dyDescent="0.3">
      <c r="A1400" s="1">
        <v>42670</v>
      </c>
      <c r="B1400">
        <v>2016</v>
      </c>
      <c r="C1400" t="s">
        <v>26</v>
      </c>
      <c r="D1400" s="4">
        <v>444584.20699999999</v>
      </c>
      <c r="E1400" s="2">
        <v>730000</v>
      </c>
      <c r="F1400" t="s">
        <v>19</v>
      </c>
      <c r="G1400" t="s">
        <v>20</v>
      </c>
      <c r="H1400">
        <v>3</v>
      </c>
      <c r="I1400">
        <v>3</v>
      </c>
      <c r="J1400">
        <v>999</v>
      </c>
      <c r="K1400" s="5">
        <v>1.3482589999999999E-2</v>
      </c>
      <c r="L1400" t="s">
        <v>21</v>
      </c>
      <c r="M1400" s="4">
        <v>285415.79300000001</v>
      </c>
      <c r="N1400" s="3">
        <v>730.73069999999996</v>
      </c>
      <c r="O1400" t="s">
        <v>22</v>
      </c>
      <c r="P1400" t="s">
        <v>28</v>
      </c>
      <c r="Q1400" t="s">
        <v>24</v>
      </c>
      <c r="R1400" t="s">
        <v>53</v>
      </c>
      <c r="S1400">
        <v>10</v>
      </c>
    </row>
    <row r="1401" spans="1:19" x14ac:dyDescent="0.3">
      <c r="A1401" s="1">
        <v>42671</v>
      </c>
      <c r="B1401">
        <v>2016</v>
      </c>
      <c r="C1401" t="s">
        <v>39</v>
      </c>
      <c r="D1401" s="4">
        <v>240240</v>
      </c>
      <c r="E1401" s="2">
        <v>275000</v>
      </c>
      <c r="F1401" t="s">
        <v>19</v>
      </c>
      <c r="G1401" t="s">
        <v>20</v>
      </c>
      <c r="H1401">
        <v>3</v>
      </c>
      <c r="I1401">
        <v>1</v>
      </c>
      <c r="J1401">
        <v>1087</v>
      </c>
      <c r="K1401" s="5">
        <v>1.3482589999999999E-2</v>
      </c>
      <c r="L1401" t="s">
        <v>21</v>
      </c>
      <c r="M1401" s="4">
        <v>34760</v>
      </c>
      <c r="N1401" s="3">
        <v>252.98990000000001</v>
      </c>
      <c r="O1401" t="s">
        <v>22</v>
      </c>
      <c r="P1401" t="s">
        <v>24</v>
      </c>
      <c r="Q1401" t="s">
        <v>24</v>
      </c>
      <c r="R1401" t="s">
        <v>53</v>
      </c>
      <c r="S1401">
        <v>10</v>
      </c>
    </row>
    <row r="1402" spans="1:19" x14ac:dyDescent="0.3">
      <c r="A1402" s="1">
        <v>42672</v>
      </c>
      <c r="B1402">
        <v>2016</v>
      </c>
      <c r="C1402" t="s">
        <v>29</v>
      </c>
      <c r="D1402" s="4">
        <v>124820</v>
      </c>
      <c r="E1402" s="2">
        <v>139050</v>
      </c>
      <c r="F1402" t="s">
        <v>19</v>
      </c>
      <c r="G1402" t="s">
        <v>20</v>
      </c>
      <c r="H1402">
        <v>3</v>
      </c>
      <c r="I1402">
        <v>3</v>
      </c>
      <c r="J1402">
        <v>1072</v>
      </c>
      <c r="K1402" s="5">
        <v>1.3482589999999999E-2</v>
      </c>
      <c r="L1402" t="s">
        <v>38</v>
      </c>
      <c r="M1402" s="4">
        <v>14230</v>
      </c>
      <c r="N1402" s="3">
        <v>129.71080000000001</v>
      </c>
      <c r="O1402" t="s">
        <v>22</v>
      </c>
      <c r="P1402" t="s">
        <v>23</v>
      </c>
      <c r="Q1402" t="s">
        <v>24</v>
      </c>
      <c r="R1402" t="s">
        <v>53</v>
      </c>
      <c r="S1402">
        <v>10</v>
      </c>
    </row>
    <row r="1403" spans="1:19" x14ac:dyDescent="0.3">
      <c r="A1403" s="1">
        <v>42673</v>
      </c>
      <c r="B1403">
        <v>2016</v>
      </c>
      <c r="C1403" t="s">
        <v>39</v>
      </c>
      <c r="D1403" s="4">
        <v>352870</v>
      </c>
      <c r="E1403" s="2">
        <v>455000</v>
      </c>
      <c r="F1403" t="s">
        <v>19</v>
      </c>
      <c r="G1403" t="s">
        <v>20</v>
      </c>
      <c r="H1403">
        <v>3</v>
      </c>
      <c r="I1403">
        <v>1</v>
      </c>
      <c r="J1403">
        <v>1049</v>
      </c>
      <c r="K1403" s="5">
        <v>1.3482589999999999E-2</v>
      </c>
      <c r="L1403" t="s">
        <v>27</v>
      </c>
      <c r="M1403" s="4">
        <v>102130</v>
      </c>
      <c r="N1403" s="3">
        <v>433.74639999999999</v>
      </c>
      <c r="O1403" t="s">
        <v>22</v>
      </c>
      <c r="P1403" t="s">
        <v>24</v>
      </c>
      <c r="Q1403" t="s">
        <v>24</v>
      </c>
      <c r="R1403" t="s">
        <v>53</v>
      </c>
      <c r="S1403">
        <v>10</v>
      </c>
    </row>
    <row r="1404" spans="1:19" x14ac:dyDescent="0.3">
      <c r="A1404" s="1">
        <v>42674</v>
      </c>
      <c r="B1404">
        <v>2016</v>
      </c>
      <c r="C1404" t="s">
        <v>56</v>
      </c>
      <c r="D1404" s="4">
        <v>418310</v>
      </c>
      <c r="E1404" s="2">
        <v>630000</v>
      </c>
      <c r="F1404" t="s">
        <v>19</v>
      </c>
      <c r="G1404" t="s">
        <v>20</v>
      </c>
      <c r="H1404">
        <v>3</v>
      </c>
      <c r="I1404">
        <v>2</v>
      </c>
      <c r="J1404">
        <v>991</v>
      </c>
      <c r="K1404" s="5">
        <v>1.3482589999999999E-2</v>
      </c>
      <c r="L1404" t="s">
        <v>38</v>
      </c>
      <c r="M1404" s="4">
        <v>211690</v>
      </c>
      <c r="N1404" s="3">
        <v>635.72149999999999</v>
      </c>
      <c r="O1404" t="s">
        <v>22</v>
      </c>
      <c r="P1404" t="s">
        <v>28</v>
      </c>
      <c r="Q1404" t="s">
        <v>24</v>
      </c>
      <c r="R1404" t="s">
        <v>53</v>
      </c>
      <c r="S1404">
        <v>10</v>
      </c>
    </row>
    <row r="1405" spans="1:19" x14ac:dyDescent="0.3">
      <c r="A1405" s="1">
        <v>42677</v>
      </c>
      <c r="B1405">
        <v>2016</v>
      </c>
      <c r="C1405" t="s">
        <v>18</v>
      </c>
      <c r="D1405" s="4">
        <v>30950</v>
      </c>
      <c r="E1405" s="2">
        <v>10400</v>
      </c>
      <c r="F1405" t="s">
        <v>30</v>
      </c>
      <c r="G1405" t="s">
        <v>31</v>
      </c>
      <c r="H1405">
        <v>4</v>
      </c>
      <c r="I1405">
        <v>3</v>
      </c>
      <c r="J1405">
        <v>1492</v>
      </c>
      <c r="K1405" s="5">
        <v>1.3482589999999999E-2</v>
      </c>
      <c r="L1405" t="s">
        <v>38</v>
      </c>
      <c r="M1405" s="4">
        <v>-20550</v>
      </c>
      <c r="N1405" s="3">
        <v>6.9705000000000004</v>
      </c>
      <c r="O1405" t="s">
        <v>33</v>
      </c>
      <c r="P1405" t="s">
        <v>23</v>
      </c>
      <c r="Q1405" t="s">
        <v>34</v>
      </c>
      <c r="R1405" t="s">
        <v>54</v>
      </c>
      <c r="S1405">
        <v>11</v>
      </c>
    </row>
    <row r="1406" spans="1:19" x14ac:dyDescent="0.3">
      <c r="A1406" s="1">
        <v>42678</v>
      </c>
      <c r="B1406">
        <v>2016</v>
      </c>
      <c r="C1406" t="s">
        <v>35</v>
      </c>
      <c r="D1406" s="4">
        <v>493080</v>
      </c>
      <c r="E1406" s="2">
        <v>799000</v>
      </c>
      <c r="F1406" t="s">
        <v>19</v>
      </c>
      <c r="G1406" t="s">
        <v>20</v>
      </c>
      <c r="H1406">
        <v>3</v>
      </c>
      <c r="I1406">
        <v>2</v>
      </c>
      <c r="J1406">
        <v>1111.6589814177564</v>
      </c>
      <c r="K1406" s="5">
        <v>1.3482589999999999E-2</v>
      </c>
      <c r="L1406" t="s">
        <v>21</v>
      </c>
      <c r="M1406" s="4">
        <v>305920</v>
      </c>
      <c r="N1406" s="3">
        <v>718.74559999999997</v>
      </c>
      <c r="O1406" t="s">
        <v>22</v>
      </c>
      <c r="P1406" t="s">
        <v>28</v>
      </c>
      <c r="Q1406" t="s">
        <v>24</v>
      </c>
      <c r="R1406" t="s">
        <v>54</v>
      </c>
      <c r="S1406">
        <v>11</v>
      </c>
    </row>
    <row r="1407" spans="1:19" x14ac:dyDescent="0.3">
      <c r="A1407" s="1">
        <v>42679</v>
      </c>
      <c r="B1407">
        <v>2016</v>
      </c>
      <c r="C1407" t="s">
        <v>35</v>
      </c>
      <c r="D1407" s="4">
        <v>337680</v>
      </c>
      <c r="E1407" s="2">
        <v>360000</v>
      </c>
      <c r="F1407" t="s">
        <v>19</v>
      </c>
      <c r="G1407" t="s">
        <v>20</v>
      </c>
      <c r="H1407">
        <v>3</v>
      </c>
      <c r="I1407">
        <v>2</v>
      </c>
      <c r="J1407">
        <v>1038</v>
      </c>
      <c r="K1407" s="5">
        <v>1.3482589999999999E-2</v>
      </c>
      <c r="L1407" t="s">
        <v>21</v>
      </c>
      <c r="M1407" s="4">
        <v>22320</v>
      </c>
      <c r="N1407" s="3">
        <v>346.82080000000002</v>
      </c>
      <c r="O1407" t="s">
        <v>22</v>
      </c>
      <c r="P1407" t="s">
        <v>24</v>
      </c>
      <c r="Q1407" t="s">
        <v>24</v>
      </c>
      <c r="R1407" t="s">
        <v>54</v>
      </c>
      <c r="S1407">
        <v>11</v>
      </c>
    </row>
    <row r="1408" spans="1:19" x14ac:dyDescent="0.3">
      <c r="A1408" s="1">
        <v>42680</v>
      </c>
      <c r="B1408">
        <v>2016</v>
      </c>
      <c r="C1408" t="s">
        <v>56</v>
      </c>
      <c r="D1408" s="4">
        <v>258840</v>
      </c>
      <c r="E1408" s="2">
        <v>271000</v>
      </c>
      <c r="F1408" t="s">
        <v>30</v>
      </c>
      <c r="G1408" t="s">
        <v>31</v>
      </c>
      <c r="H1408">
        <v>4</v>
      </c>
      <c r="I1408">
        <v>4</v>
      </c>
      <c r="J1408">
        <v>1111.6589814177564</v>
      </c>
      <c r="K1408" s="5">
        <v>1.3482589999999999E-2</v>
      </c>
      <c r="L1408" t="s">
        <v>21</v>
      </c>
      <c r="M1408" s="4">
        <v>12160</v>
      </c>
      <c r="N1408" s="3">
        <v>243.77979999999999</v>
      </c>
      <c r="O1408" t="s">
        <v>22</v>
      </c>
      <c r="P1408" t="s">
        <v>24</v>
      </c>
      <c r="Q1408" t="s">
        <v>24</v>
      </c>
      <c r="R1408" t="s">
        <v>54</v>
      </c>
      <c r="S1408">
        <v>11</v>
      </c>
    </row>
    <row r="1409" spans="1:19" x14ac:dyDescent="0.3">
      <c r="A1409" s="1">
        <v>42681</v>
      </c>
      <c r="B1409">
        <v>2016</v>
      </c>
      <c r="C1409" t="s">
        <v>40</v>
      </c>
      <c r="D1409" s="4">
        <v>697890</v>
      </c>
      <c r="E1409" s="2">
        <v>960000</v>
      </c>
      <c r="F1409" t="s">
        <v>19</v>
      </c>
      <c r="G1409" t="s">
        <v>20</v>
      </c>
      <c r="H1409">
        <v>3</v>
      </c>
      <c r="I1409">
        <v>1</v>
      </c>
      <c r="J1409">
        <v>1111.6589814177564</v>
      </c>
      <c r="K1409" s="5">
        <v>1.3482589999999999E-2</v>
      </c>
      <c r="L1409" t="s">
        <v>27</v>
      </c>
      <c r="M1409" s="4">
        <v>262110</v>
      </c>
      <c r="N1409" s="3">
        <v>863.57420000000002</v>
      </c>
      <c r="O1409" t="s">
        <v>22</v>
      </c>
      <c r="P1409" t="s">
        <v>28</v>
      </c>
      <c r="Q1409" t="s">
        <v>24</v>
      </c>
      <c r="R1409" t="s">
        <v>54</v>
      </c>
      <c r="S1409">
        <v>11</v>
      </c>
    </row>
    <row r="1410" spans="1:19" x14ac:dyDescent="0.3">
      <c r="A1410" s="1">
        <v>42686</v>
      </c>
      <c r="B1410">
        <v>2016</v>
      </c>
      <c r="C1410" t="s">
        <v>29</v>
      </c>
      <c r="D1410" s="4">
        <v>169070</v>
      </c>
      <c r="E1410" s="2">
        <v>400000</v>
      </c>
      <c r="F1410" t="s">
        <v>19</v>
      </c>
      <c r="G1410" t="s">
        <v>20</v>
      </c>
      <c r="H1410">
        <v>3</v>
      </c>
      <c r="I1410">
        <v>1</v>
      </c>
      <c r="J1410">
        <v>1111.6589814177564</v>
      </c>
      <c r="K1410" s="5">
        <v>1.3482589999999999E-2</v>
      </c>
      <c r="L1410" t="s">
        <v>32</v>
      </c>
      <c r="M1410" s="4">
        <v>230930</v>
      </c>
      <c r="N1410" s="3">
        <v>359.82260000000002</v>
      </c>
      <c r="O1410" t="s">
        <v>22</v>
      </c>
      <c r="P1410" t="s">
        <v>24</v>
      </c>
      <c r="Q1410" t="s">
        <v>24</v>
      </c>
      <c r="R1410" t="s">
        <v>54</v>
      </c>
      <c r="S1410">
        <v>11</v>
      </c>
    </row>
    <row r="1411" spans="1:19" x14ac:dyDescent="0.3">
      <c r="A1411" s="1">
        <v>42687</v>
      </c>
      <c r="B1411">
        <v>2016</v>
      </c>
      <c r="C1411" t="s">
        <v>29</v>
      </c>
      <c r="D1411" s="4">
        <v>444584.20699999999</v>
      </c>
      <c r="E1411" s="2">
        <v>135000</v>
      </c>
      <c r="F1411" t="s">
        <v>36</v>
      </c>
      <c r="G1411" t="s">
        <v>37</v>
      </c>
      <c r="H1411">
        <v>6</v>
      </c>
      <c r="I1411">
        <v>6</v>
      </c>
      <c r="J1411">
        <v>1111.6589814177564</v>
      </c>
      <c r="K1411" s="5">
        <v>1.3482589999999999E-2</v>
      </c>
      <c r="L1411" t="s">
        <v>27</v>
      </c>
      <c r="M1411" s="4">
        <v>-309584.20699999999</v>
      </c>
      <c r="N1411" s="3">
        <v>121.4401</v>
      </c>
      <c r="O1411" t="s">
        <v>33</v>
      </c>
      <c r="P1411" t="s">
        <v>23</v>
      </c>
      <c r="Q1411" t="s">
        <v>24</v>
      </c>
      <c r="R1411" t="s">
        <v>54</v>
      </c>
      <c r="S1411">
        <v>11</v>
      </c>
    </row>
    <row r="1412" spans="1:19" x14ac:dyDescent="0.3">
      <c r="A1412" s="1">
        <v>42691</v>
      </c>
      <c r="B1412">
        <v>2016</v>
      </c>
      <c r="C1412" t="s">
        <v>39</v>
      </c>
      <c r="D1412" s="4">
        <v>489160</v>
      </c>
      <c r="E1412" s="2">
        <v>700000</v>
      </c>
      <c r="F1412" t="s">
        <v>19</v>
      </c>
      <c r="G1412" t="s">
        <v>20</v>
      </c>
      <c r="H1412">
        <v>3</v>
      </c>
      <c r="I1412">
        <v>2</v>
      </c>
      <c r="J1412">
        <v>949</v>
      </c>
      <c r="K1412" s="5">
        <v>1.3482589999999999E-2</v>
      </c>
      <c r="L1412" t="s">
        <v>21</v>
      </c>
      <c r="M1412" s="4">
        <v>210840</v>
      </c>
      <c r="N1412" s="3">
        <v>737.61850000000004</v>
      </c>
      <c r="O1412" t="s">
        <v>22</v>
      </c>
      <c r="P1412" t="s">
        <v>28</v>
      </c>
      <c r="Q1412" t="s">
        <v>24</v>
      </c>
      <c r="R1412" t="s">
        <v>54</v>
      </c>
      <c r="S1412">
        <v>11</v>
      </c>
    </row>
    <row r="1413" spans="1:19" x14ac:dyDescent="0.3">
      <c r="A1413" s="1">
        <v>42692</v>
      </c>
      <c r="B1413">
        <v>2016</v>
      </c>
      <c r="C1413" t="s">
        <v>40</v>
      </c>
      <c r="D1413" s="4">
        <v>307660</v>
      </c>
      <c r="E1413" s="2">
        <v>430000</v>
      </c>
      <c r="F1413" t="s">
        <v>19</v>
      </c>
      <c r="G1413" t="s">
        <v>20</v>
      </c>
      <c r="H1413">
        <v>3</v>
      </c>
      <c r="I1413">
        <v>3</v>
      </c>
      <c r="J1413">
        <v>958</v>
      </c>
      <c r="K1413" s="5">
        <v>1.3482589999999999E-2</v>
      </c>
      <c r="L1413" t="s">
        <v>38</v>
      </c>
      <c r="M1413" s="4">
        <v>122340</v>
      </c>
      <c r="N1413" s="3">
        <v>448.85180000000003</v>
      </c>
      <c r="O1413" t="s">
        <v>22</v>
      </c>
      <c r="P1413" t="s">
        <v>24</v>
      </c>
      <c r="Q1413" t="s">
        <v>24</v>
      </c>
      <c r="R1413" t="s">
        <v>54</v>
      </c>
      <c r="S1413">
        <v>11</v>
      </c>
    </row>
    <row r="1414" spans="1:19" x14ac:dyDescent="0.3">
      <c r="A1414" s="1">
        <v>42693</v>
      </c>
      <c r="B1414">
        <v>2016</v>
      </c>
      <c r="C1414" t="s">
        <v>26</v>
      </c>
      <c r="D1414" s="4">
        <v>275330</v>
      </c>
      <c r="E1414" s="2">
        <v>374000</v>
      </c>
      <c r="F1414" t="s">
        <v>19</v>
      </c>
      <c r="G1414" t="s">
        <v>20</v>
      </c>
      <c r="H1414">
        <v>3</v>
      </c>
      <c r="I1414">
        <v>2</v>
      </c>
      <c r="J1414">
        <v>955</v>
      </c>
      <c r="K1414" s="5">
        <v>1.3482589999999999E-2</v>
      </c>
      <c r="L1414" t="s">
        <v>32</v>
      </c>
      <c r="M1414" s="4">
        <v>98670</v>
      </c>
      <c r="N1414" s="3">
        <v>391.62299999999999</v>
      </c>
      <c r="O1414" t="s">
        <v>22</v>
      </c>
      <c r="P1414" t="s">
        <v>24</v>
      </c>
      <c r="Q1414" t="s">
        <v>24</v>
      </c>
      <c r="R1414" t="s">
        <v>54</v>
      </c>
      <c r="S1414">
        <v>11</v>
      </c>
    </row>
    <row r="1415" spans="1:19" x14ac:dyDescent="0.3">
      <c r="A1415" s="1">
        <v>42694</v>
      </c>
      <c r="B1415">
        <v>2016</v>
      </c>
      <c r="C1415" t="s">
        <v>39</v>
      </c>
      <c r="D1415" s="4">
        <v>353010</v>
      </c>
      <c r="E1415" s="2">
        <v>415000</v>
      </c>
      <c r="F1415" t="s">
        <v>19</v>
      </c>
      <c r="G1415" t="s">
        <v>20</v>
      </c>
      <c r="H1415">
        <v>3</v>
      </c>
      <c r="I1415">
        <v>1</v>
      </c>
      <c r="J1415">
        <v>1111.6589814177564</v>
      </c>
      <c r="K1415" s="5">
        <v>1.3482589999999999E-2</v>
      </c>
      <c r="L1415" t="s">
        <v>21</v>
      </c>
      <c r="M1415" s="4">
        <v>61990</v>
      </c>
      <c r="N1415" s="3">
        <v>373.3159</v>
      </c>
      <c r="O1415" t="s">
        <v>22</v>
      </c>
      <c r="P1415" t="s">
        <v>24</v>
      </c>
      <c r="Q1415" t="s">
        <v>24</v>
      </c>
      <c r="R1415" t="s">
        <v>54</v>
      </c>
      <c r="S1415">
        <v>11</v>
      </c>
    </row>
    <row r="1416" spans="1:19" x14ac:dyDescent="0.3">
      <c r="A1416" s="1">
        <v>42699</v>
      </c>
      <c r="B1416">
        <v>2016</v>
      </c>
      <c r="C1416" t="s">
        <v>39</v>
      </c>
      <c r="D1416" s="4">
        <v>444584.20699999999</v>
      </c>
      <c r="E1416" s="2">
        <v>455000</v>
      </c>
      <c r="F1416" t="s">
        <v>19</v>
      </c>
      <c r="G1416" t="s">
        <v>20</v>
      </c>
      <c r="H1416">
        <v>3</v>
      </c>
      <c r="I1416">
        <v>1</v>
      </c>
      <c r="J1416">
        <v>1011</v>
      </c>
      <c r="K1416" s="5">
        <v>1.3482589999999999E-2</v>
      </c>
      <c r="L1416" t="s">
        <v>21</v>
      </c>
      <c r="M1416" s="4">
        <v>10415.793</v>
      </c>
      <c r="N1416" s="3">
        <v>450.04950000000002</v>
      </c>
      <c r="O1416" t="s">
        <v>22</v>
      </c>
      <c r="P1416" t="s">
        <v>24</v>
      </c>
      <c r="Q1416" t="s">
        <v>24</v>
      </c>
      <c r="R1416" t="s">
        <v>54</v>
      </c>
      <c r="S1416">
        <v>11</v>
      </c>
    </row>
    <row r="1417" spans="1:19" x14ac:dyDescent="0.3">
      <c r="A1417" s="1">
        <v>42705</v>
      </c>
      <c r="B1417">
        <v>2016</v>
      </c>
      <c r="C1417" t="s">
        <v>35</v>
      </c>
      <c r="D1417" s="4">
        <v>296940</v>
      </c>
      <c r="E1417" s="2">
        <v>485000</v>
      </c>
      <c r="F1417" t="s">
        <v>19</v>
      </c>
      <c r="G1417" t="s">
        <v>20</v>
      </c>
      <c r="H1417">
        <v>3</v>
      </c>
      <c r="I1417">
        <v>1</v>
      </c>
      <c r="J1417">
        <v>1002</v>
      </c>
      <c r="K1417" s="5">
        <v>1.3482589999999999E-2</v>
      </c>
      <c r="L1417" t="s">
        <v>32</v>
      </c>
      <c r="M1417" s="4">
        <v>188060</v>
      </c>
      <c r="N1417" s="3">
        <v>484.03190000000001</v>
      </c>
      <c r="O1417" t="s">
        <v>22</v>
      </c>
      <c r="P1417" t="s">
        <v>24</v>
      </c>
      <c r="Q1417" t="s">
        <v>24</v>
      </c>
      <c r="R1417" t="s">
        <v>55</v>
      </c>
      <c r="S1417">
        <v>12</v>
      </c>
    </row>
    <row r="1418" spans="1:19" x14ac:dyDescent="0.3">
      <c r="A1418" s="1">
        <v>42706</v>
      </c>
      <c r="B1418">
        <v>2016</v>
      </c>
      <c r="C1418" t="s">
        <v>40</v>
      </c>
      <c r="D1418" s="4">
        <v>925170</v>
      </c>
      <c r="E1418" s="2">
        <v>962500</v>
      </c>
      <c r="F1418" t="s">
        <v>19</v>
      </c>
      <c r="G1418" t="s">
        <v>20</v>
      </c>
      <c r="H1418">
        <v>3</v>
      </c>
      <c r="I1418">
        <v>1</v>
      </c>
      <c r="J1418">
        <v>900</v>
      </c>
      <c r="K1418" s="5">
        <v>1.3482589999999999E-2</v>
      </c>
      <c r="L1418" t="s">
        <v>21</v>
      </c>
      <c r="M1418" s="4">
        <v>37330</v>
      </c>
      <c r="N1418" s="3">
        <v>1069.4444000000001</v>
      </c>
      <c r="O1418" t="s">
        <v>22</v>
      </c>
      <c r="P1418" t="s">
        <v>28</v>
      </c>
      <c r="Q1418" t="s">
        <v>24</v>
      </c>
      <c r="R1418" t="s">
        <v>55</v>
      </c>
      <c r="S1418">
        <v>12</v>
      </c>
    </row>
    <row r="1419" spans="1:19" x14ac:dyDescent="0.3">
      <c r="A1419" s="1">
        <v>42707</v>
      </c>
      <c r="B1419">
        <v>2016</v>
      </c>
      <c r="C1419" t="s">
        <v>40</v>
      </c>
      <c r="D1419" s="4">
        <v>234670</v>
      </c>
      <c r="E1419" s="2">
        <v>120000</v>
      </c>
      <c r="F1419" t="s">
        <v>19</v>
      </c>
      <c r="G1419" t="s">
        <v>20</v>
      </c>
      <c r="H1419">
        <v>3</v>
      </c>
      <c r="I1419">
        <v>2</v>
      </c>
      <c r="J1419">
        <v>1073</v>
      </c>
      <c r="K1419" s="5">
        <v>1.3482589999999999E-2</v>
      </c>
      <c r="L1419" t="s">
        <v>21</v>
      </c>
      <c r="M1419" s="4">
        <v>-114670</v>
      </c>
      <c r="N1419" s="3">
        <v>111.836</v>
      </c>
      <c r="O1419" t="s">
        <v>33</v>
      </c>
      <c r="P1419" t="s">
        <v>23</v>
      </c>
      <c r="Q1419" t="s">
        <v>24</v>
      </c>
      <c r="R1419" t="s">
        <v>55</v>
      </c>
      <c r="S1419">
        <v>12</v>
      </c>
    </row>
    <row r="1420" spans="1:19" x14ac:dyDescent="0.3">
      <c r="A1420" s="1">
        <v>42708</v>
      </c>
      <c r="B1420">
        <v>2016</v>
      </c>
      <c r="C1420" t="s">
        <v>29</v>
      </c>
      <c r="D1420" s="4">
        <v>132370</v>
      </c>
      <c r="E1420" s="2">
        <v>67500</v>
      </c>
      <c r="F1420" t="s">
        <v>19</v>
      </c>
      <c r="G1420" t="s">
        <v>20</v>
      </c>
      <c r="H1420">
        <v>3</v>
      </c>
      <c r="I1420">
        <v>3</v>
      </c>
      <c r="J1420">
        <v>927</v>
      </c>
      <c r="K1420" s="5">
        <v>1.3482589999999999E-2</v>
      </c>
      <c r="L1420" t="s">
        <v>27</v>
      </c>
      <c r="M1420" s="4">
        <v>-64870</v>
      </c>
      <c r="N1420" s="3">
        <v>72.8155</v>
      </c>
      <c r="O1420" t="s">
        <v>33</v>
      </c>
      <c r="P1420" t="s">
        <v>23</v>
      </c>
      <c r="Q1420" t="s">
        <v>24</v>
      </c>
      <c r="R1420" t="s">
        <v>55</v>
      </c>
      <c r="S1420">
        <v>12</v>
      </c>
    </row>
    <row r="1421" spans="1:19" x14ac:dyDescent="0.3">
      <c r="A1421" s="1">
        <v>42709</v>
      </c>
      <c r="B1421">
        <v>2016</v>
      </c>
      <c r="C1421" t="s">
        <v>39</v>
      </c>
      <c r="D1421" s="4">
        <v>492730</v>
      </c>
      <c r="E1421" s="2">
        <v>435000</v>
      </c>
      <c r="F1421" t="s">
        <v>19</v>
      </c>
      <c r="G1421" t="s">
        <v>20</v>
      </c>
      <c r="H1421">
        <v>3</v>
      </c>
      <c r="I1421">
        <v>1</v>
      </c>
      <c r="J1421">
        <v>1099</v>
      </c>
      <c r="K1421" s="5">
        <v>1.3482589999999999E-2</v>
      </c>
      <c r="L1421" t="s">
        <v>21</v>
      </c>
      <c r="M1421" s="4">
        <v>-57730</v>
      </c>
      <c r="N1421" s="3">
        <v>395.81439999999998</v>
      </c>
      <c r="O1421" t="s">
        <v>33</v>
      </c>
      <c r="P1421" t="s">
        <v>24</v>
      </c>
      <c r="Q1421" t="s">
        <v>24</v>
      </c>
      <c r="R1421" t="s">
        <v>55</v>
      </c>
      <c r="S1421">
        <v>12</v>
      </c>
    </row>
    <row r="1422" spans="1:19" x14ac:dyDescent="0.3">
      <c r="A1422" s="1">
        <v>42713</v>
      </c>
      <c r="B1422">
        <v>2016</v>
      </c>
      <c r="C1422" t="s">
        <v>39</v>
      </c>
      <c r="D1422" s="4">
        <v>444584.20699999999</v>
      </c>
      <c r="E1422" s="2">
        <v>426000</v>
      </c>
      <c r="F1422" t="s">
        <v>19</v>
      </c>
      <c r="G1422" t="s">
        <v>20</v>
      </c>
      <c r="H1422">
        <v>3</v>
      </c>
      <c r="I1422">
        <v>3</v>
      </c>
      <c r="J1422">
        <v>1111.6589814177564</v>
      </c>
      <c r="K1422" s="5">
        <v>1.3482589999999999E-2</v>
      </c>
      <c r="L1422" t="s">
        <v>21</v>
      </c>
      <c r="M1422" s="4">
        <v>-18584.206999999999</v>
      </c>
      <c r="N1422" s="3">
        <v>383.21100000000001</v>
      </c>
      <c r="O1422" t="s">
        <v>33</v>
      </c>
      <c r="P1422" t="s">
        <v>24</v>
      </c>
      <c r="Q1422" t="s">
        <v>24</v>
      </c>
      <c r="R1422" t="s">
        <v>55</v>
      </c>
      <c r="S1422">
        <v>12</v>
      </c>
    </row>
    <row r="1423" spans="1:19" x14ac:dyDescent="0.3">
      <c r="A1423" s="1">
        <v>42714</v>
      </c>
      <c r="B1423">
        <v>2016</v>
      </c>
      <c r="C1423" t="s">
        <v>29</v>
      </c>
      <c r="D1423" s="4">
        <v>444584.20699999999</v>
      </c>
      <c r="E1423" s="2">
        <v>158000</v>
      </c>
      <c r="F1423" t="s">
        <v>30</v>
      </c>
      <c r="G1423" t="s">
        <v>31</v>
      </c>
      <c r="H1423">
        <v>4</v>
      </c>
      <c r="I1423">
        <v>4</v>
      </c>
      <c r="J1423">
        <v>1229</v>
      </c>
      <c r="K1423" s="5">
        <v>1.3482589999999999E-2</v>
      </c>
      <c r="L1423" t="s">
        <v>27</v>
      </c>
      <c r="M1423" s="4">
        <v>-286584.20699999999</v>
      </c>
      <c r="N1423" s="3">
        <v>128.5598</v>
      </c>
      <c r="O1423" t="s">
        <v>33</v>
      </c>
      <c r="P1423" t="s">
        <v>23</v>
      </c>
      <c r="Q1423" t="s">
        <v>24</v>
      </c>
      <c r="R1423" t="s">
        <v>55</v>
      </c>
      <c r="S1423">
        <v>12</v>
      </c>
    </row>
    <row r="1424" spans="1:19" x14ac:dyDescent="0.3">
      <c r="A1424" s="1">
        <v>42715</v>
      </c>
      <c r="B1424">
        <v>2016</v>
      </c>
      <c r="C1424" t="s">
        <v>18</v>
      </c>
      <c r="D1424" s="4">
        <v>94790</v>
      </c>
      <c r="E1424" s="2">
        <v>143000</v>
      </c>
      <c r="F1424" t="s">
        <v>19</v>
      </c>
      <c r="G1424" t="s">
        <v>20</v>
      </c>
      <c r="H1424">
        <v>3</v>
      </c>
      <c r="I1424">
        <v>3</v>
      </c>
      <c r="J1424">
        <v>1006</v>
      </c>
      <c r="K1424" s="5">
        <v>1.3482589999999999E-2</v>
      </c>
      <c r="L1424" t="s">
        <v>38</v>
      </c>
      <c r="M1424" s="4">
        <v>48210</v>
      </c>
      <c r="N1424" s="3">
        <v>142.14709999999999</v>
      </c>
      <c r="O1424" t="s">
        <v>22</v>
      </c>
      <c r="P1424" t="s">
        <v>23</v>
      </c>
      <c r="Q1424" t="s">
        <v>24</v>
      </c>
      <c r="R1424" t="s">
        <v>55</v>
      </c>
      <c r="S1424">
        <v>12</v>
      </c>
    </row>
    <row r="1425" spans="1:19" x14ac:dyDescent="0.3">
      <c r="A1425" s="1">
        <v>42716</v>
      </c>
      <c r="B1425">
        <v>2016</v>
      </c>
      <c r="C1425" t="s">
        <v>39</v>
      </c>
      <c r="D1425" s="4">
        <v>934780</v>
      </c>
      <c r="E1425" s="2">
        <v>1167500</v>
      </c>
      <c r="F1425" t="s">
        <v>19</v>
      </c>
      <c r="G1425" t="s">
        <v>20</v>
      </c>
      <c r="H1425">
        <v>3</v>
      </c>
      <c r="I1425">
        <v>1</v>
      </c>
      <c r="J1425">
        <v>1111.6589814177564</v>
      </c>
      <c r="K1425" s="5">
        <v>1.3482589999999999E-2</v>
      </c>
      <c r="L1425" t="s">
        <v>32</v>
      </c>
      <c r="M1425" s="4">
        <v>232720</v>
      </c>
      <c r="N1425" s="3">
        <v>1050.2320999999999</v>
      </c>
      <c r="O1425" t="s">
        <v>22</v>
      </c>
      <c r="P1425" t="s">
        <v>28</v>
      </c>
      <c r="Q1425" t="s">
        <v>24</v>
      </c>
      <c r="R1425" t="s">
        <v>55</v>
      </c>
      <c r="S1425">
        <v>12</v>
      </c>
    </row>
    <row r="1426" spans="1:19" x14ac:dyDescent="0.3">
      <c r="A1426" s="1">
        <v>42719</v>
      </c>
      <c r="B1426">
        <v>2016</v>
      </c>
      <c r="C1426" t="s">
        <v>56</v>
      </c>
      <c r="D1426" s="4">
        <v>436810</v>
      </c>
      <c r="E1426" s="2">
        <v>635000</v>
      </c>
      <c r="F1426" t="s">
        <v>19</v>
      </c>
      <c r="G1426" t="s">
        <v>20</v>
      </c>
      <c r="H1426">
        <v>3</v>
      </c>
      <c r="I1426">
        <v>3</v>
      </c>
      <c r="J1426">
        <v>900</v>
      </c>
      <c r="K1426" s="5">
        <v>1.3482589999999999E-2</v>
      </c>
      <c r="L1426" t="s">
        <v>21</v>
      </c>
      <c r="M1426" s="4">
        <v>198190</v>
      </c>
      <c r="N1426" s="3">
        <v>705.55560000000003</v>
      </c>
      <c r="O1426" t="s">
        <v>22</v>
      </c>
      <c r="P1426" t="s">
        <v>28</v>
      </c>
      <c r="Q1426" t="s">
        <v>24</v>
      </c>
      <c r="R1426" t="s">
        <v>55</v>
      </c>
      <c r="S1426">
        <v>12</v>
      </c>
    </row>
    <row r="1427" spans="1:19" x14ac:dyDescent="0.3">
      <c r="A1427" s="1">
        <v>42720</v>
      </c>
      <c r="B1427">
        <v>2016</v>
      </c>
      <c r="C1427" t="s">
        <v>29</v>
      </c>
      <c r="D1427" s="4">
        <v>137470</v>
      </c>
      <c r="E1427" s="2">
        <v>90000</v>
      </c>
      <c r="F1427" t="s">
        <v>19</v>
      </c>
      <c r="G1427" t="s">
        <v>20</v>
      </c>
      <c r="H1427">
        <v>3</v>
      </c>
      <c r="I1427">
        <v>1</v>
      </c>
      <c r="J1427">
        <v>1019</v>
      </c>
      <c r="K1427" s="5">
        <v>1.3482589999999999E-2</v>
      </c>
      <c r="L1427" t="s">
        <v>38</v>
      </c>
      <c r="M1427" s="4">
        <v>-47470</v>
      </c>
      <c r="N1427" s="3">
        <v>88.321899999999999</v>
      </c>
      <c r="O1427" t="s">
        <v>33</v>
      </c>
      <c r="P1427" t="s">
        <v>23</v>
      </c>
      <c r="Q1427" t="s">
        <v>24</v>
      </c>
      <c r="R1427" t="s">
        <v>55</v>
      </c>
      <c r="S1427">
        <v>12</v>
      </c>
    </row>
    <row r="1428" spans="1:19" x14ac:dyDescent="0.3">
      <c r="A1428" s="1">
        <v>42721</v>
      </c>
      <c r="B1428">
        <v>2016</v>
      </c>
      <c r="C1428" t="s">
        <v>26</v>
      </c>
      <c r="D1428" s="4">
        <v>307830</v>
      </c>
      <c r="E1428" s="2">
        <v>405000</v>
      </c>
      <c r="F1428" t="s">
        <v>19</v>
      </c>
      <c r="G1428" t="s">
        <v>20</v>
      </c>
      <c r="H1428">
        <v>3</v>
      </c>
      <c r="I1428">
        <v>3</v>
      </c>
      <c r="J1428">
        <v>915</v>
      </c>
      <c r="K1428" s="5">
        <v>1.3482589999999999E-2</v>
      </c>
      <c r="L1428" t="s">
        <v>21</v>
      </c>
      <c r="M1428" s="4">
        <v>97170</v>
      </c>
      <c r="N1428" s="3">
        <v>442.62299999999999</v>
      </c>
      <c r="O1428" t="s">
        <v>22</v>
      </c>
      <c r="P1428" t="s">
        <v>24</v>
      </c>
      <c r="Q1428" t="s">
        <v>24</v>
      </c>
      <c r="R1428" t="s">
        <v>55</v>
      </c>
      <c r="S1428">
        <v>12</v>
      </c>
    </row>
    <row r="1429" spans="1:19" x14ac:dyDescent="0.3">
      <c r="A1429" s="1">
        <v>42722</v>
      </c>
      <c r="B1429">
        <v>2016</v>
      </c>
      <c r="C1429" t="s">
        <v>18</v>
      </c>
      <c r="D1429" s="4">
        <v>155150</v>
      </c>
      <c r="E1429" s="2">
        <v>175000</v>
      </c>
      <c r="F1429" t="s">
        <v>19</v>
      </c>
      <c r="G1429" t="s">
        <v>20</v>
      </c>
      <c r="H1429">
        <v>3</v>
      </c>
      <c r="I1429">
        <v>1</v>
      </c>
      <c r="J1429">
        <v>947</v>
      </c>
      <c r="K1429" s="5">
        <v>1.3482589999999999E-2</v>
      </c>
      <c r="L1429" t="s">
        <v>27</v>
      </c>
      <c r="M1429" s="4">
        <v>19850</v>
      </c>
      <c r="N1429" s="3">
        <v>184.79409999999999</v>
      </c>
      <c r="O1429" t="s">
        <v>22</v>
      </c>
      <c r="P1429" t="s">
        <v>23</v>
      </c>
      <c r="Q1429" t="s">
        <v>24</v>
      </c>
      <c r="R1429" t="s">
        <v>55</v>
      </c>
      <c r="S1429">
        <v>12</v>
      </c>
    </row>
    <row r="1430" spans="1:19" x14ac:dyDescent="0.3">
      <c r="A1430" s="1">
        <v>42723</v>
      </c>
      <c r="B1430">
        <v>2016</v>
      </c>
      <c r="C1430" t="s">
        <v>35</v>
      </c>
      <c r="D1430" s="4">
        <v>796460</v>
      </c>
      <c r="E1430" s="2">
        <v>857500</v>
      </c>
      <c r="F1430" t="s">
        <v>19</v>
      </c>
      <c r="G1430" t="s">
        <v>20</v>
      </c>
      <c r="H1430">
        <v>3</v>
      </c>
      <c r="I1430">
        <v>3</v>
      </c>
      <c r="J1430">
        <v>996</v>
      </c>
      <c r="K1430" s="5">
        <v>1.3482589999999999E-2</v>
      </c>
      <c r="L1430" t="s">
        <v>27</v>
      </c>
      <c r="M1430" s="4">
        <v>61040</v>
      </c>
      <c r="N1430" s="3">
        <v>860.94380000000001</v>
      </c>
      <c r="O1430" t="s">
        <v>22</v>
      </c>
      <c r="P1430" t="s">
        <v>28</v>
      </c>
      <c r="Q1430" t="s">
        <v>24</v>
      </c>
      <c r="R1430" t="s">
        <v>55</v>
      </c>
      <c r="S1430">
        <v>12</v>
      </c>
    </row>
    <row r="1431" spans="1:19" x14ac:dyDescent="0.3">
      <c r="A1431" s="1">
        <v>42726</v>
      </c>
      <c r="B1431">
        <v>2016</v>
      </c>
      <c r="C1431" t="s">
        <v>18</v>
      </c>
      <c r="D1431" s="4">
        <v>81600</v>
      </c>
      <c r="E1431" s="2">
        <v>53000</v>
      </c>
      <c r="F1431" t="s">
        <v>19</v>
      </c>
      <c r="G1431" t="s">
        <v>20</v>
      </c>
      <c r="H1431">
        <v>3</v>
      </c>
      <c r="I1431">
        <v>3</v>
      </c>
      <c r="J1431">
        <v>1078</v>
      </c>
      <c r="K1431" s="5">
        <v>1.3482589999999999E-2</v>
      </c>
      <c r="L1431" t="s">
        <v>21</v>
      </c>
      <c r="M1431" s="4">
        <v>-28600</v>
      </c>
      <c r="N1431" s="3">
        <v>49.165100000000002</v>
      </c>
      <c r="O1431" t="s">
        <v>33</v>
      </c>
      <c r="P1431" t="s">
        <v>23</v>
      </c>
      <c r="Q1431" t="s">
        <v>24</v>
      </c>
      <c r="R1431" t="s">
        <v>55</v>
      </c>
      <c r="S1431">
        <v>12</v>
      </c>
    </row>
    <row r="1432" spans="1:19" x14ac:dyDescent="0.3">
      <c r="A1432" s="1">
        <v>42727</v>
      </c>
      <c r="B1432">
        <v>2016</v>
      </c>
      <c r="C1432" t="s">
        <v>40</v>
      </c>
      <c r="D1432" s="4">
        <v>107530</v>
      </c>
      <c r="E1432" s="2">
        <v>80000</v>
      </c>
      <c r="F1432" t="s">
        <v>19</v>
      </c>
      <c r="G1432" t="s">
        <v>20</v>
      </c>
      <c r="H1432">
        <v>3</v>
      </c>
      <c r="I1432">
        <v>1</v>
      </c>
      <c r="J1432">
        <v>985</v>
      </c>
      <c r="K1432" s="5">
        <v>1.3482589999999999E-2</v>
      </c>
      <c r="L1432" t="s">
        <v>38</v>
      </c>
      <c r="M1432" s="4">
        <v>-27530</v>
      </c>
      <c r="N1432" s="3">
        <v>81.218299999999999</v>
      </c>
      <c r="O1432" t="s">
        <v>33</v>
      </c>
      <c r="P1432" t="s">
        <v>23</v>
      </c>
      <c r="Q1432" t="s">
        <v>24</v>
      </c>
      <c r="R1432" t="s">
        <v>55</v>
      </c>
      <c r="S1432">
        <v>12</v>
      </c>
    </row>
    <row r="1433" spans="1:19" x14ac:dyDescent="0.3">
      <c r="A1433" s="1">
        <v>42728</v>
      </c>
      <c r="B1433">
        <v>2016</v>
      </c>
      <c r="C1433" t="s">
        <v>18</v>
      </c>
      <c r="D1433" s="4">
        <v>63270</v>
      </c>
      <c r="E1433" s="2">
        <v>26500</v>
      </c>
      <c r="F1433" t="s">
        <v>19</v>
      </c>
      <c r="G1433" t="s">
        <v>20</v>
      </c>
      <c r="H1433">
        <v>3</v>
      </c>
      <c r="I1433">
        <v>2</v>
      </c>
      <c r="J1433">
        <v>926</v>
      </c>
      <c r="K1433" s="5">
        <v>1.3482589999999999E-2</v>
      </c>
      <c r="L1433" t="s">
        <v>27</v>
      </c>
      <c r="M1433" s="4">
        <v>-36770</v>
      </c>
      <c r="N1433" s="3">
        <v>28.617699999999999</v>
      </c>
      <c r="O1433" t="s">
        <v>33</v>
      </c>
      <c r="P1433" t="s">
        <v>23</v>
      </c>
      <c r="Q1433" t="s">
        <v>24</v>
      </c>
      <c r="R1433" t="s">
        <v>55</v>
      </c>
      <c r="S1433">
        <v>12</v>
      </c>
    </row>
    <row r="1434" spans="1:19" x14ac:dyDescent="0.3">
      <c r="A1434" s="1">
        <v>42730</v>
      </c>
      <c r="B1434">
        <v>2016</v>
      </c>
      <c r="C1434" t="s">
        <v>18</v>
      </c>
      <c r="D1434" s="4">
        <v>103210</v>
      </c>
      <c r="E1434" s="2">
        <v>170000</v>
      </c>
      <c r="F1434" t="s">
        <v>19</v>
      </c>
      <c r="G1434" t="s">
        <v>20</v>
      </c>
      <c r="H1434">
        <v>3</v>
      </c>
      <c r="I1434">
        <v>3</v>
      </c>
      <c r="J1434">
        <v>986</v>
      </c>
      <c r="K1434" s="5">
        <v>1.3482589999999999E-2</v>
      </c>
      <c r="L1434" t="s">
        <v>27</v>
      </c>
      <c r="M1434" s="4">
        <v>66790</v>
      </c>
      <c r="N1434" s="3">
        <v>172.41380000000001</v>
      </c>
      <c r="O1434" t="s">
        <v>22</v>
      </c>
      <c r="P1434" t="s">
        <v>23</v>
      </c>
      <c r="Q1434" t="s">
        <v>24</v>
      </c>
      <c r="R1434" t="s">
        <v>55</v>
      </c>
      <c r="S1434">
        <v>12</v>
      </c>
    </row>
    <row r="1435" spans="1:19" x14ac:dyDescent="0.3">
      <c r="A1435" s="1">
        <v>42733</v>
      </c>
      <c r="B1435">
        <v>2016</v>
      </c>
      <c r="C1435" t="s">
        <v>18</v>
      </c>
      <c r="D1435" s="4">
        <v>58670</v>
      </c>
      <c r="E1435" s="2">
        <v>28000</v>
      </c>
      <c r="F1435" t="s">
        <v>19</v>
      </c>
      <c r="G1435" t="s">
        <v>20</v>
      </c>
      <c r="H1435">
        <v>3</v>
      </c>
      <c r="I1435">
        <v>3</v>
      </c>
      <c r="J1435">
        <v>1009</v>
      </c>
      <c r="K1435" s="5">
        <v>1.3482589999999999E-2</v>
      </c>
      <c r="L1435" t="s">
        <v>38</v>
      </c>
      <c r="M1435" s="4">
        <v>-30670</v>
      </c>
      <c r="N1435" s="3">
        <v>27.7502</v>
      </c>
      <c r="O1435" t="s">
        <v>33</v>
      </c>
      <c r="P1435" t="s">
        <v>23</v>
      </c>
      <c r="Q1435" t="s">
        <v>24</v>
      </c>
      <c r="R1435" t="s">
        <v>55</v>
      </c>
      <c r="S1435">
        <v>12</v>
      </c>
    </row>
    <row r="1436" spans="1:19" x14ac:dyDescent="0.3">
      <c r="A1436" s="1">
        <v>42734</v>
      </c>
      <c r="B1436">
        <v>2016</v>
      </c>
      <c r="C1436" t="s">
        <v>56</v>
      </c>
      <c r="D1436" s="4">
        <v>496170</v>
      </c>
      <c r="E1436" s="2">
        <v>945000</v>
      </c>
      <c r="F1436" t="s">
        <v>19</v>
      </c>
      <c r="G1436" t="s">
        <v>20</v>
      </c>
      <c r="H1436">
        <v>3</v>
      </c>
      <c r="I1436">
        <v>3</v>
      </c>
      <c r="J1436">
        <v>1052</v>
      </c>
      <c r="K1436" s="5">
        <v>1.3482589999999999E-2</v>
      </c>
      <c r="L1436" t="s">
        <v>21</v>
      </c>
      <c r="M1436" s="4">
        <v>448830</v>
      </c>
      <c r="N1436" s="3">
        <v>898.28899999999999</v>
      </c>
      <c r="O1436" t="s">
        <v>22</v>
      </c>
      <c r="P1436" t="s">
        <v>28</v>
      </c>
      <c r="Q1436" t="s">
        <v>24</v>
      </c>
      <c r="R1436" t="s">
        <v>55</v>
      </c>
      <c r="S1436">
        <v>12</v>
      </c>
    </row>
    <row r="1437" spans="1:19" x14ac:dyDescent="0.3">
      <c r="A1437" s="1">
        <v>42737</v>
      </c>
      <c r="B1437">
        <v>2017</v>
      </c>
      <c r="C1437" t="s">
        <v>18</v>
      </c>
      <c r="D1437" s="4">
        <v>84350</v>
      </c>
      <c r="E1437" s="2">
        <v>30000</v>
      </c>
      <c r="F1437" t="s">
        <v>19</v>
      </c>
      <c r="G1437" t="s">
        <v>20</v>
      </c>
      <c r="H1437">
        <v>3</v>
      </c>
      <c r="I1437">
        <v>3</v>
      </c>
      <c r="J1437">
        <v>914</v>
      </c>
      <c r="K1437" s="5">
        <v>1.3882830000000001E-2</v>
      </c>
      <c r="L1437" t="s">
        <v>32</v>
      </c>
      <c r="M1437" s="4">
        <v>-54350</v>
      </c>
      <c r="N1437" s="3">
        <v>32.822800000000001</v>
      </c>
      <c r="O1437" t="s">
        <v>33</v>
      </c>
      <c r="P1437" t="s">
        <v>23</v>
      </c>
      <c r="Q1437" t="s">
        <v>24</v>
      </c>
      <c r="R1437" t="s">
        <v>25</v>
      </c>
      <c r="S1437">
        <v>1</v>
      </c>
    </row>
    <row r="1438" spans="1:19" x14ac:dyDescent="0.3">
      <c r="A1438" s="1">
        <v>42740</v>
      </c>
      <c r="B1438">
        <v>2017</v>
      </c>
      <c r="C1438" t="s">
        <v>18</v>
      </c>
      <c r="D1438" s="4">
        <v>107450</v>
      </c>
      <c r="E1438" s="2">
        <v>110000</v>
      </c>
      <c r="F1438" t="s">
        <v>19</v>
      </c>
      <c r="G1438" t="s">
        <v>20</v>
      </c>
      <c r="H1438">
        <v>3</v>
      </c>
      <c r="I1438">
        <v>3</v>
      </c>
      <c r="J1438">
        <v>1057</v>
      </c>
      <c r="K1438" s="5">
        <v>1.3882830000000001E-2</v>
      </c>
      <c r="L1438" t="s">
        <v>21</v>
      </c>
      <c r="M1438" s="4">
        <v>2550</v>
      </c>
      <c r="N1438" s="3">
        <v>104.0681</v>
      </c>
      <c r="O1438" t="s">
        <v>22</v>
      </c>
      <c r="P1438" t="s">
        <v>23</v>
      </c>
      <c r="Q1438" t="s">
        <v>24</v>
      </c>
      <c r="R1438" t="s">
        <v>25</v>
      </c>
      <c r="S1438">
        <v>1</v>
      </c>
    </row>
    <row r="1439" spans="1:19" x14ac:dyDescent="0.3">
      <c r="A1439" s="1">
        <v>42741</v>
      </c>
      <c r="B1439">
        <v>2017</v>
      </c>
      <c r="C1439" t="s">
        <v>39</v>
      </c>
      <c r="D1439" s="4">
        <v>245210</v>
      </c>
      <c r="E1439" s="2">
        <v>350000</v>
      </c>
      <c r="F1439" t="s">
        <v>19</v>
      </c>
      <c r="G1439" t="s">
        <v>20</v>
      </c>
      <c r="H1439">
        <v>3</v>
      </c>
      <c r="I1439">
        <v>3</v>
      </c>
      <c r="J1439">
        <v>1111.6589814177564</v>
      </c>
      <c r="K1439" s="5">
        <v>1.3882830000000001E-2</v>
      </c>
      <c r="L1439" t="s">
        <v>27</v>
      </c>
      <c r="M1439" s="4">
        <v>104790</v>
      </c>
      <c r="N1439" s="3">
        <v>314.84480000000002</v>
      </c>
      <c r="O1439" t="s">
        <v>22</v>
      </c>
      <c r="P1439" t="s">
        <v>24</v>
      </c>
      <c r="Q1439" t="s">
        <v>24</v>
      </c>
      <c r="R1439" t="s">
        <v>25</v>
      </c>
      <c r="S1439">
        <v>1</v>
      </c>
    </row>
    <row r="1440" spans="1:19" x14ac:dyDescent="0.3">
      <c r="A1440" s="1">
        <v>42742</v>
      </c>
      <c r="B1440">
        <v>2017</v>
      </c>
      <c r="C1440" t="s">
        <v>35</v>
      </c>
      <c r="D1440" s="4">
        <v>1194550</v>
      </c>
      <c r="E1440" s="2">
        <v>710000</v>
      </c>
      <c r="F1440" t="s">
        <v>19</v>
      </c>
      <c r="G1440" t="s">
        <v>20</v>
      </c>
      <c r="H1440">
        <v>3</v>
      </c>
      <c r="I1440">
        <v>2</v>
      </c>
      <c r="J1440">
        <v>1111.6589814177564</v>
      </c>
      <c r="K1440" s="5">
        <v>1.3882830000000001E-2</v>
      </c>
      <c r="L1440" t="s">
        <v>32</v>
      </c>
      <c r="M1440" s="4">
        <v>-484550</v>
      </c>
      <c r="N1440" s="3">
        <v>638.68510000000003</v>
      </c>
      <c r="O1440" t="s">
        <v>33</v>
      </c>
      <c r="P1440" t="s">
        <v>28</v>
      </c>
      <c r="Q1440" t="s">
        <v>24</v>
      </c>
      <c r="R1440" t="s">
        <v>25</v>
      </c>
      <c r="S1440">
        <v>1</v>
      </c>
    </row>
    <row r="1441" spans="1:19" x14ac:dyDescent="0.3">
      <c r="A1441" s="1">
        <v>42744</v>
      </c>
      <c r="B1441">
        <v>2017</v>
      </c>
      <c r="C1441" t="s">
        <v>56</v>
      </c>
      <c r="D1441" s="4">
        <v>219580</v>
      </c>
      <c r="E1441" s="2">
        <v>530000</v>
      </c>
      <c r="F1441" t="s">
        <v>36</v>
      </c>
      <c r="G1441" t="s">
        <v>37</v>
      </c>
      <c r="H1441">
        <v>6</v>
      </c>
      <c r="I1441">
        <v>5</v>
      </c>
      <c r="J1441">
        <v>1111.6589814177564</v>
      </c>
      <c r="K1441" s="5">
        <v>1.3882830000000001E-2</v>
      </c>
      <c r="L1441" t="s">
        <v>27</v>
      </c>
      <c r="M1441" s="4">
        <v>310420</v>
      </c>
      <c r="N1441" s="3">
        <v>476.76490000000001</v>
      </c>
      <c r="O1441" t="s">
        <v>22</v>
      </c>
      <c r="P1441" t="s">
        <v>24</v>
      </c>
      <c r="Q1441" t="s">
        <v>24</v>
      </c>
      <c r="R1441" t="s">
        <v>25</v>
      </c>
      <c r="S1441">
        <v>1</v>
      </c>
    </row>
    <row r="1442" spans="1:19" x14ac:dyDescent="0.3">
      <c r="A1442" s="1">
        <v>42747</v>
      </c>
      <c r="B1442">
        <v>2017</v>
      </c>
      <c r="C1442" t="s">
        <v>26</v>
      </c>
      <c r="D1442" s="4">
        <v>255270</v>
      </c>
      <c r="E1442" s="2">
        <v>360000</v>
      </c>
      <c r="F1442" t="s">
        <v>19</v>
      </c>
      <c r="G1442" t="s">
        <v>20</v>
      </c>
      <c r="H1442">
        <v>3</v>
      </c>
      <c r="I1442">
        <v>2</v>
      </c>
      <c r="J1442">
        <v>1040</v>
      </c>
      <c r="K1442" s="5">
        <v>1.3882830000000001E-2</v>
      </c>
      <c r="L1442" t="s">
        <v>38</v>
      </c>
      <c r="M1442" s="4">
        <v>104730</v>
      </c>
      <c r="N1442" s="3">
        <v>346.15379999999999</v>
      </c>
      <c r="O1442" t="s">
        <v>22</v>
      </c>
      <c r="P1442" t="s">
        <v>24</v>
      </c>
      <c r="Q1442" t="s">
        <v>24</v>
      </c>
      <c r="R1442" t="s">
        <v>25</v>
      </c>
      <c r="S1442">
        <v>1</v>
      </c>
    </row>
    <row r="1443" spans="1:19" x14ac:dyDescent="0.3">
      <c r="A1443" s="1">
        <v>42748</v>
      </c>
      <c r="B1443">
        <v>2017</v>
      </c>
      <c r="C1443" t="s">
        <v>39</v>
      </c>
      <c r="D1443" s="4">
        <v>273560</v>
      </c>
      <c r="E1443" s="2">
        <v>859000</v>
      </c>
      <c r="F1443" t="s">
        <v>19</v>
      </c>
      <c r="G1443" t="s">
        <v>20</v>
      </c>
      <c r="H1443">
        <v>3</v>
      </c>
      <c r="I1443">
        <v>2</v>
      </c>
      <c r="J1443">
        <v>907</v>
      </c>
      <c r="K1443" s="5">
        <v>1.3882830000000001E-2</v>
      </c>
      <c r="L1443" t="s">
        <v>27</v>
      </c>
      <c r="M1443" s="4">
        <v>585440</v>
      </c>
      <c r="N1443" s="3">
        <v>947.07830000000001</v>
      </c>
      <c r="O1443" t="s">
        <v>22</v>
      </c>
      <c r="P1443" t="s">
        <v>28</v>
      </c>
      <c r="Q1443" t="s">
        <v>24</v>
      </c>
      <c r="R1443" t="s">
        <v>25</v>
      </c>
      <c r="S1443">
        <v>1</v>
      </c>
    </row>
    <row r="1444" spans="1:19" x14ac:dyDescent="0.3">
      <c r="A1444" s="1">
        <v>42751</v>
      </c>
      <c r="B1444">
        <v>2017</v>
      </c>
      <c r="C1444" t="s">
        <v>35</v>
      </c>
      <c r="D1444" s="4">
        <v>1082970</v>
      </c>
      <c r="E1444" s="2">
        <v>1385000</v>
      </c>
      <c r="F1444" t="s">
        <v>19</v>
      </c>
      <c r="G1444" t="s">
        <v>20</v>
      </c>
      <c r="H1444">
        <v>3</v>
      </c>
      <c r="I1444">
        <v>3</v>
      </c>
      <c r="J1444">
        <v>1025</v>
      </c>
      <c r="K1444" s="5">
        <v>1.3882830000000001E-2</v>
      </c>
      <c r="L1444" t="s">
        <v>21</v>
      </c>
      <c r="M1444" s="4">
        <v>302030</v>
      </c>
      <c r="N1444" s="3">
        <v>1351.2194999999999</v>
      </c>
      <c r="O1444" t="s">
        <v>22</v>
      </c>
      <c r="P1444" t="s">
        <v>28</v>
      </c>
      <c r="Q1444" t="s">
        <v>24</v>
      </c>
      <c r="R1444" t="s">
        <v>25</v>
      </c>
      <c r="S1444">
        <v>1</v>
      </c>
    </row>
    <row r="1445" spans="1:19" x14ac:dyDescent="0.3">
      <c r="A1445" s="1">
        <v>42755</v>
      </c>
      <c r="B1445">
        <v>2017</v>
      </c>
      <c r="C1445" t="s">
        <v>39</v>
      </c>
      <c r="D1445" s="4">
        <v>444584.20699999999</v>
      </c>
      <c r="E1445" s="2">
        <v>557500</v>
      </c>
      <c r="F1445" t="s">
        <v>19</v>
      </c>
      <c r="G1445" t="s">
        <v>20</v>
      </c>
      <c r="H1445">
        <v>3</v>
      </c>
      <c r="I1445">
        <v>3</v>
      </c>
      <c r="J1445">
        <v>934</v>
      </c>
      <c r="K1445" s="5">
        <v>1.3882830000000001E-2</v>
      </c>
      <c r="L1445" t="s">
        <v>32</v>
      </c>
      <c r="M1445" s="4">
        <v>112915.79300000001</v>
      </c>
      <c r="N1445" s="3">
        <v>596.89509999999996</v>
      </c>
      <c r="O1445" t="s">
        <v>22</v>
      </c>
      <c r="P1445" t="s">
        <v>24</v>
      </c>
      <c r="Q1445" t="s">
        <v>24</v>
      </c>
      <c r="R1445" t="s">
        <v>25</v>
      </c>
      <c r="S1445">
        <v>1</v>
      </c>
    </row>
    <row r="1446" spans="1:19" x14ac:dyDescent="0.3">
      <c r="A1446" s="1">
        <v>42756</v>
      </c>
      <c r="B1446">
        <v>2017</v>
      </c>
      <c r="C1446" t="s">
        <v>29</v>
      </c>
      <c r="D1446" s="4">
        <v>142890</v>
      </c>
      <c r="E1446" s="2">
        <v>145000</v>
      </c>
      <c r="F1446" t="s">
        <v>19</v>
      </c>
      <c r="G1446" t="s">
        <v>20</v>
      </c>
      <c r="H1446">
        <v>3</v>
      </c>
      <c r="I1446">
        <v>3</v>
      </c>
      <c r="J1446">
        <v>1111.6589814177564</v>
      </c>
      <c r="K1446" s="5">
        <v>1.3882830000000001E-2</v>
      </c>
      <c r="L1446" t="s">
        <v>32</v>
      </c>
      <c r="M1446" s="4">
        <v>2110</v>
      </c>
      <c r="N1446" s="3">
        <v>130.4357</v>
      </c>
      <c r="O1446" t="s">
        <v>22</v>
      </c>
      <c r="P1446" t="s">
        <v>23</v>
      </c>
      <c r="Q1446" t="s">
        <v>24</v>
      </c>
      <c r="R1446" t="s">
        <v>25</v>
      </c>
      <c r="S1446">
        <v>1</v>
      </c>
    </row>
    <row r="1447" spans="1:19" x14ac:dyDescent="0.3">
      <c r="A1447" s="1">
        <v>42757</v>
      </c>
      <c r="B1447">
        <v>2017</v>
      </c>
      <c r="C1447" t="s">
        <v>18</v>
      </c>
      <c r="D1447" s="4">
        <v>113850</v>
      </c>
      <c r="E1447" s="2">
        <v>264000</v>
      </c>
      <c r="F1447" t="s">
        <v>19</v>
      </c>
      <c r="G1447" t="s">
        <v>20</v>
      </c>
      <c r="H1447">
        <v>3</v>
      </c>
      <c r="I1447">
        <v>1</v>
      </c>
      <c r="J1447">
        <v>1111.6589814177564</v>
      </c>
      <c r="K1447" s="5">
        <v>1.3882830000000001E-2</v>
      </c>
      <c r="L1447" t="s">
        <v>21</v>
      </c>
      <c r="M1447" s="4">
        <v>150150</v>
      </c>
      <c r="N1447" s="3">
        <v>237.4829</v>
      </c>
      <c r="O1447" t="s">
        <v>22</v>
      </c>
      <c r="P1447" t="s">
        <v>24</v>
      </c>
      <c r="Q1447" t="s">
        <v>24</v>
      </c>
      <c r="R1447" t="s">
        <v>25</v>
      </c>
      <c r="S1447">
        <v>1</v>
      </c>
    </row>
    <row r="1448" spans="1:19" x14ac:dyDescent="0.3">
      <c r="A1448" s="1">
        <v>42758</v>
      </c>
      <c r="B1448">
        <v>2017</v>
      </c>
      <c r="C1448" t="s">
        <v>56</v>
      </c>
      <c r="D1448" s="4">
        <v>323980</v>
      </c>
      <c r="E1448" s="2">
        <v>486500</v>
      </c>
      <c r="F1448" t="s">
        <v>19</v>
      </c>
      <c r="G1448" t="s">
        <v>20</v>
      </c>
      <c r="H1448">
        <v>3</v>
      </c>
      <c r="I1448">
        <v>3</v>
      </c>
      <c r="J1448">
        <v>956</v>
      </c>
      <c r="K1448" s="5">
        <v>1.3882830000000001E-2</v>
      </c>
      <c r="L1448" t="s">
        <v>38</v>
      </c>
      <c r="M1448" s="4">
        <v>162520</v>
      </c>
      <c r="N1448" s="3">
        <v>508.89120000000003</v>
      </c>
      <c r="O1448" t="s">
        <v>22</v>
      </c>
      <c r="P1448" t="s">
        <v>24</v>
      </c>
      <c r="Q1448" t="s">
        <v>24</v>
      </c>
      <c r="R1448" t="s">
        <v>25</v>
      </c>
      <c r="S1448">
        <v>1</v>
      </c>
    </row>
    <row r="1449" spans="1:19" x14ac:dyDescent="0.3">
      <c r="A1449" s="1">
        <v>42761</v>
      </c>
      <c r="B1449">
        <v>2017</v>
      </c>
      <c r="C1449" t="s">
        <v>52</v>
      </c>
      <c r="D1449" s="4">
        <v>212940</v>
      </c>
      <c r="E1449" s="2">
        <v>267500</v>
      </c>
      <c r="F1449" t="s">
        <v>19</v>
      </c>
      <c r="G1449" t="s">
        <v>20</v>
      </c>
      <c r="H1449">
        <v>3</v>
      </c>
      <c r="I1449">
        <v>3</v>
      </c>
      <c r="J1449">
        <v>939</v>
      </c>
      <c r="K1449" s="5">
        <v>1.3882830000000001E-2</v>
      </c>
      <c r="L1449" t="s">
        <v>21</v>
      </c>
      <c r="M1449" s="4">
        <v>54560</v>
      </c>
      <c r="N1449" s="3">
        <v>284.8775</v>
      </c>
      <c r="O1449" t="s">
        <v>22</v>
      </c>
      <c r="P1449" t="s">
        <v>24</v>
      </c>
      <c r="Q1449" t="s">
        <v>24</v>
      </c>
      <c r="R1449" t="s">
        <v>25</v>
      </c>
      <c r="S1449">
        <v>1</v>
      </c>
    </row>
    <row r="1450" spans="1:19" x14ac:dyDescent="0.3">
      <c r="A1450" s="1">
        <v>42763</v>
      </c>
      <c r="B1450">
        <v>2017</v>
      </c>
      <c r="C1450" t="s">
        <v>29</v>
      </c>
      <c r="D1450" s="4">
        <v>168250</v>
      </c>
      <c r="E1450" s="2">
        <v>126750</v>
      </c>
      <c r="F1450" t="s">
        <v>30</v>
      </c>
      <c r="G1450" t="s">
        <v>31</v>
      </c>
      <c r="H1450">
        <v>4</v>
      </c>
      <c r="I1450">
        <v>3</v>
      </c>
      <c r="J1450">
        <v>1416</v>
      </c>
      <c r="K1450" s="5">
        <v>1.3882830000000001E-2</v>
      </c>
      <c r="L1450" t="s">
        <v>27</v>
      </c>
      <c r="M1450" s="4">
        <v>-41500</v>
      </c>
      <c r="N1450" s="3">
        <v>89.512699999999995</v>
      </c>
      <c r="O1450" t="s">
        <v>33</v>
      </c>
      <c r="P1450" t="s">
        <v>23</v>
      </c>
      <c r="Q1450" t="s">
        <v>34</v>
      </c>
      <c r="R1450" t="s">
        <v>25</v>
      </c>
      <c r="S1450">
        <v>1</v>
      </c>
    </row>
    <row r="1451" spans="1:19" x14ac:dyDescent="0.3">
      <c r="A1451" s="1">
        <v>42764</v>
      </c>
      <c r="B1451">
        <v>2017</v>
      </c>
      <c r="C1451" t="s">
        <v>40</v>
      </c>
      <c r="D1451" s="4">
        <v>129290</v>
      </c>
      <c r="E1451" s="2">
        <v>65100</v>
      </c>
      <c r="F1451" t="s">
        <v>19</v>
      </c>
      <c r="G1451" t="s">
        <v>20</v>
      </c>
      <c r="H1451">
        <v>3</v>
      </c>
      <c r="I1451">
        <v>1</v>
      </c>
      <c r="J1451">
        <v>1061</v>
      </c>
      <c r="K1451" s="5">
        <v>1.3882830000000001E-2</v>
      </c>
      <c r="L1451" t="s">
        <v>32</v>
      </c>
      <c r="M1451" s="4">
        <v>-64190</v>
      </c>
      <c r="N1451" s="3">
        <v>61.357199999999999</v>
      </c>
      <c r="O1451" t="s">
        <v>33</v>
      </c>
      <c r="P1451" t="s">
        <v>23</v>
      </c>
      <c r="Q1451" t="s">
        <v>24</v>
      </c>
      <c r="R1451" t="s">
        <v>25</v>
      </c>
      <c r="S1451">
        <v>1</v>
      </c>
    </row>
    <row r="1452" spans="1:19" x14ac:dyDescent="0.3">
      <c r="A1452" s="1">
        <v>42769</v>
      </c>
      <c r="B1452">
        <v>2017</v>
      </c>
      <c r="C1452" t="s">
        <v>29</v>
      </c>
      <c r="D1452" s="4">
        <v>160490</v>
      </c>
      <c r="E1452" s="2">
        <v>89900</v>
      </c>
      <c r="F1452" t="s">
        <v>19</v>
      </c>
      <c r="G1452" t="s">
        <v>20</v>
      </c>
      <c r="H1452">
        <v>3</v>
      </c>
      <c r="I1452">
        <v>2</v>
      </c>
      <c r="J1452">
        <v>1055</v>
      </c>
      <c r="K1452" s="5">
        <v>1.3882830000000001E-2</v>
      </c>
      <c r="L1452" t="s">
        <v>27</v>
      </c>
      <c r="M1452" s="4">
        <v>-70590</v>
      </c>
      <c r="N1452" s="3">
        <v>85.213300000000004</v>
      </c>
      <c r="O1452" t="s">
        <v>33</v>
      </c>
      <c r="P1452" t="s">
        <v>23</v>
      </c>
      <c r="Q1452" t="s">
        <v>24</v>
      </c>
      <c r="R1452" t="s">
        <v>41</v>
      </c>
      <c r="S1452">
        <v>2</v>
      </c>
    </row>
    <row r="1453" spans="1:19" x14ac:dyDescent="0.3">
      <c r="A1453" s="1">
        <v>42770</v>
      </c>
      <c r="B1453">
        <v>2017</v>
      </c>
      <c r="C1453" t="s">
        <v>52</v>
      </c>
      <c r="D1453" s="4">
        <v>149800</v>
      </c>
      <c r="E1453" s="2">
        <v>259000</v>
      </c>
      <c r="F1453" t="s">
        <v>19</v>
      </c>
      <c r="G1453" t="s">
        <v>20</v>
      </c>
      <c r="H1453">
        <v>3</v>
      </c>
      <c r="I1453">
        <v>1</v>
      </c>
      <c r="J1453">
        <v>1057</v>
      </c>
      <c r="K1453" s="5">
        <v>1.3882830000000001E-2</v>
      </c>
      <c r="L1453" t="s">
        <v>21</v>
      </c>
      <c r="M1453" s="4">
        <v>109200</v>
      </c>
      <c r="N1453" s="3">
        <v>245.03309999999999</v>
      </c>
      <c r="O1453" t="s">
        <v>22</v>
      </c>
      <c r="P1453" t="s">
        <v>24</v>
      </c>
      <c r="Q1453" t="s">
        <v>24</v>
      </c>
      <c r="R1453" t="s">
        <v>41</v>
      </c>
      <c r="S1453">
        <v>2</v>
      </c>
    </row>
    <row r="1454" spans="1:19" x14ac:dyDescent="0.3">
      <c r="A1454" s="1">
        <v>42775</v>
      </c>
      <c r="B1454">
        <v>2017</v>
      </c>
      <c r="C1454" t="s">
        <v>35</v>
      </c>
      <c r="D1454" s="4">
        <v>267960</v>
      </c>
      <c r="E1454" s="2">
        <v>360000</v>
      </c>
      <c r="F1454" t="s">
        <v>19</v>
      </c>
      <c r="G1454" t="s">
        <v>20</v>
      </c>
      <c r="H1454">
        <v>3</v>
      </c>
      <c r="I1454">
        <v>2</v>
      </c>
      <c r="J1454">
        <v>900</v>
      </c>
      <c r="K1454" s="5">
        <v>1.3882830000000001E-2</v>
      </c>
      <c r="L1454" t="s">
        <v>27</v>
      </c>
      <c r="M1454" s="4">
        <v>92040</v>
      </c>
      <c r="N1454" s="3">
        <v>400</v>
      </c>
      <c r="O1454" t="s">
        <v>22</v>
      </c>
      <c r="P1454" t="s">
        <v>24</v>
      </c>
      <c r="Q1454" t="s">
        <v>24</v>
      </c>
      <c r="R1454" t="s">
        <v>41</v>
      </c>
      <c r="S1454">
        <v>2</v>
      </c>
    </row>
    <row r="1455" spans="1:19" x14ac:dyDescent="0.3">
      <c r="A1455" s="1">
        <v>42777</v>
      </c>
      <c r="B1455">
        <v>2017</v>
      </c>
      <c r="C1455" t="s">
        <v>35</v>
      </c>
      <c r="D1455" s="4">
        <v>4952920</v>
      </c>
      <c r="E1455" s="2">
        <v>6750000</v>
      </c>
      <c r="F1455" t="s">
        <v>19</v>
      </c>
      <c r="G1455" t="s">
        <v>20</v>
      </c>
      <c r="H1455">
        <v>3</v>
      </c>
      <c r="I1455">
        <v>3</v>
      </c>
      <c r="J1455">
        <v>1067</v>
      </c>
      <c r="K1455" s="5">
        <v>1.3882830000000001E-2</v>
      </c>
      <c r="L1455" t="s">
        <v>27</v>
      </c>
      <c r="M1455" s="4">
        <v>1797080</v>
      </c>
      <c r="N1455" s="3">
        <v>6326.1481000000003</v>
      </c>
      <c r="O1455" t="s">
        <v>22</v>
      </c>
      <c r="P1455" t="s">
        <v>28</v>
      </c>
      <c r="Q1455" t="s">
        <v>24</v>
      </c>
      <c r="R1455" t="s">
        <v>41</v>
      </c>
      <c r="S1455">
        <v>2</v>
      </c>
    </row>
    <row r="1456" spans="1:19" x14ac:dyDescent="0.3">
      <c r="A1456" s="1">
        <v>42783</v>
      </c>
      <c r="B1456">
        <v>2017</v>
      </c>
      <c r="C1456" t="s">
        <v>40</v>
      </c>
      <c r="D1456" s="4">
        <v>79500</v>
      </c>
      <c r="E1456" s="2">
        <v>69900</v>
      </c>
      <c r="F1456" t="s">
        <v>19</v>
      </c>
      <c r="G1456" t="s">
        <v>20</v>
      </c>
      <c r="H1456">
        <v>3</v>
      </c>
      <c r="I1456">
        <v>2</v>
      </c>
      <c r="J1456">
        <v>963</v>
      </c>
      <c r="K1456" s="5">
        <v>1.3882830000000001E-2</v>
      </c>
      <c r="L1456" t="s">
        <v>32</v>
      </c>
      <c r="M1456" s="4">
        <v>-9600</v>
      </c>
      <c r="N1456" s="3">
        <v>72.585700000000003</v>
      </c>
      <c r="O1456" t="s">
        <v>33</v>
      </c>
      <c r="P1456" t="s">
        <v>23</v>
      </c>
      <c r="Q1456" t="s">
        <v>24</v>
      </c>
      <c r="R1456" t="s">
        <v>41</v>
      </c>
      <c r="S1456">
        <v>2</v>
      </c>
    </row>
    <row r="1457" spans="1:19" x14ac:dyDescent="0.3">
      <c r="A1457" s="1">
        <v>42784</v>
      </c>
      <c r="B1457">
        <v>2017</v>
      </c>
      <c r="C1457" t="s">
        <v>29</v>
      </c>
      <c r="D1457" s="4">
        <v>165460</v>
      </c>
      <c r="E1457" s="2">
        <v>64000</v>
      </c>
      <c r="F1457" t="s">
        <v>30</v>
      </c>
      <c r="G1457" t="s">
        <v>31</v>
      </c>
      <c r="H1457">
        <v>4</v>
      </c>
      <c r="I1457">
        <v>4</v>
      </c>
      <c r="J1457">
        <v>1221</v>
      </c>
      <c r="K1457" s="5">
        <v>1.3882830000000001E-2</v>
      </c>
      <c r="L1457" t="s">
        <v>27</v>
      </c>
      <c r="M1457" s="4">
        <v>-101460</v>
      </c>
      <c r="N1457" s="3">
        <v>52.4161</v>
      </c>
      <c r="O1457" t="s">
        <v>33</v>
      </c>
      <c r="P1457" t="s">
        <v>23</v>
      </c>
      <c r="Q1457" t="s">
        <v>24</v>
      </c>
      <c r="R1457" t="s">
        <v>41</v>
      </c>
      <c r="S1457">
        <v>2</v>
      </c>
    </row>
    <row r="1458" spans="1:19" x14ac:dyDescent="0.3">
      <c r="A1458" s="1">
        <v>42785</v>
      </c>
      <c r="B1458">
        <v>2017</v>
      </c>
      <c r="C1458" t="s">
        <v>35</v>
      </c>
      <c r="D1458" s="4">
        <v>1137780</v>
      </c>
      <c r="E1458" s="2">
        <v>1750000</v>
      </c>
      <c r="F1458" t="s">
        <v>19</v>
      </c>
      <c r="G1458" t="s">
        <v>20</v>
      </c>
      <c r="H1458">
        <v>3</v>
      </c>
      <c r="I1458">
        <v>3</v>
      </c>
      <c r="J1458">
        <v>982</v>
      </c>
      <c r="K1458" s="5">
        <v>1.3882830000000001E-2</v>
      </c>
      <c r="L1458" t="s">
        <v>38</v>
      </c>
      <c r="M1458" s="4">
        <v>612220</v>
      </c>
      <c r="N1458" s="3">
        <v>1782.0773999999999</v>
      </c>
      <c r="O1458" t="s">
        <v>22</v>
      </c>
      <c r="P1458" t="s">
        <v>28</v>
      </c>
      <c r="Q1458" t="s">
        <v>24</v>
      </c>
      <c r="R1458" t="s">
        <v>41</v>
      </c>
      <c r="S1458">
        <v>2</v>
      </c>
    </row>
    <row r="1459" spans="1:19" x14ac:dyDescent="0.3">
      <c r="A1459" s="1">
        <v>42789</v>
      </c>
      <c r="B1459">
        <v>2017</v>
      </c>
      <c r="C1459" t="s">
        <v>56</v>
      </c>
      <c r="D1459" s="4">
        <v>227620</v>
      </c>
      <c r="E1459" s="2">
        <v>350000</v>
      </c>
      <c r="F1459" t="s">
        <v>19</v>
      </c>
      <c r="G1459" t="s">
        <v>20</v>
      </c>
      <c r="H1459">
        <v>3</v>
      </c>
      <c r="I1459">
        <v>1</v>
      </c>
      <c r="J1459">
        <v>947</v>
      </c>
      <c r="K1459" s="5">
        <v>1.3882830000000001E-2</v>
      </c>
      <c r="L1459" t="s">
        <v>32</v>
      </c>
      <c r="M1459" s="4">
        <v>122380</v>
      </c>
      <c r="N1459" s="3">
        <v>369.58819999999997</v>
      </c>
      <c r="O1459" t="s">
        <v>22</v>
      </c>
      <c r="P1459" t="s">
        <v>24</v>
      </c>
      <c r="Q1459" t="s">
        <v>24</v>
      </c>
      <c r="R1459" t="s">
        <v>41</v>
      </c>
      <c r="S1459">
        <v>2</v>
      </c>
    </row>
    <row r="1460" spans="1:19" x14ac:dyDescent="0.3">
      <c r="A1460" s="1">
        <v>42790</v>
      </c>
      <c r="B1460">
        <v>2017</v>
      </c>
      <c r="C1460" t="s">
        <v>39</v>
      </c>
      <c r="D1460" s="4">
        <v>270340</v>
      </c>
      <c r="E1460" s="2">
        <v>735000</v>
      </c>
      <c r="F1460" t="s">
        <v>19</v>
      </c>
      <c r="G1460" t="s">
        <v>20</v>
      </c>
      <c r="H1460">
        <v>3</v>
      </c>
      <c r="I1460">
        <v>1</v>
      </c>
      <c r="J1460">
        <v>1091</v>
      </c>
      <c r="K1460" s="5">
        <v>1.3882830000000001E-2</v>
      </c>
      <c r="L1460" t="s">
        <v>38</v>
      </c>
      <c r="M1460" s="4">
        <v>464660</v>
      </c>
      <c r="N1460" s="3">
        <v>673.69389999999999</v>
      </c>
      <c r="O1460" t="s">
        <v>22</v>
      </c>
      <c r="P1460" t="s">
        <v>28</v>
      </c>
      <c r="Q1460" t="s">
        <v>24</v>
      </c>
      <c r="R1460" t="s">
        <v>41</v>
      </c>
      <c r="S1460">
        <v>2</v>
      </c>
    </row>
    <row r="1461" spans="1:19" x14ac:dyDescent="0.3">
      <c r="A1461" s="1">
        <v>42791</v>
      </c>
      <c r="B1461">
        <v>2017</v>
      </c>
      <c r="C1461" t="s">
        <v>35</v>
      </c>
      <c r="D1461" s="4">
        <v>1229760</v>
      </c>
      <c r="E1461" s="2">
        <v>1825000</v>
      </c>
      <c r="F1461" t="s">
        <v>19</v>
      </c>
      <c r="G1461" t="s">
        <v>20</v>
      </c>
      <c r="H1461">
        <v>3</v>
      </c>
      <c r="I1461">
        <v>2</v>
      </c>
      <c r="J1461">
        <v>1078</v>
      </c>
      <c r="K1461" s="5">
        <v>1.3882830000000001E-2</v>
      </c>
      <c r="L1461" t="s">
        <v>38</v>
      </c>
      <c r="M1461" s="4">
        <v>595240</v>
      </c>
      <c r="N1461" s="3">
        <v>1692.9499000000001</v>
      </c>
      <c r="O1461" t="s">
        <v>22</v>
      </c>
      <c r="P1461" t="s">
        <v>28</v>
      </c>
      <c r="Q1461" t="s">
        <v>24</v>
      </c>
      <c r="R1461" t="s">
        <v>41</v>
      </c>
      <c r="S1461">
        <v>2</v>
      </c>
    </row>
    <row r="1462" spans="1:19" x14ac:dyDescent="0.3">
      <c r="A1462" s="1">
        <v>42792</v>
      </c>
      <c r="B1462">
        <v>2017</v>
      </c>
      <c r="C1462" t="s">
        <v>26</v>
      </c>
      <c r="D1462" s="4">
        <v>280460</v>
      </c>
      <c r="E1462" s="2">
        <v>380000</v>
      </c>
      <c r="F1462" t="s">
        <v>19</v>
      </c>
      <c r="G1462" t="s">
        <v>20</v>
      </c>
      <c r="H1462">
        <v>3</v>
      </c>
      <c r="I1462">
        <v>3</v>
      </c>
      <c r="J1462">
        <v>978</v>
      </c>
      <c r="K1462" s="5">
        <v>1.3882830000000001E-2</v>
      </c>
      <c r="L1462" t="s">
        <v>32</v>
      </c>
      <c r="M1462" s="4">
        <v>99540</v>
      </c>
      <c r="N1462" s="3">
        <v>388.54809999999998</v>
      </c>
      <c r="O1462" t="s">
        <v>22</v>
      </c>
      <c r="P1462" t="s">
        <v>24</v>
      </c>
      <c r="Q1462" t="s">
        <v>24</v>
      </c>
      <c r="R1462" t="s">
        <v>41</v>
      </c>
      <c r="S1462">
        <v>2</v>
      </c>
    </row>
    <row r="1463" spans="1:19" x14ac:dyDescent="0.3">
      <c r="A1463" s="1">
        <v>42793</v>
      </c>
      <c r="B1463">
        <v>2017</v>
      </c>
      <c r="C1463" t="s">
        <v>40</v>
      </c>
      <c r="D1463" s="4">
        <v>663180</v>
      </c>
      <c r="E1463" s="2">
        <v>2045000</v>
      </c>
      <c r="F1463" t="s">
        <v>19</v>
      </c>
      <c r="G1463" t="s">
        <v>20</v>
      </c>
      <c r="H1463">
        <v>3</v>
      </c>
      <c r="I1463">
        <v>2</v>
      </c>
      <c r="J1463">
        <v>911</v>
      </c>
      <c r="K1463" s="5">
        <v>1.3882830000000001E-2</v>
      </c>
      <c r="L1463" t="s">
        <v>21</v>
      </c>
      <c r="M1463" s="4">
        <v>1381820</v>
      </c>
      <c r="N1463" s="3">
        <v>2244.7858999999999</v>
      </c>
      <c r="O1463" t="s">
        <v>22</v>
      </c>
      <c r="P1463" t="s">
        <v>28</v>
      </c>
      <c r="Q1463" t="s">
        <v>24</v>
      </c>
      <c r="R1463" t="s">
        <v>41</v>
      </c>
      <c r="S1463">
        <v>2</v>
      </c>
    </row>
    <row r="1464" spans="1:19" x14ac:dyDescent="0.3">
      <c r="A1464" s="1">
        <v>42796</v>
      </c>
      <c r="B1464">
        <v>2017</v>
      </c>
      <c r="C1464" t="s">
        <v>29</v>
      </c>
      <c r="D1464" s="4">
        <v>58440</v>
      </c>
      <c r="E1464" s="2">
        <v>10000</v>
      </c>
      <c r="F1464" t="s">
        <v>19</v>
      </c>
      <c r="G1464" t="s">
        <v>20</v>
      </c>
      <c r="H1464">
        <v>3</v>
      </c>
      <c r="I1464">
        <v>2</v>
      </c>
      <c r="J1464">
        <v>994</v>
      </c>
      <c r="K1464" s="5">
        <v>1.3882830000000001E-2</v>
      </c>
      <c r="L1464" t="s">
        <v>32</v>
      </c>
      <c r="M1464" s="4">
        <v>-48440</v>
      </c>
      <c r="N1464" s="3">
        <v>10.0604</v>
      </c>
      <c r="O1464" t="s">
        <v>33</v>
      </c>
      <c r="P1464" t="s">
        <v>23</v>
      </c>
      <c r="Q1464" t="s">
        <v>24</v>
      </c>
      <c r="R1464" t="s">
        <v>44</v>
      </c>
      <c r="S1464">
        <v>3</v>
      </c>
    </row>
    <row r="1465" spans="1:19" x14ac:dyDescent="0.3">
      <c r="A1465" s="1">
        <v>42797</v>
      </c>
      <c r="B1465">
        <v>2017</v>
      </c>
      <c r="C1465" t="s">
        <v>26</v>
      </c>
      <c r="D1465" s="4">
        <v>312450</v>
      </c>
      <c r="E1465" s="2">
        <v>505000</v>
      </c>
      <c r="F1465" t="s">
        <v>19</v>
      </c>
      <c r="G1465" t="s">
        <v>20</v>
      </c>
      <c r="H1465">
        <v>3</v>
      </c>
      <c r="I1465">
        <v>1</v>
      </c>
      <c r="J1465">
        <v>1042</v>
      </c>
      <c r="K1465" s="5">
        <v>1.3882830000000001E-2</v>
      </c>
      <c r="L1465" t="s">
        <v>21</v>
      </c>
      <c r="M1465" s="4">
        <v>192550</v>
      </c>
      <c r="N1465" s="3">
        <v>484.64490000000001</v>
      </c>
      <c r="O1465" t="s">
        <v>22</v>
      </c>
      <c r="P1465" t="s">
        <v>24</v>
      </c>
      <c r="Q1465" t="s">
        <v>24</v>
      </c>
      <c r="R1465" t="s">
        <v>44</v>
      </c>
      <c r="S1465">
        <v>3</v>
      </c>
    </row>
    <row r="1466" spans="1:19" x14ac:dyDescent="0.3">
      <c r="A1466" s="1">
        <v>42798</v>
      </c>
      <c r="B1466">
        <v>2017</v>
      </c>
      <c r="C1466" t="s">
        <v>40</v>
      </c>
      <c r="D1466" s="4">
        <v>266630</v>
      </c>
      <c r="E1466" s="2">
        <v>340000</v>
      </c>
      <c r="F1466" t="s">
        <v>19</v>
      </c>
      <c r="G1466" t="s">
        <v>20</v>
      </c>
      <c r="H1466">
        <v>3</v>
      </c>
      <c r="I1466">
        <v>1</v>
      </c>
      <c r="J1466">
        <v>900</v>
      </c>
      <c r="K1466" s="5">
        <v>1.3882830000000001E-2</v>
      </c>
      <c r="L1466" t="s">
        <v>32</v>
      </c>
      <c r="M1466" s="4">
        <v>73370</v>
      </c>
      <c r="N1466" s="3">
        <v>377.77780000000001</v>
      </c>
      <c r="O1466" t="s">
        <v>22</v>
      </c>
      <c r="P1466" t="s">
        <v>24</v>
      </c>
      <c r="Q1466" t="s">
        <v>24</v>
      </c>
      <c r="R1466" t="s">
        <v>44</v>
      </c>
      <c r="S1466">
        <v>3</v>
      </c>
    </row>
    <row r="1467" spans="1:19" x14ac:dyDescent="0.3">
      <c r="A1467" s="1">
        <v>42799</v>
      </c>
      <c r="B1467">
        <v>2017</v>
      </c>
      <c r="C1467" t="s">
        <v>29</v>
      </c>
      <c r="D1467" s="4">
        <v>99510</v>
      </c>
      <c r="E1467" s="2">
        <v>55000</v>
      </c>
      <c r="F1467" t="s">
        <v>19</v>
      </c>
      <c r="G1467" t="s">
        <v>20</v>
      </c>
      <c r="H1467">
        <v>3</v>
      </c>
      <c r="I1467">
        <v>3</v>
      </c>
      <c r="J1467">
        <v>1053</v>
      </c>
      <c r="K1467" s="5">
        <v>1.3882830000000001E-2</v>
      </c>
      <c r="L1467" t="s">
        <v>21</v>
      </c>
      <c r="M1467" s="4">
        <v>-44510</v>
      </c>
      <c r="N1467" s="3">
        <v>52.231699999999996</v>
      </c>
      <c r="O1467" t="s">
        <v>33</v>
      </c>
      <c r="P1467" t="s">
        <v>23</v>
      </c>
      <c r="Q1467" t="s">
        <v>24</v>
      </c>
      <c r="R1467" t="s">
        <v>44</v>
      </c>
      <c r="S1467">
        <v>3</v>
      </c>
    </row>
    <row r="1468" spans="1:19" x14ac:dyDescent="0.3">
      <c r="A1468" s="1">
        <v>42803</v>
      </c>
      <c r="B1468">
        <v>2017</v>
      </c>
      <c r="C1468" t="s">
        <v>18</v>
      </c>
      <c r="D1468" s="4">
        <v>48050</v>
      </c>
      <c r="E1468" s="2">
        <v>33100</v>
      </c>
      <c r="F1468" t="s">
        <v>19</v>
      </c>
      <c r="G1468" t="s">
        <v>20</v>
      </c>
      <c r="H1468">
        <v>3</v>
      </c>
      <c r="I1468">
        <v>2</v>
      </c>
      <c r="J1468">
        <v>1080</v>
      </c>
      <c r="K1468" s="5">
        <v>1.3882830000000001E-2</v>
      </c>
      <c r="L1468" t="s">
        <v>27</v>
      </c>
      <c r="M1468" s="4">
        <v>-14950</v>
      </c>
      <c r="N1468" s="3">
        <v>30.648099999999999</v>
      </c>
      <c r="O1468" t="s">
        <v>33</v>
      </c>
      <c r="P1468" t="s">
        <v>23</v>
      </c>
      <c r="Q1468" t="s">
        <v>24</v>
      </c>
      <c r="R1468" t="s">
        <v>44</v>
      </c>
      <c r="S1468">
        <v>3</v>
      </c>
    </row>
    <row r="1469" spans="1:19" x14ac:dyDescent="0.3">
      <c r="A1469" s="1">
        <v>42805</v>
      </c>
      <c r="B1469">
        <v>2017</v>
      </c>
      <c r="C1469" t="s">
        <v>40</v>
      </c>
      <c r="D1469" s="4">
        <v>104480</v>
      </c>
      <c r="E1469" s="2">
        <v>90000</v>
      </c>
      <c r="F1469" t="s">
        <v>19</v>
      </c>
      <c r="G1469" t="s">
        <v>20</v>
      </c>
      <c r="H1469">
        <v>3</v>
      </c>
      <c r="I1469">
        <v>2</v>
      </c>
      <c r="J1469">
        <v>1089</v>
      </c>
      <c r="K1469" s="5">
        <v>1.3882830000000001E-2</v>
      </c>
      <c r="L1469" t="s">
        <v>38</v>
      </c>
      <c r="M1469" s="4">
        <v>-14480</v>
      </c>
      <c r="N1469" s="3">
        <v>82.644599999999997</v>
      </c>
      <c r="O1469" t="s">
        <v>33</v>
      </c>
      <c r="P1469" t="s">
        <v>23</v>
      </c>
      <c r="Q1469" t="s">
        <v>24</v>
      </c>
      <c r="R1469" t="s">
        <v>44</v>
      </c>
      <c r="S1469">
        <v>3</v>
      </c>
    </row>
    <row r="1470" spans="1:19" x14ac:dyDescent="0.3">
      <c r="A1470" s="1">
        <v>42806</v>
      </c>
      <c r="B1470">
        <v>2017</v>
      </c>
      <c r="C1470" t="s">
        <v>56</v>
      </c>
      <c r="D1470" s="4">
        <v>215510</v>
      </c>
      <c r="E1470" s="2">
        <v>7000</v>
      </c>
      <c r="F1470" t="s">
        <v>19</v>
      </c>
      <c r="G1470" t="s">
        <v>20</v>
      </c>
      <c r="H1470">
        <v>3</v>
      </c>
      <c r="I1470">
        <v>1</v>
      </c>
      <c r="J1470">
        <v>1111.6589814177564</v>
      </c>
      <c r="K1470" s="5">
        <v>1.3882830000000001E-2</v>
      </c>
      <c r="L1470" t="s">
        <v>32</v>
      </c>
      <c r="M1470" s="4">
        <v>-208510</v>
      </c>
      <c r="N1470" s="3">
        <v>6.2968999999999999</v>
      </c>
      <c r="O1470" t="s">
        <v>33</v>
      </c>
      <c r="P1470" t="s">
        <v>23</v>
      </c>
      <c r="Q1470" t="s">
        <v>24</v>
      </c>
      <c r="R1470" t="s">
        <v>44</v>
      </c>
      <c r="S1470">
        <v>3</v>
      </c>
    </row>
    <row r="1471" spans="1:19" x14ac:dyDescent="0.3">
      <c r="A1471" s="1">
        <v>42807</v>
      </c>
      <c r="B1471">
        <v>2017</v>
      </c>
      <c r="C1471" t="s">
        <v>39</v>
      </c>
      <c r="D1471" s="4">
        <v>370440</v>
      </c>
      <c r="E1471" s="2">
        <v>445000</v>
      </c>
      <c r="F1471" t="s">
        <v>30</v>
      </c>
      <c r="G1471" t="s">
        <v>31</v>
      </c>
      <c r="H1471">
        <v>4</v>
      </c>
      <c r="I1471">
        <v>2</v>
      </c>
      <c r="J1471">
        <v>1469</v>
      </c>
      <c r="K1471" s="5">
        <v>1.3882830000000001E-2</v>
      </c>
      <c r="L1471" t="s">
        <v>27</v>
      </c>
      <c r="M1471" s="4">
        <v>74560</v>
      </c>
      <c r="N1471" s="3">
        <v>302.92720000000003</v>
      </c>
      <c r="O1471" t="s">
        <v>22</v>
      </c>
      <c r="P1471" t="s">
        <v>24</v>
      </c>
      <c r="Q1471" t="s">
        <v>34</v>
      </c>
      <c r="R1471" t="s">
        <v>44</v>
      </c>
      <c r="S1471">
        <v>3</v>
      </c>
    </row>
    <row r="1472" spans="1:19" x14ac:dyDescent="0.3">
      <c r="A1472" s="1">
        <v>42810</v>
      </c>
      <c r="B1472">
        <v>2017</v>
      </c>
      <c r="C1472" t="s">
        <v>52</v>
      </c>
      <c r="D1472" s="4">
        <v>170380</v>
      </c>
      <c r="E1472" s="2">
        <v>215000</v>
      </c>
      <c r="F1472" t="s">
        <v>19</v>
      </c>
      <c r="G1472" t="s">
        <v>20</v>
      </c>
      <c r="H1472">
        <v>3</v>
      </c>
      <c r="I1472">
        <v>2</v>
      </c>
      <c r="J1472">
        <v>1087</v>
      </c>
      <c r="K1472" s="5">
        <v>1.3882830000000001E-2</v>
      </c>
      <c r="L1472" t="s">
        <v>27</v>
      </c>
      <c r="M1472" s="4">
        <v>44620</v>
      </c>
      <c r="N1472" s="3">
        <v>197.7921</v>
      </c>
      <c r="O1472" t="s">
        <v>22</v>
      </c>
      <c r="P1472" t="s">
        <v>24</v>
      </c>
      <c r="Q1472" t="s">
        <v>24</v>
      </c>
      <c r="R1472" t="s">
        <v>44</v>
      </c>
      <c r="S1472">
        <v>3</v>
      </c>
    </row>
    <row r="1473" spans="1:19" x14ac:dyDescent="0.3">
      <c r="A1473" s="1">
        <v>42812</v>
      </c>
      <c r="B1473">
        <v>2017</v>
      </c>
      <c r="C1473" t="s">
        <v>39</v>
      </c>
      <c r="D1473" s="4">
        <v>402220</v>
      </c>
      <c r="E1473" s="2">
        <v>475000</v>
      </c>
      <c r="F1473" t="s">
        <v>19</v>
      </c>
      <c r="G1473" t="s">
        <v>20</v>
      </c>
      <c r="H1473">
        <v>3</v>
      </c>
      <c r="I1473">
        <v>1</v>
      </c>
      <c r="J1473">
        <v>1076</v>
      </c>
      <c r="K1473" s="5">
        <v>1.3882830000000001E-2</v>
      </c>
      <c r="L1473" t="s">
        <v>38</v>
      </c>
      <c r="M1473" s="4">
        <v>72780</v>
      </c>
      <c r="N1473" s="3">
        <v>441.44979999999998</v>
      </c>
      <c r="O1473" t="s">
        <v>22</v>
      </c>
      <c r="P1473" t="s">
        <v>24</v>
      </c>
      <c r="Q1473" t="s">
        <v>24</v>
      </c>
      <c r="R1473" t="s">
        <v>44</v>
      </c>
      <c r="S1473">
        <v>3</v>
      </c>
    </row>
    <row r="1474" spans="1:19" x14ac:dyDescent="0.3">
      <c r="A1474" s="1">
        <v>42813</v>
      </c>
      <c r="B1474">
        <v>2017</v>
      </c>
      <c r="C1474" t="s">
        <v>26</v>
      </c>
      <c r="D1474" s="4">
        <v>238260</v>
      </c>
      <c r="E1474" s="2">
        <v>415000</v>
      </c>
      <c r="F1474" t="s">
        <v>19</v>
      </c>
      <c r="G1474" t="s">
        <v>20</v>
      </c>
      <c r="H1474">
        <v>3</v>
      </c>
      <c r="I1474">
        <v>2</v>
      </c>
      <c r="J1474">
        <v>1040</v>
      </c>
      <c r="K1474" s="5">
        <v>1.3882830000000001E-2</v>
      </c>
      <c r="L1474" t="s">
        <v>38</v>
      </c>
      <c r="M1474" s="4">
        <v>176740</v>
      </c>
      <c r="N1474" s="3">
        <v>399.0385</v>
      </c>
      <c r="O1474" t="s">
        <v>22</v>
      </c>
      <c r="P1474" t="s">
        <v>24</v>
      </c>
      <c r="Q1474" t="s">
        <v>24</v>
      </c>
      <c r="R1474" t="s">
        <v>44</v>
      </c>
      <c r="S1474">
        <v>3</v>
      </c>
    </row>
    <row r="1475" spans="1:19" x14ac:dyDescent="0.3">
      <c r="A1475" s="1">
        <v>42814</v>
      </c>
      <c r="B1475">
        <v>2017</v>
      </c>
      <c r="C1475" t="s">
        <v>26</v>
      </c>
      <c r="D1475" s="4">
        <v>444584.20699999999</v>
      </c>
      <c r="E1475" s="2">
        <v>478000</v>
      </c>
      <c r="F1475" t="s">
        <v>19</v>
      </c>
      <c r="G1475" t="s">
        <v>20</v>
      </c>
      <c r="H1475">
        <v>3</v>
      </c>
      <c r="I1475">
        <v>2</v>
      </c>
      <c r="J1475">
        <v>1111.6589814177564</v>
      </c>
      <c r="K1475" s="5">
        <v>1.3882830000000001E-2</v>
      </c>
      <c r="L1475" t="s">
        <v>38</v>
      </c>
      <c r="M1475" s="4">
        <v>33415.792999999998</v>
      </c>
      <c r="N1475" s="3">
        <v>429.988</v>
      </c>
      <c r="O1475" t="s">
        <v>22</v>
      </c>
      <c r="P1475" t="s">
        <v>24</v>
      </c>
      <c r="Q1475" t="s">
        <v>24</v>
      </c>
      <c r="R1475" t="s">
        <v>44</v>
      </c>
      <c r="S1475">
        <v>3</v>
      </c>
    </row>
    <row r="1476" spans="1:19" x14ac:dyDescent="0.3">
      <c r="A1476" s="1">
        <v>42818</v>
      </c>
      <c r="B1476">
        <v>2017</v>
      </c>
      <c r="C1476" t="s">
        <v>29</v>
      </c>
      <c r="D1476" s="4">
        <v>106390</v>
      </c>
      <c r="E1476" s="2">
        <v>360239</v>
      </c>
      <c r="F1476" t="s">
        <v>19</v>
      </c>
      <c r="G1476" t="s">
        <v>20</v>
      </c>
      <c r="H1476">
        <v>3</v>
      </c>
      <c r="I1476">
        <v>3</v>
      </c>
      <c r="J1476">
        <v>1111.6589814177564</v>
      </c>
      <c r="K1476" s="5">
        <v>1.3882830000000001E-2</v>
      </c>
      <c r="L1476" t="s">
        <v>38</v>
      </c>
      <c r="M1476" s="4">
        <v>253849</v>
      </c>
      <c r="N1476" s="3">
        <v>324.05529999999999</v>
      </c>
      <c r="O1476" t="s">
        <v>22</v>
      </c>
      <c r="P1476" t="s">
        <v>24</v>
      </c>
      <c r="Q1476" t="s">
        <v>24</v>
      </c>
      <c r="R1476" t="s">
        <v>44</v>
      </c>
      <c r="S1476">
        <v>3</v>
      </c>
    </row>
    <row r="1477" spans="1:19" x14ac:dyDescent="0.3">
      <c r="A1477" s="1">
        <v>42820</v>
      </c>
      <c r="B1477">
        <v>2017</v>
      </c>
      <c r="C1477" t="s">
        <v>40</v>
      </c>
      <c r="D1477" s="4">
        <v>33470</v>
      </c>
      <c r="E1477" s="2">
        <v>87000</v>
      </c>
      <c r="F1477" t="s">
        <v>36</v>
      </c>
      <c r="G1477" t="s">
        <v>37</v>
      </c>
      <c r="H1477">
        <v>6</v>
      </c>
      <c r="I1477">
        <v>5</v>
      </c>
      <c r="J1477">
        <v>1997</v>
      </c>
      <c r="K1477" s="5">
        <v>1.3882830000000001E-2</v>
      </c>
      <c r="L1477" t="s">
        <v>32</v>
      </c>
      <c r="M1477" s="4">
        <v>53530</v>
      </c>
      <c r="N1477" s="3">
        <v>43.565300000000001</v>
      </c>
      <c r="O1477" t="s">
        <v>22</v>
      </c>
      <c r="P1477" t="s">
        <v>23</v>
      </c>
      <c r="Q1477" t="s">
        <v>34</v>
      </c>
      <c r="R1477" t="s">
        <v>44</v>
      </c>
      <c r="S1477">
        <v>3</v>
      </c>
    </row>
    <row r="1478" spans="1:19" x14ac:dyDescent="0.3">
      <c r="A1478" s="1">
        <v>42821</v>
      </c>
      <c r="B1478">
        <v>2017</v>
      </c>
      <c r="C1478" t="s">
        <v>18</v>
      </c>
      <c r="D1478" s="4">
        <v>80350</v>
      </c>
      <c r="E1478" s="2">
        <v>54000</v>
      </c>
      <c r="F1478" t="s">
        <v>19</v>
      </c>
      <c r="G1478" t="s">
        <v>20</v>
      </c>
      <c r="H1478">
        <v>3</v>
      </c>
      <c r="I1478">
        <v>1</v>
      </c>
      <c r="J1478">
        <v>1111.6589814177564</v>
      </c>
      <c r="K1478" s="5">
        <v>1.3882830000000001E-2</v>
      </c>
      <c r="L1478" t="s">
        <v>32</v>
      </c>
      <c r="M1478" s="4">
        <v>-26350</v>
      </c>
      <c r="N1478" s="3">
        <v>48.576000000000001</v>
      </c>
      <c r="O1478" t="s">
        <v>33</v>
      </c>
      <c r="P1478" t="s">
        <v>23</v>
      </c>
      <c r="Q1478" t="s">
        <v>24</v>
      </c>
      <c r="R1478" t="s">
        <v>44</v>
      </c>
      <c r="S1478">
        <v>3</v>
      </c>
    </row>
    <row r="1479" spans="1:19" x14ac:dyDescent="0.3">
      <c r="A1479" s="1">
        <v>42825</v>
      </c>
      <c r="B1479">
        <v>2017</v>
      </c>
      <c r="C1479" t="s">
        <v>40</v>
      </c>
      <c r="D1479" s="4">
        <v>444584.20699999999</v>
      </c>
      <c r="E1479" s="2">
        <v>412500</v>
      </c>
      <c r="F1479" t="s">
        <v>30</v>
      </c>
      <c r="G1479" t="s">
        <v>31</v>
      </c>
      <c r="H1479">
        <v>4</v>
      </c>
      <c r="I1479">
        <v>4</v>
      </c>
      <c r="J1479">
        <v>1472</v>
      </c>
      <c r="K1479" s="5">
        <v>1.3882830000000001E-2</v>
      </c>
      <c r="L1479" t="s">
        <v>21</v>
      </c>
      <c r="M1479" s="4">
        <v>-32084.206999999999</v>
      </c>
      <c r="N1479" s="3">
        <v>280.23099999999999</v>
      </c>
      <c r="O1479" t="s">
        <v>33</v>
      </c>
      <c r="P1479" t="s">
        <v>24</v>
      </c>
      <c r="Q1479" t="s">
        <v>34</v>
      </c>
      <c r="R1479" t="s">
        <v>44</v>
      </c>
      <c r="S1479">
        <v>3</v>
      </c>
    </row>
    <row r="1480" spans="1:19" x14ac:dyDescent="0.3">
      <c r="A1480" s="1">
        <v>42826</v>
      </c>
      <c r="B1480">
        <v>2017</v>
      </c>
      <c r="C1480" t="s">
        <v>39</v>
      </c>
      <c r="D1480" s="4">
        <v>271880</v>
      </c>
      <c r="E1480" s="2">
        <v>510000</v>
      </c>
      <c r="F1480" t="s">
        <v>19</v>
      </c>
      <c r="G1480" t="s">
        <v>20</v>
      </c>
      <c r="H1480">
        <v>3</v>
      </c>
      <c r="I1480">
        <v>1</v>
      </c>
      <c r="J1480">
        <v>981</v>
      </c>
      <c r="K1480" s="5">
        <v>1.3882830000000001E-2</v>
      </c>
      <c r="L1480" t="s">
        <v>21</v>
      </c>
      <c r="M1480" s="4">
        <v>238120</v>
      </c>
      <c r="N1480" s="3">
        <v>519.8777</v>
      </c>
      <c r="O1480" t="s">
        <v>22</v>
      </c>
      <c r="P1480" t="s">
        <v>24</v>
      </c>
      <c r="Q1480" t="s">
        <v>24</v>
      </c>
      <c r="R1480" t="s">
        <v>45</v>
      </c>
      <c r="S1480">
        <v>4</v>
      </c>
    </row>
    <row r="1481" spans="1:19" x14ac:dyDescent="0.3">
      <c r="A1481" s="1">
        <v>42827</v>
      </c>
      <c r="B1481">
        <v>2017</v>
      </c>
      <c r="C1481" t="s">
        <v>29</v>
      </c>
      <c r="D1481" s="4">
        <v>99470</v>
      </c>
      <c r="E1481" s="2">
        <v>115000</v>
      </c>
      <c r="F1481" t="s">
        <v>19</v>
      </c>
      <c r="G1481" t="s">
        <v>20</v>
      </c>
      <c r="H1481">
        <v>3</v>
      </c>
      <c r="I1481">
        <v>2</v>
      </c>
      <c r="J1481">
        <v>1018</v>
      </c>
      <c r="K1481" s="5">
        <v>1.3882830000000001E-2</v>
      </c>
      <c r="L1481" t="s">
        <v>38</v>
      </c>
      <c r="M1481" s="4">
        <v>15530</v>
      </c>
      <c r="N1481" s="3">
        <v>112.9666</v>
      </c>
      <c r="O1481" t="s">
        <v>22</v>
      </c>
      <c r="P1481" t="s">
        <v>23</v>
      </c>
      <c r="Q1481" t="s">
        <v>24</v>
      </c>
      <c r="R1481" t="s">
        <v>45</v>
      </c>
      <c r="S1481">
        <v>4</v>
      </c>
    </row>
    <row r="1482" spans="1:19" x14ac:dyDescent="0.3">
      <c r="A1482" s="1">
        <v>42831</v>
      </c>
      <c r="B1482">
        <v>2017</v>
      </c>
      <c r="C1482" t="s">
        <v>40</v>
      </c>
      <c r="D1482" s="4">
        <v>125020</v>
      </c>
      <c r="E1482" s="2">
        <v>165000</v>
      </c>
      <c r="F1482" t="s">
        <v>19</v>
      </c>
      <c r="G1482" t="s">
        <v>20</v>
      </c>
      <c r="H1482">
        <v>3</v>
      </c>
      <c r="I1482">
        <v>2</v>
      </c>
      <c r="J1482">
        <v>902</v>
      </c>
      <c r="K1482" s="5">
        <v>1.3882830000000001E-2</v>
      </c>
      <c r="L1482" t="s">
        <v>27</v>
      </c>
      <c r="M1482" s="4">
        <v>39980</v>
      </c>
      <c r="N1482" s="3">
        <v>182.92679999999999</v>
      </c>
      <c r="O1482" t="s">
        <v>22</v>
      </c>
      <c r="P1482" t="s">
        <v>23</v>
      </c>
      <c r="Q1482" t="s">
        <v>24</v>
      </c>
      <c r="R1482" t="s">
        <v>45</v>
      </c>
      <c r="S1482">
        <v>4</v>
      </c>
    </row>
    <row r="1483" spans="1:19" x14ac:dyDescent="0.3">
      <c r="A1483" s="1">
        <v>42833</v>
      </c>
      <c r="B1483">
        <v>2017</v>
      </c>
      <c r="C1483" t="s">
        <v>29</v>
      </c>
      <c r="D1483" s="4">
        <v>169490</v>
      </c>
      <c r="E1483" s="2">
        <v>195000</v>
      </c>
      <c r="F1483" t="s">
        <v>36</v>
      </c>
      <c r="G1483" t="s">
        <v>37</v>
      </c>
      <c r="H1483">
        <v>6</v>
      </c>
      <c r="I1483">
        <v>5</v>
      </c>
      <c r="J1483">
        <v>1111.6589814177564</v>
      </c>
      <c r="K1483" s="5">
        <v>1.3882830000000001E-2</v>
      </c>
      <c r="L1483" t="s">
        <v>21</v>
      </c>
      <c r="M1483" s="4">
        <v>25510</v>
      </c>
      <c r="N1483" s="3">
        <v>175.4135</v>
      </c>
      <c r="O1483" t="s">
        <v>22</v>
      </c>
      <c r="P1483" t="s">
        <v>23</v>
      </c>
      <c r="Q1483" t="s">
        <v>24</v>
      </c>
      <c r="R1483" t="s">
        <v>45</v>
      </c>
      <c r="S1483">
        <v>4</v>
      </c>
    </row>
    <row r="1484" spans="1:19" x14ac:dyDescent="0.3">
      <c r="A1484" s="1">
        <v>42834</v>
      </c>
      <c r="B1484">
        <v>2017</v>
      </c>
      <c r="C1484" t="s">
        <v>26</v>
      </c>
      <c r="D1484" s="4">
        <v>346600</v>
      </c>
      <c r="E1484" s="2">
        <v>465000</v>
      </c>
      <c r="F1484" t="s">
        <v>19</v>
      </c>
      <c r="G1484" t="s">
        <v>20</v>
      </c>
      <c r="H1484">
        <v>3</v>
      </c>
      <c r="I1484">
        <v>2</v>
      </c>
      <c r="J1484">
        <v>1111.6589814177564</v>
      </c>
      <c r="K1484" s="5">
        <v>1.3882830000000001E-2</v>
      </c>
      <c r="L1484" t="s">
        <v>32</v>
      </c>
      <c r="M1484" s="4">
        <v>118400</v>
      </c>
      <c r="N1484" s="3">
        <v>418.2937</v>
      </c>
      <c r="O1484" t="s">
        <v>22</v>
      </c>
      <c r="P1484" t="s">
        <v>24</v>
      </c>
      <c r="Q1484" t="s">
        <v>24</v>
      </c>
      <c r="R1484" t="s">
        <v>45</v>
      </c>
      <c r="S1484">
        <v>4</v>
      </c>
    </row>
    <row r="1485" spans="1:19" x14ac:dyDescent="0.3">
      <c r="A1485" s="1">
        <v>42835</v>
      </c>
      <c r="B1485">
        <v>2017</v>
      </c>
      <c r="C1485" t="s">
        <v>18</v>
      </c>
      <c r="D1485" s="4">
        <v>75870</v>
      </c>
      <c r="E1485" s="2">
        <v>37460</v>
      </c>
      <c r="F1485" t="s">
        <v>19</v>
      </c>
      <c r="G1485" t="s">
        <v>20</v>
      </c>
      <c r="H1485">
        <v>3</v>
      </c>
      <c r="I1485">
        <v>2</v>
      </c>
      <c r="J1485">
        <v>1040</v>
      </c>
      <c r="K1485" s="5">
        <v>1.3882830000000001E-2</v>
      </c>
      <c r="L1485" t="s">
        <v>32</v>
      </c>
      <c r="M1485" s="4">
        <v>-38410</v>
      </c>
      <c r="N1485" s="3">
        <v>36.019199999999998</v>
      </c>
      <c r="O1485" t="s">
        <v>33</v>
      </c>
      <c r="P1485" t="s">
        <v>23</v>
      </c>
      <c r="Q1485" t="s">
        <v>24</v>
      </c>
      <c r="R1485" t="s">
        <v>45</v>
      </c>
      <c r="S1485">
        <v>4</v>
      </c>
    </row>
    <row r="1486" spans="1:19" x14ac:dyDescent="0.3">
      <c r="A1486" s="1">
        <v>42839</v>
      </c>
      <c r="B1486">
        <v>2017</v>
      </c>
      <c r="C1486" t="s">
        <v>52</v>
      </c>
      <c r="D1486" s="4">
        <v>282450</v>
      </c>
      <c r="E1486" s="2">
        <v>492000</v>
      </c>
      <c r="F1486" t="s">
        <v>19</v>
      </c>
      <c r="G1486" t="s">
        <v>20</v>
      </c>
      <c r="H1486">
        <v>3</v>
      </c>
      <c r="I1486">
        <v>3</v>
      </c>
      <c r="J1486">
        <v>1111.6589814177564</v>
      </c>
      <c r="K1486" s="5">
        <v>1.3882830000000001E-2</v>
      </c>
      <c r="L1486" t="s">
        <v>21</v>
      </c>
      <c r="M1486" s="4">
        <v>209550</v>
      </c>
      <c r="N1486" s="3">
        <v>442.58179999999999</v>
      </c>
      <c r="O1486" t="s">
        <v>22</v>
      </c>
      <c r="P1486" t="s">
        <v>24</v>
      </c>
      <c r="Q1486" t="s">
        <v>24</v>
      </c>
      <c r="R1486" t="s">
        <v>45</v>
      </c>
      <c r="S1486">
        <v>4</v>
      </c>
    </row>
    <row r="1487" spans="1:19" x14ac:dyDescent="0.3">
      <c r="A1487" s="1">
        <v>42840</v>
      </c>
      <c r="B1487">
        <v>2017</v>
      </c>
      <c r="C1487" t="s">
        <v>18</v>
      </c>
      <c r="D1487" s="4">
        <v>51280</v>
      </c>
      <c r="E1487" s="2">
        <v>32000</v>
      </c>
      <c r="F1487" t="s">
        <v>42</v>
      </c>
      <c r="G1487" t="s">
        <v>43</v>
      </c>
      <c r="H1487">
        <v>8</v>
      </c>
      <c r="I1487">
        <v>8</v>
      </c>
      <c r="J1487">
        <v>2841</v>
      </c>
      <c r="K1487" s="5">
        <v>1.3882830000000001E-2</v>
      </c>
      <c r="L1487" t="s">
        <v>38</v>
      </c>
      <c r="M1487" s="4">
        <v>-19280</v>
      </c>
      <c r="N1487" s="3">
        <v>11.2636</v>
      </c>
      <c r="O1487" t="s">
        <v>33</v>
      </c>
      <c r="P1487" t="s">
        <v>23</v>
      </c>
      <c r="Q1487" t="s">
        <v>34</v>
      </c>
      <c r="R1487" t="s">
        <v>45</v>
      </c>
      <c r="S1487">
        <v>4</v>
      </c>
    </row>
    <row r="1488" spans="1:19" x14ac:dyDescent="0.3">
      <c r="A1488" s="1">
        <v>42841</v>
      </c>
      <c r="B1488">
        <v>2017</v>
      </c>
      <c r="C1488" t="s">
        <v>26</v>
      </c>
      <c r="D1488" s="4">
        <v>171270</v>
      </c>
      <c r="E1488" s="2">
        <v>220000</v>
      </c>
      <c r="F1488" t="s">
        <v>30</v>
      </c>
      <c r="G1488" t="s">
        <v>31</v>
      </c>
      <c r="H1488">
        <v>4</v>
      </c>
      <c r="I1488">
        <v>3</v>
      </c>
      <c r="J1488">
        <v>1111.6589814177564</v>
      </c>
      <c r="K1488" s="5">
        <v>1.3882830000000001E-2</v>
      </c>
      <c r="L1488" t="s">
        <v>38</v>
      </c>
      <c r="M1488" s="4">
        <v>48730</v>
      </c>
      <c r="N1488" s="3">
        <v>197.9024</v>
      </c>
      <c r="O1488" t="s">
        <v>22</v>
      </c>
      <c r="P1488" t="s">
        <v>24</v>
      </c>
      <c r="Q1488" t="s">
        <v>24</v>
      </c>
      <c r="R1488" t="s">
        <v>45</v>
      </c>
      <c r="S1488">
        <v>4</v>
      </c>
    </row>
    <row r="1489" spans="1:19" x14ac:dyDescent="0.3">
      <c r="A1489" s="1">
        <v>42842</v>
      </c>
      <c r="B1489">
        <v>2017</v>
      </c>
      <c r="C1489" t="s">
        <v>40</v>
      </c>
      <c r="D1489" s="4">
        <v>92950</v>
      </c>
      <c r="E1489" s="2">
        <v>124000</v>
      </c>
      <c r="F1489" t="s">
        <v>19</v>
      </c>
      <c r="G1489" t="s">
        <v>20</v>
      </c>
      <c r="H1489">
        <v>3</v>
      </c>
      <c r="I1489">
        <v>3</v>
      </c>
      <c r="J1489">
        <v>900</v>
      </c>
      <c r="K1489" s="5">
        <v>1.3882830000000001E-2</v>
      </c>
      <c r="L1489" t="s">
        <v>21</v>
      </c>
      <c r="M1489" s="4">
        <v>31050</v>
      </c>
      <c r="N1489" s="3">
        <v>137.77780000000001</v>
      </c>
      <c r="O1489" t="s">
        <v>22</v>
      </c>
      <c r="P1489" t="s">
        <v>23</v>
      </c>
      <c r="Q1489" t="s">
        <v>24</v>
      </c>
      <c r="R1489" t="s">
        <v>45</v>
      </c>
      <c r="S1489">
        <v>4</v>
      </c>
    </row>
    <row r="1490" spans="1:19" x14ac:dyDescent="0.3">
      <c r="A1490" s="1">
        <v>42845</v>
      </c>
      <c r="B1490">
        <v>2017</v>
      </c>
      <c r="C1490" t="s">
        <v>29</v>
      </c>
      <c r="D1490" s="4">
        <v>158160</v>
      </c>
      <c r="E1490" s="2">
        <v>65000</v>
      </c>
      <c r="F1490" t="s">
        <v>36</v>
      </c>
      <c r="G1490" t="s">
        <v>37</v>
      </c>
      <c r="H1490">
        <v>6</v>
      </c>
      <c r="I1490">
        <v>6</v>
      </c>
      <c r="J1490">
        <v>2063</v>
      </c>
      <c r="K1490" s="5">
        <v>1.3882830000000001E-2</v>
      </c>
      <c r="L1490" t="s">
        <v>38</v>
      </c>
      <c r="M1490" s="4">
        <v>-93160</v>
      </c>
      <c r="N1490" s="3">
        <v>31.5075</v>
      </c>
      <c r="O1490" t="s">
        <v>33</v>
      </c>
      <c r="P1490" t="s">
        <v>23</v>
      </c>
      <c r="Q1490" t="s">
        <v>34</v>
      </c>
      <c r="R1490" t="s">
        <v>45</v>
      </c>
      <c r="S1490">
        <v>4</v>
      </c>
    </row>
    <row r="1491" spans="1:19" x14ac:dyDescent="0.3">
      <c r="A1491" s="1">
        <v>42846</v>
      </c>
      <c r="B1491">
        <v>2017</v>
      </c>
      <c r="C1491" t="s">
        <v>40</v>
      </c>
      <c r="D1491" s="4">
        <v>84620</v>
      </c>
      <c r="E1491" s="2">
        <v>129780</v>
      </c>
      <c r="F1491" t="s">
        <v>19</v>
      </c>
      <c r="G1491" t="s">
        <v>20</v>
      </c>
      <c r="H1491">
        <v>3</v>
      </c>
      <c r="I1491">
        <v>2</v>
      </c>
      <c r="J1491">
        <v>926</v>
      </c>
      <c r="K1491" s="5">
        <v>1.3882830000000001E-2</v>
      </c>
      <c r="L1491" t="s">
        <v>32</v>
      </c>
      <c r="M1491" s="4">
        <v>45160</v>
      </c>
      <c r="N1491" s="3">
        <v>140.15119999999999</v>
      </c>
      <c r="O1491" t="s">
        <v>22</v>
      </c>
      <c r="P1491" t="s">
        <v>23</v>
      </c>
      <c r="Q1491" t="s">
        <v>24</v>
      </c>
      <c r="R1491" t="s">
        <v>45</v>
      </c>
      <c r="S1491">
        <v>4</v>
      </c>
    </row>
    <row r="1492" spans="1:19" x14ac:dyDescent="0.3">
      <c r="A1492" s="1">
        <v>42847</v>
      </c>
      <c r="B1492">
        <v>2017</v>
      </c>
      <c r="C1492" t="s">
        <v>29</v>
      </c>
      <c r="D1492" s="4">
        <v>121920</v>
      </c>
      <c r="E1492" s="2">
        <v>141500</v>
      </c>
      <c r="F1492" t="s">
        <v>19</v>
      </c>
      <c r="G1492" t="s">
        <v>20</v>
      </c>
      <c r="H1492">
        <v>3</v>
      </c>
      <c r="I1492">
        <v>2</v>
      </c>
      <c r="J1492">
        <v>1034</v>
      </c>
      <c r="K1492" s="5">
        <v>1.3882830000000001E-2</v>
      </c>
      <c r="L1492" t="s">
        <v>32</v>
      </c>
      <c r="M1492" s="4">
        <v>19580</v>
      </c>
      <c r="N1492" s="3">
        <v>136.84719999999999</v>
      </c>
      <c r="O1492" t="s">
        <v>22</v>
      </c>
      <c r="P1492" t="s">
        <v>23</v>
      </c>
      <c r="Q1492" t="s">
        <v>24</v>
      </c>
      <c r="R1492" t="s">
        <v>45</v>
      </c>
      <c r="S1492">
        <v>4</v>
      </c>
    </row>
    <row r="1493" spans="1:19" x14ac:dyDescent="0.3">
      <c r="A1493" s="1">
        <v>42848</v>
      </c>
      <c r="B1493">
        <v>2017</v>
      </c>
      <c r="C1493" t="s">
        <v>26</v>
      </c>
      <c r="D1493" s="4">
        <v>256610</v>
      </c>
      <c r="E1493" s="2">
        <v>350000</v>
      </c>
      <c r="F1493" t="s">
        <v>19</v>
      </c>
      <c r="G1493" t="s">
        <v>20</v>
      </c>
      <c r="H1493">
        <v>3</v>
      </c>
      <c r="I1493">
        <v>3</v>
      </c>
      <c r="J1493">
        <v>1023</v>
      </c>
      <c r="K1493" s="5">
        <v>1.3882830000000001E-2</v>
      </c>
      <c r="L1493" t="s">
        <v>21</v>
      </c>
      <c r="M1493" s="4">
        <v>93390</v>
      </c>
      <c r="N1493" s="3">
        <v>342.13099999999997</v>
      </c>
      <c r="O1493" t="s">
        <v>22</v>
      </c>
      <c r="P1493" t="s">
        <v>24</v>
      </c>
      <c r="Q1493" t="s">
        <v>24</v>
      </c>
      <c r="R1493" t="s">
        <v>45</v>
      </c>
      <c r="S1493">
        <v>4</v>
      </c>
    </row>
    <row r="1494" spans="1:19" x14ac:dyDescent="0.3">
      <c r="A1494" s="1">
        <v>42849</v>
      </c>
      <c r="B1494">
        <v>2017</v>
      </c>
      <c r="C1494" t="s">
        <v>39</v>
      </c>
      <c r="D1494" s="4">
        <v>620270</v>
      </c>
      <c r="E1494" s="2">
        <v>805000</v>
      </c>
      <c r="F1494" t="s">
        <v>19</v>
      </c>
      <c r="G1494" t="s">
        <v>20</v>
      </c>
      <c r="H1494">
        <v>3</v>
      </c>
      <c r="I1494">
        <v>3</v>
      </c>
      <c r="J1494">
        <v>1028</v>
      </c>
      <c r="K1494" s="5">
        <v>1.3882830000000001E-2</v>
      </c>
      <c r="L1494" t="s">
        <v>21</v>
      </c>
      <c r="M1494" s="4">
        <v>184730</v>
      </c>
      <c r="N1494" s="3">
        <v>783.07389999999998</v>
      </c>
      <c r="O1494" t="s">
        <v>22</v>
      </c>
      <c r="P1494" t="s">
        <v>28</v>
      </c>
      <c r="Q1494" t="s">
        <v>24</v>
      </c>
      <c r="R1494" t="s">
        <v>45</v>
      </c>
      <c r="S1494">
        <v>4</v>
      </c>
    </row>
    <row r="1495" spans="1:19" x14ac:dyDescent="0.3">
      <c r="A1495" s="1">
        <v>42852</v>
      </c>
      <c r="B1495">
        <v>2017</v>
      </c>
      <c r="C1495" t="s">
        <v>26</v>
      </c>
      <c r="D1495" s="4">
        <v>1000690</v>
      </c>
      <c r="E1495" s="2">
        <v>1076130</v>
      </c>
      <c r="F1495" t="s">
        <v>19</v>
      </c>
      <c r="G1495" t="s">
        <v>20</v>
      </c>
      <c r="H1495">
        <v>3</v>
      </c>
      <c r="I1495">
        <v>1</v>
      </c>
      <c r="J1495">
        <v>1075</v>
      </c>
      <c r="K1495" s="5">
        <v>1.3882830000000001E-2</v>
      </c>
      <c r="L1495" t="s">
        <v>27</v>
      </c>
      <c r="M1495" s="4">
        <v>75440</v>
      </c>
      <c r="N1495" s="3">
        <v>1001.0512</v>
      </c>
      <c r="O1495" t="s">
        <v>22</v>
      </c>
      <c r="P1495" t="s">
        <v>28</v>
      </c>
      <c r="Q1495" t="s">
        <v>24</v>
      </c>
      <c r="R1495" t="s">
        <v>45</v>
      </c>
      <c r="S1495">
        <v>4</v>
      </c>
    </row>
    <row r="1496" spans="1:19" x14ac:dyDescent="0.3">
      <c r="A1496" s="1">
        <v>42853</v>
      </c>
      <c r="B1496">
        <v>2017</v>
      </c>
      <c r="C1496" t="s">
        <v>29</v>
      </c>
      <c r="D1496" s="4">
        <v>444584.20699999999</v>
      </c>
      <c r="E1496" s="2">
        <v>185000</v>
      </c>
      <c r="F1496" t="s">
        <v>30</v>
      </c>
      <c r="G1496" t="s">
        <v>31</v>
      </c>
      <c r="H1496">
        <v>4</v>
      </c>
      <c r="I1496">
        <v>4</v>
      </c>
      <c r="J1496">
        <v>1306</v>
      </c>
      <c r="K1496" s="5">
        <v>1.3882830000000001E-2</v>
      </c>
      <c r="L1496" t="s">
        <v>38</v>
      </c>
      <c r="M1496" s="4">
        <v>-259584.20699999999</v>
      </c>
      <c r="N1496" s="3">
        <v>141.65389999999999</v>
      </c>
      <c r="O1496" t="s">
        <v>33</v>
      </c>
      <c r="P1496" t="s">
        <v>23</v>
      </c>
      <c r="Q1496" t="s">
        <v>34</v>
      </c>
      <c r="R1496" t="s">
        <v>45</v>
      </c>
      <c r="S1496">
        <v>4</v>
      </c>
    </row>
    <row r="1497" spans="1:19" x14ac:dyDescent="0.3">
      <c r="A1497" s="1">
        <v>42854</v>
      </c>
      <c r="B1497">
        <v>2017</v>
      </c>
      <c r="C1497" t="s">
        <v>18</v>
      </c>
      <c r="D1497" s="4">
        <v>72170</v>
      </c>
      <c r="E1497" s="2">
        <v>34000</v>
      </c>
      <c r="F1497" t="s">
        <v>30</v>
      </c>
      <c r="G1497" t="s">
        <v>31</v>
      </c>
      <c r="H1497">
        <v>4</v>
      </c>
      <c r="I1497">
        <v>2</v>
      </c>
      <c r="J1497">
        <v>1439</v>
      </c>
      <c r="K1497" s="5">
        <v>1.3882830000000001E-2</v>
      </c>
      <c r="L1497" t="s">
        <v>27</v>
      </c>
      <c r="M1497" s="4">
        <v>-38170</v>
      </c>
      <c r="N1497" s="3">
        <v>23.627500000000001</v>
      </c>
      <c r="O1497" t="s">
        <v>33</v>
      </c>
      <c r="P1497" t="s">
        <v>23</v>
      </c>
      <c r="Q1497" t="s">
        <v>34</v>
      </c>
      <c r="R1497" t="s">
        <v>45</v>
      </c>
      <c r="S1497">
        <v>4</v>
      </c>
    </row>
    <row r="1498" spans="1:19" x14ac:dyDescent="0.3">
      <c r="A1498" s="1">
        <v>42855</v>
      </c>
      <c r="B1498">
        <v>2017</v>
      </c>
      <c r="C1498" t="s">
        <v>26</v>
      </c>
      <c r="D1498" s="4">
        <v>280550</v>
      </c>
      <c r="E1498" s="2">
        <v>360000</v>
      </c>
      <c r="F1498" t="s">
        <v>19</v>
      </c>
      <c r="G1498" t="s">
        <v>20</v>
      </c>
      <c r="H1498">
        <v>3</v>
      </c>
      <c r="I1498">
        <v>1</v>
      </c>
      <c r="J1498">
        <v>1018</v>
      </c>
      <c r="K1498" s="5">
        <v>1.3882830000000001E-2</v>
      </c>
      <c r="L1498" t="s">
        <v>38</v>
      </c>
      <c r="M1498" s="4">
        <v>79450</v>
      </c>
      <c r="N1498" s="3">
        <v>353.63459999999998</v>
      </c>
      <c r="O1498" t="s">
        <v>22</v>
      </c>
      <c r="P1498" t="s">
        <v>24</v>
      </c>
      <c r="Q1498" t="s">
        <v>24</v>
      </c>
      <c r="R1498" t="s">
        <v>45</v>
      </c>
      <c r="S1498">
        <v>4</v>
      </c>
    </row>
    <row r="1499" spans="1:19" x14ac:dyDescent="0.3">
      <c r="A1499" s="1">
        <v>42856</v>
      </c>
      <c r="B1499">
        <v>2017</v>
      </c>
      <c r="C1499" t="s">
        <v>39</v>
      </c>
      <c r="D1499" s="4">
        <v>506170</v>
      </c>
      <c r="E1499" s="2">
        <v>911000</v>
      </c>
      <c r="F1499" t="s">
        <v>19</v>
      </c>
      <c r="G1499" t="s">
        <v>20</v>
      </c>
      <c r="H1499">
        <v>3</v>
      </c>
      <c r="I1499">
        <v>1</v>
      </c>
      <c r="J1499">
        <v>907</v>
      </c>
      <c r="K1499" s="5">
        <v>1.3882830000000001E-2</v>
      </c>
      <c r="L1499" t="s">
        <v>27</v>
      </c>
      <c r="M1499" s="4">
        <v>404830</v>
      </c>
      <c r="N1499" s="3">
        <v>1004.4101000000001</v>
      </c>
      <c r="O1499" t="s">
        <v>22</v>
      </c>
      <c r="P1499" t="s">
        <v>28</v>
      </c>
      <c r="Q1499" t="s">
        <v>24</v>
      </c>
      <c r="R1499" t="s">
        <v>47</v>
      </c>
      <c r="S1499">
        <v>5</v>
      </c>
    </row>
    <row r="1500" spans="1:19" x14ac:dyDescent="0.3">
      <c r="A1500" s="1">
        <v>42860</v>
      </c>
      <c r="B1500">
        <v>2017</v>
      </c>
      <c r="C1500" t="s">
        <v>18</v>
      </c>
      <c r="D1500" s="4">
        <v>93420</v>
      </c>
      <c r="E1500" s="2">
        <v>145000</v>
      </c>
      <c r="F1500" t="s">
        <v>19</v>
      </c>
      <c r="G1500" t="s">
        <v>20</v>
      </c>
      <c r="H1500">
        <v>3</v>
      </c>
      <c r="I1500">
        <v>3</v>
      </c>
      <c r="J1500">
        <v>966</v>
      </c>
      <c r="K1500" s="5">
        <v>1.3882830000000001E-2</v>
      </c>
      <c r="L1500" t="s">
        <v>27</v>
      </c>
      <c r="M1500" s="4">
        <v>51580</v>
      </c>
      <c r="N1500" s="3">
        <v>150.1035</v>
      </c>
      <c r="O1500" t="s">
        <v>22</v>
      </c>
      <c r="P1500" t="s">
        <v>23</v>
      </c>
      <c r="Q1500" t="s">
        <v>24</v>
      </c>
      <c r="R1500" t="s">
        <v>47</v>
      </c>
      <c r="S1500">
        <v>5</v>
      </c>
    </row>
    <row r="1501" spans="1:19" x14ac:dyDescent="0.3">
      <c r="A1501" s="1">
        <v>42862</v>
      </c>
      <c r="B1501">
        <v>2017</v>
      </c>
      <c r="C1501" t="s">
        <v>40</v>
      </c>
      <c r="D1501" s="4">
        <v>173570</v>
      </c>
      <c r="E1501" s="2">
        <v>245000</v>
      </c>
      <c r="F1501" t="s">
        <v>30</v>
      </c>
      <c r="G1501" t="s">
        <v>31</v>
      </c>
      <c r="H1501">
        <v>4</v>
      </c>
      <c r="I1501">
        <v>2</v>
      </c>
      <c r="J1501">
        <v>1458</v>
      </c>
      <c r="K1501" s="5">
        <v>1.3882830000000001E-2</v>
      </c>
      <c r="L1501" t="s">
        <v>32</v>
      </c>
      <c r="M1501" s="4">
        <v>71430</v>
      </c>
      <c r="N1501" s="3">
        <v>168.0384</v>
      </c>
      <c r="O1501" t="s">
        <v>22</v>
      </c>
      <c r="P1501" t="s">
        <v>24</v>
      </c>
      <c r="Q1501" t="s">
        <v>34</v>
      </c>
      <c r="R1501" t="s">
        <v>47</v>
      </c>
      <c r="S1501">
        <v>5</v>
      </c>
    </row>
    <row r="1502" spans="1:19" x14ac:dyDescent="0.3">
      <c r="A1502" s="1">
        <v>42863</v>
      </c>
      <c r="B1502">
        <v>2017</v>
      </c>
      <c r="C1502" t="s">
        <v>35</v>
      </c>
      <c r="D1502" s="4">
        <v>1169840</v>
      </c>
      <c r="E1502" s="2">
        <v>2300000</v>
      </c>
      <c r="F1502" t="s">
        <v>19</v>
      </c>
      <c r="G1502" t="s">
        <v>20</v>
      </c>
      <c r="H1502">
        <v>3</v>
      </c>
      <c r="I1502">
        <v>1</v>
      </c>
      <c r="J1502">
        <v>1111.6589814177564</v>
      </c>
      <c r="K1502" s="5">
        <v>1.3882830000000001E-2</v>
      </c>
      <c r="L1502" t="s">
        <v>27</v>
      </c>
      <c r="M1502" s="4">
        <v>1130160</v>
      </c>
      <c r="N1502" s="3">
        <v>2068.9798000000001</v>
      </c>
      <c r="O1502" t="s">
        <v>22</v>
      </c>
      <c r="P1502" t="s">
        <v>28</v>
      </c>
      <c r="Q1502" t="s">
        <v>24</v>
      </c>
      <c r="R1502" t="s">
        <v>47</v>
      </c>
      <c r="S1502">
        <v>5</v>
      </c>
    </row>
    <row r="1503" spans="1:19" x14ac:dyDescent="0.3">
      <c r="A1503" s="1">
        <v>42866</v>
      </c>
      <c r="B1503">
        <v>2017</v>
      </c>
      <c r="C1503" t="s">
        <v>18</v>
      </c>
      <c r="D1503" s="4">
        <v>67600</v>
      </c>
      <c r="E1503" s="2">
        <v>44300</v>
      </c>
      <c r="F1503" t="s">
        <v>19</v>
      </c>
      <c r="G1503" t="s">
        <v>20</v>
      </c>
      <c r="H1503">
        <v>3</v>
      </c>
      <c r="I1503">
        <v>2</v>
      </c>
      <c r="J1503">
        <v>1096</v>
      </c>
      <c r="K1503" s="5">
        <v>1.3882830000000001E-2</v>
      </c>
      <c r="L1503" t="s">
        <v>38</v>
      </c>
      <c r="M1503" s="4">
        <v>-23300</v>
      </c>
      <c r="N1503" s="3">
        <v>40.419699999999999</v>
      </c>
      <c r="O1503" t="s">
        <v>33</v>
      </c>
      <c r="P1503" t="s">
        <v>23</v>
      </c>
      <c r="Q1503" t="s">
        <v>24</v>
      </c>
      <c r="R1503" t="s">
        <v>47</v>
      </c>
      <c r="S1503">
        <v>5</v>
      </c>
    </row>
    <row r="1504" spans="1:19" x14ac:dyDescent="0.3">
      <c r="A1504" s="1">
        <v>42867</v>
      </c>
      <c r="B1504">
        <v>2017</v>
      </c>
      <c r="C1504" t="s">
        <v>52</v>
      </c>
      <c r="D1504" s="4">
        <v>237020</v>
      </c>
      <c r="E1504" s="2">
        <v>380000</v>
      </c>
      <c r="F1504" t="s">
        <v>19</v>
      </c>
      <c r="G1504" t="s">
        <v>20</v>
      </c>
      <c r="H1504">
        <v>3</v>
      </c>
      <c r="I1504">
        <v>3</v>
      </c>
      <c r="J1504">
        <v>954</v>
      </c>
      <c r="K1504" s="5">
        <v>1.3882830000000001E-2</v>
      </c>
      <c r="L1504" t="s">
        <v>21</v>
      </c>
      <c r="M1504" s="4">
        <v>142980</v>
      </c>
      <c r="N1504" s="3">
        <v>398.3229</v>
      </c>
      <c r="O1504" t="s">
        <v>22</v>
      </c>
      <c r="P1504" t="s">
        <v>24</v>
      </c>
      <c r="Q1504" t="s">
        <v>24</v>
      </c>
      <c r="R1504" t="s">
        <v>47</v>
      </c>
      <c r="S1504">
        <v>5</v>
      </c>
    </row>
    <row r="1505" spans="1:19" x14ac:dyDescent="0.3">
      <c r="A1505" s="1">
        <v>42869</v>
      </c>
      <c r="B1505">
        <v>2017</v>
      </c>
      <c r="C1505" t="s">
        <v>40</v>
      </c>
      <c r="D1505" s="4">
        <v>142910</v>
      </c>
      <c r="E1505" s="2">
        <v>208000</v>
      </c>
      <c r="F1505" t="s">
        <v>19</v>
      </c>
      <c r="G1505" t="s">
        <v>20</v>
      </c>
      <c r="H1505">
        <v>3</v>
      </c>
      <c r="I1505">
        <v>2</v>
      </c>
      <c r="J1505">
        <v>1111.6589814177564</v>
      </c>
      <c r="K1505" s="5">
        <v>1.3882830000000001E-2</v>
      </c>
      <c r="L1505" t="s">
        <v>32</v>
      </c>
      <c r="M1505" s="4">
        <v>65090</v>
      </c>
      <c r="N1505" s="3">
        <v>187.10769999999999</v>
      </c>
      <c r="O1505" t="s">
        <v>22</v>
      </c>
      <c r="P1505" t="s">
        <v>24</v>
      </c>
      <c r="Q1505" t="s">
        <v>24</v>
      </c>
      <c r="R1505" t="s">
        <v>47</v>
      </c>
      <c r="S1505">
        <v>5</v>
      </c>
    </row>
    <row r="1506" spans="1:19" x14ac:dyDescent="0.3">
      <c r="A1506" s="1">
        <v>42870</v>
      </c>
      <c r="B1506">
        <v>2017</v>
      </c>
      <c r="C1506" t="s">
        <v>39</v>
      </c>
      <c r="D1506" s="4">
        <v>444584.20699999999</v>
      </c>
      <c r="E1506" s="2">
        <v>390000</v>
      </c>
      <c r="F1506" t="s">
        <v>19</v>
      </c>
      <c r="G1506" t="s">
        <v>20</v>
      </c>
      <c r="H1506">
        <v>3</v>
      </c>
      <c r="I1506">
        <v>1</v>
      </c>
      <c r="J1506">
        <v>994</v>
      </c>
      <c r="K1506" s="5">
        <v>1.3882830000000001E-2</v>
      </c>
      <c r="L1506" t="s">
        <v>38</v>
      </c>
      <c r="M1506" s="4">
        <v>-54584.207000000002</v>
      </c>
      <c r="N1506" s="3">
        <v>392.35410000000002</v>
      </c>
      <c r="O1506" t="s">
        <v>33</v>
      </c>
      <c r="P1506" t="s">
        <v>24</v>
      </c>
      <c r="Q1506" t="s">
        <v>24</v>
      </c>
      <c r="R1506" t="s">
        <v>47</v>
      </c>
      <c r="S1506">
        <v>5</v>
      </c>
    </row>
    <row r="1507" spans="1:19" x14ac:dyDescent="0.3">
      <c r="A1507" s="1">
        <v>42873</v>
      </c>
      <c r="B1507">
        <v>2017</v>
      </c>
      <c r="C1507" t="s">
        <v>56</v>
      </c>
      <c r="D1507" s="4">
        <v>529760</v>
      </c>
      <c r="E1507" s="2">
        <v>775000</v>
      </c>
      <c r="F1507" t="s">
        <v>19</v>
      </c>
      <c r="G1507" t="s">
        <v>20</v>
      </c>
      <c r="H1507">
        <v>3</v>
      </c>
      <c r="I1507">
        <v>2</v>
      </c>
      <c r="J1507">
        <v>1111.6589814177564</v>
      </c>
      <c r="K1507" s="5">
        <v>1.3882830000000001E-2</v>
      </c>
      <c r="L1507" t="s">
        <v>21</v>
      </c>
      <c r="M1507" s="4">
        <v>245240</v>
      </c>
      <c r="N1507" s="3">
        <v>697.15620000000001</v>
      </c>
      <c r="O1507" t="s">
        <v>22</v>
      </c>
      <c r="P1507" t="s">
        <v>28</v>
      </c>
      <c r="Q1507" t="s">
        <v>24</v>
      </c>
      <c r="R1507" t="s">
        <v>47</v>
      </c>
      <c r="S1507">
        <v>5</v>
      </c>
    </row>
    <row r="1508" spans="1:19" x14ac:dyDescent="0.3">
      <c r="A1508" s="1">
        <v>42874</v>
      </c>
      <c r="B1508">
        <v>2017</v>
      </c>
      <c r="C1508" t="s">
        <v>35</v>
      </c>
      <c r="D1508" s="4">
        <v>444584.20699999999</v>
      </c>
      <c r="E1508" s="2">
        <v>895000</v>
      </c>
      <c r="F1508" t="s">
        <v>19</v>
      </c>
      <c r="G1508" t="s">
        <v>20</v>
      </c>
      <c r="H1508">
        <v>3</v>
      </c>
      <c r="I1508">
        <v>2</v>
      </c>
      <c r="J1508">
        <v>1111.6589814177564</v>
      </c>
      <c r="K1508" s="5">
        <v>1.3882830000000001E-2</v>
      </c>
      <c r="L1508" t="s">
        <v>27</v>
      </c>
      <c r="M1508" s="4">
        <v>450415.79300000001</v>
      </c>
      <c r="N1508" s="3">
        <v>805.10299999999995</v>
      </c>
      <c r="O1508" t="s">
        <v>22</v>
      </c>
      <c r="P1508" t="s">
        <v>28</v>
      </c>
      <c r="Q1508" t="s">
        <v>24</v>
      </c>
      <c r="R1508" t="s">
        <v>47</v>
      </c>
      <c r="S1508">
        <v>5</v>
      </c>
    </row>
    <row r="1509" spans="1:19" x14ac:dyDescent="0.3">
      <c r="A1509" s="1">
        <v>42875</v>
      </c>
      <c r="B1509">
        <v>2017</v>
      </c>
      <c r="C1509" t="s">
        <v>18</v>
      </c>
      <c r="D1509" s="4">
        <v>113140</v>
      </c>
      <c r="E1509" s="2">
        <v>170000</v>
      </c>
      <c r="F1509" t="s">
        <v>30</v>
      </c>
      <c r="G1509" t="s">
        <v>31</v>
      </c>
      <c r="H1509">
        <v>4</v>
      </c>
      <c r="I1509">
        <v>3</v>
      </c>
      <c r="J1509">
        <v>1350</v>
      </c>
      <c r="K1509" s="5">
        <v>1.3882830000000001E-2</v>
      </c>
      <c r="L1509" t="s">
        <v>32</v>
      </c>
      <c r="M1509" s="4">
        <v>56860</v>
      </c>
      <c r="N1509" s="3">
        <v>125.9259</v>
      </c>
      <c r="O1509" t="s">
        <v>22</v>
      </c>
      <c r="P1509" t="s">
        <v>23</v>
      </c>
      <c r="Q1509" t="s">
        <v>34</v>
      </c>
      <c r="R1509" t="s">
        <v>47</v>
      </c>
      <c r="S1509">
        <v>5</v>
      </c>
    </row>
    <row r="1510" spans="1:19" x14ac:dyDescent="0.3">
      <c r="A1510" s="1">
        <v>42876</v>
      </c>
      <c r="B1510">
        <v>2017</v>
      </c>
      <c r="C1510" t="s">
        <v>39</v>
      </c>
      <c r="D1510" s="4">
        <v>339990</v>
      </c>
      <c r="E1510" s="2">
        <v>450000</v>
      </c>
      <c r="F1510" t="s">
        <v>19</v>
      </c>
      <c r="G1510" t="s">
        <v>20</v>
      </c>
      <c r="H1510">
        <v>3</v>
      </c>
      <c r="I1510">
        <v>1</v>
      </c>
      <c r="J1510">
        <v>1023</v>
      </c>
      <c r="K1510" s="5">
        <v>1.3882830000000001E-2</v>
      </c>
      <c r="L1510" t="s">
        <v>32</v>
      </c>
      <c r="M1510" s="4">
        <v>110010</v>
      </c>
      <c r="N1510" s="3">
        <v>439.8827</v>
      </c>
      <c r="O1510" t="s">
        <v>22</v>
      </c>
      <c r="P1510" t="s">
        <v>24</v>
      </c>
      <c r="Q1510" t="s">
        <v>24</v>
      </c>
      <c r="R1510" t="s">
        <v>47</v>
      </c>
      <c r="S1510">
        <v>5</v>
      </c>
    </row>
    <row r="1511" spans="1:19" x14ac:dyDescent="0.3">
      <c r="A1511" s="1">
        <v>42877</v>
      </c>
      <c r="B1511">
        <v>2017</v>
      </c>
      <c r="C1511" t="s">
        <v>56</v>
      </c>
      <c r="D1511" s="4">
        <v>266650</v>
      </c>
      <c r="E1511" s="2">
        <v>470000</v>
      </c>
      <c r="F1511" t="s">
        <v>19</v>
      </c>
      <c r="G1511" t="s">
        <v>20</v>
      </c>
      <c r="H1511">
        <v>3</v>
      </c>
      <c r="I1511">
        <v>1</v>
      </c>
      <c r="J1511">
        <v>915</v>
      </c>
      <c r="K1511" s="5">
        <v>1.3882830000000001E-2</v>
      </c>
      <c r="L1511" t="s">
        <v>38</v>
      </c>
      <c r="M1511" s="4">
        <v>203350</v>
      </c>
      <c r="N1511" s="3">
        <v>513.66120000000001</v>
      </c>
      <c r="O1511" t="s">
        <v>22</v>
      </c>
      <c r="P1511" t="s">
        <v>24</v>
      </c>
      <c r="Q1511" t="s">
        <v>24</v>
      </c>
      <c r="R1511" t="s">
        <v>47</v>
      </c>
      <c r="S1511">
        <v>5</v>
      </c>
    </row>
    <row r="1512" spans="1:19" x14ac:dyDescent="0.3">
      <c r="A1512" s="1">
        <v>42882</v>
      </c>
      <c r="B1512">
        <v>2017</v>
      </c>
      <c r="C1512" t="s">
        <v>29</v>
      </c>
      <c r="D1512" s="4">
        <v>185100</v>
      </c>
      <c r="E1512" s="2">
        <v>205000</v>
      </c>
      <c r="F1512" t="s">
        <v>30</v>
      </c>
      <c r="G1512" t="s">
        <v>31</v>
      </c>
      <c r="H1512">
        <v>4</v>
      </c>
      <c r="I1512">
        <v>4</v>
      </c>
      <c r="J1512">
        <v>1490</v>
      </c>
      <c r="K1512" s="5">
        <v>1.3882830000000001E-2</v>
      </c>
      <c r="L1512" t="s">
        <v>32</v>
      </c>
      <c r="M1512" s="4">
        <v>19900</v>
      </c>
      <c r="N1512" s="3">
        <v>137.5839</v>
      </c>
      <c r="O1512" t="s">
        <v>22</v>
      </c>
      <c r="P1512" t="s">
        <v>24</v>
      </c>
      <c r="Q1512" t="s">
        <v>34</v>
      </c>
      <c r="R1512" t="s">
        <v>47</v>
      </c>
      <c r="S1512">
        <v>5</v>
      </c>
    </row>
    <row r="1513" spans="1:19" x14ac:dyDescent="0.3">
      <c r="A1513" s="1">
        <v>42883</v>
      </c>
      <c r="B1513">
        <v>2017</v>
      </c>
      <c r="C1513" t="s">
        <v>35</v>
      </c>
      <c r="D1513" s="4">
        <v>1112020</v>
      </c>
      <c r="E1513" s="2">
        <v>1825000</v>
      </c>
      <c r="F1513" t="s">
        <v>19</v>
      </c>
      <c r="G1513" t="s">
        <v>20</v>
      </c>
      <c r="H1513">
        <v>3</v>
      </c>
      <c r="I1513">
        <v>1</v>
      </c>
      <c r="J1513">
        <v>913</v>
      </c>
      <c r="K1513" s="5">
        <v>1.3882830000000001E-2</v>
      </c>
      <c r="L1513" t="s">
        <v>32</v>
      </c>
      <c r="M1513" s="4">
        <v>712980</v>
      </c>
      <c r="N1513" s="3">
        <v>1998.9047</v>
      </c>
      <c r="O1513" t="s">
        <v>22</v>
      </c>
      <c r="P1513" t="s">
        <v>28</v>
      </c>
      <c r="Q1513" t="s">
        <v>24</v>
      </c>
      <c r="R1513" t="s">
        <v>47</v>
      </c>
      <c r="S1513">
        <v>5</v>
      </c>
    </row>
    <row r="1514" spans="1:19" x14ac:dyDescent="0.3">
      <c r="A1514" s="1">
        <v>42884</v>
      </c>
      <c r="B1514">
        <v>2017</v>
      </c>
      <c r="C1514" t="s">
        <v>35</v>
      </c>
      <c r="D1514" s="4">
        <v>884240</v>
      </c>
      <c r="E1514" s="2">
        <v>1500000</v>
      </c>
      <c r="F1514" t="s">
        <v>19</v>
      </c>
      <c r="G1514" t="s">
        <v>20</v>
      </c>
      <c r="H1514">
        <v>3</v>
      </c>
      <c r="I1514">
        <v>3</v>
      </c>
      <c r="J1514">
        <v>986</v>
      </c>
      <c r="K1514" s="5">
        <v>1.3882830000000001E-2</v>
      </c>
      <c r="L1514" t="s">
        <v>21</v>
      </c>
      <c r="M1514" s="4">
        <v>615760</v>
      </c>
      <c r="N1514" s="3">
        <v>1521.2982</v>
      </c>
      <c r="O1514" t="s">
        <v>22</v>
      </c>
      <c r="P1514" t="s">
        <v>28</v>
      </c>
      <c r="Q1514" t="s">
        <v>24</v>
      </c>
      <c r="R1514" t="s">
        <v>47</v>
      </c>
      <c r="S1514">
        <v>5</v>
      </c>
    </row>
    <row r="1515" spans="1:19" x14ac:dyDescent="0.3">
      <c r="A1515" s="1">
        <v>42887</v>
      </c>
      <c r="B1515">
        <v>2017</v>
      </c>
      <c r="C1515" t="s">
        <v>40</v>
      </c>
      <c r="D1515" s="4">
        <v>298860</v>
      </c>
      <c r="E1515" s="2">
        <v>385000</v>
      </c>
      <c r="F1515" t="s">
        <v>19</v>
      </c>
      <c r="G1515" t="s">
        <v>20</v>
      </c>
      <c r="H1515">
        <v>3</v>
      </c>
      <c r="I1515">
        <v>3</v>
      </c>
      <c r="J1515">
        <v>1059</v>
      </c>
      <c r="K1515" s="5">
        <v>1.3882830000000001E-2</v>
      </c>
      <c r="L1515" t="s">
        <v>32</v>
      </c>
      <c r="M1515" s="4">
        <v>86140</v>
      </c>
      <c r="N1515" s="3">
        <v>363.5505</v>
      </c>
      <c r="O1515" t="s">
        <v>22</v>
      </c>
      <c r="P1515" t="s">
        <v>24</v>
      </c>
      <c r="Q1515" t="s">
        <v>24</v>
      </c>
      <c r="R1515" t="s">
        <v>48</v>
      </c>
      <c r="S1515">
        <v>6</v>
      </c>
    </row>
    <row r="1516" spans="1:19" x14ac:dyDescent="0.3">
      <c r="A1516" s="1">
        <v>42888</v>
      </c>
      <c r="B1516">
        <v>2017</v>
      </c>
      <c r="C1516" t="s">
        <v>29</v>
      </c>
      <c r="D1516" s="4">
        <v>149270</v>
      </c>
      <c r="E1516" s="2">
        <v>195000</v>
      </c>
      <c r="F1516" t="s">
        <v>19</v>
      </c>
      <c r="G1516" t="s">
        <v>20</v>
      </c>
      <c r="H1516">
        <v>3</v>
      </c>
      <c r="I1516">
        <v>3</v>
      </c>
      <c r="J1516">
        <v>1071</v>
      </c>
      <c r="K1516" s="5">
        <v>1.3882830000000001E-2</v>
      </c>
      <c r="L1516" t="s">
        <v>21</v>
      </c>
      <c r="M1516" s="4">
        <v>45730</v>
      </c>
      <c r="N1516" s="3">
        <v>182.0728</v>
      </c>
      <c r="O1516" t="s">
        <v>22</v>
      </c>
      <c r="P1516" t="s">
        <v>23</v>
      </c>
      <c r="Q1516" t="s">
        <v>24</v>
      </c>
      <c r="R1516" t="s">
        <v>48</v>
      </c>
      <c r="S1516">
        <v>6</v>
      </c>
    </row>
    <row r="1517" spans="1:19" x14ac:dyDescent="0.3">
      <c r="A1517" s="1">
        <v>42890</v>
      </c>
      <c r="B1517">
        <v>2017</v>
      </c>
      <c r="C1517" t="s">
        <v>26</v>
      </c>
      <c r="D1517" s="4">
        <v>343780</v>
      </c>
      <c r="E1517" s="2">
        <v>410000</v>
      </c>
      <c r="F1517" t="s">
        <v>19</v>
      </c>
      <c r="G1517" t="s">
        <v>20</v>
      </c>
      <c r="H1517">
        <v>3</v>
      </c>
      <c r="I1517">
        <v>1</v>
      </c>
      <c r="J1517">
        <v>966</v>
      </c>
      <c r="K1517" s="5">
        <v>1.3882830000000001E-2</v>
      </c>
      <c r="L1517" t="s">
        <v>32</v>
      </c>
      <c r="M1517" s="4">
        <v>66220</v>
      </c>
      <c r="N1517" s="3">
        <v>424.43060000000003</v>
      </c>
      <c r="O1517" t="s">
        <v>22</v>
      </c>
      <c r="P1517" t="s">
        <v>24</v>
      </c>
      <c r="Q1517" t="s">
        <v>24</v>
      </c>
      <c r="R1517" t="s">
        <v>48</v>
      </c>
      <c r="S1517">
        <v>6</v>
      </c>
    </row>
    <row r="1518" spans="1:19" x14ac:dyDescent="0.3">
      <c r="A1518" s="1">
        <v>42891</v>
      </c>
      <c r="B1518">
        <v>2017</v>
      </c>
      <c r="C1518" t="s">
        <v>35</v>
      </c>
      <c r="D1518" s="4">
        <v>370930</v>
      </c>
      <c r="E1518" s="2">
        <v>635000</v>
      </c>
      <c r="F1518" t="s">
        <v>19</v>
      </c>
      <c r="G1518" t="s">
        <v>20</v>
      </c>
      <c r="H1518">
        <v>3</v>
      </c>
      <c r="I1518">
        <v>1</v>
      </c>
      <c r="J1518">
        <v>1082</v>
      </c>
      <c r="K1518" s="5">
        <v>1.3882830000000001E-2</v>
      </c>
      <c r="L1518" t="s">
        <v>38</v>
      </c>
      <c r="M1518" s="4">
        <v>264070</v>
      </c>
      <c r="N1518" s="3">
        <v>586.87620000000004</v>
      </c>
      <c r="O1518" t="s">
        <v>22</v>
      </c>
      <c r="P1518" t="s">
        <v>28</v>
      </c>
      <c r="Q1518" t="s">
        <v>24</v>
      </c>
      <c r="R1518" t="s">
        <v>48</v>
      </c>
      <c r="S1518">
        <v>6</v>
      </c>
    </row>
    <row r="1519" spans="1:19" x14ac:dyDescent="0.3">
      <c r="A1519" s="1">
        <v>42894</v>
      </c>
      <c r="B1519">
        <v>2017</v>
      </c>
      <c r="C1519" t="s">
        <v>56</v>
      </c>
      <c r="D1519" s="4">
        <v>240700</v>
      </c>
      <c r="E1519" s="2">
        <v>195000</v>
      </c>
      <c r="F1519" t="s">
        <v>19</v>
      </c>
      <c r="G1519" t="s">
        <v>20</v>
      </c>
      <c r="H1519">
        <v>3</v>
      </c>
      <c r="I1519">
        <v>2</v>
      </c>
      <c r="J1519">
        <v>900</v>
      </c>
      <c r="K1519" s="5">
        <v>1.3882830000000001E-2</v>
      </c>
      <c r="L1519" t="s">
        <v>21</v>
      </c>
      <c r="M1519" s="4">
        <v>-45700</v>
      </c>
      <c r="N1519" s="3">
        <v>216.66669999999999</v>
      </c>
      <c r="O1519" t="s">
        <v>33</v>
      </c>
      <c r="P1519" t="s">
        <v>23</v>
      </c>
      <c r="Q1519" t="s">
        <v>24</v>
      </c>
      <c r="R1519" t="s">
        <v>48</v>
      </c>
      <c r="S1519">
        <v>6</v>
      </c>
    </row>
    <row r="1520" spans="1:19" x14ac:dyDescent="0.3">
      <c r="A1520" s="1">
        <v>42897</v>
      </c>
      <c r="B1520">
        <v>2017</v>
      </c>
      <c r="C1520" t="s">
        <v>18</v>
      </c>
      <c r="D1520" s="4">
        <v>106780</v>
      </c>
      <c r="E1520" s="2">
        <v>100000</v>
      </c>
      <c r="F1520" t="s">
        <v>19</v>
      </c>
      <c r="G1520" t="s">
        <v>20</v>
      </c>
      <c r="H1520">
        <v>3</v>
      </c>
      <c r="I1520">
        <v>3</v>
      </c>
      <c r="J1520">
        <v>990</v>
      </c>
      <c r="K1520" s="5">
        <v>1.3882830000000001E-2</v>
      </c>
      <c r="L1520" t="s">
        <v>38</v>
      </c>
      <c r="M1520" s="4">
        <v>-6780</v>
      </c>
      <c r="N1520" s="3">
        <v>101.01009999999999</v>
      </c>
      <c r="O1520" t="s">
        <v>33</v>
      </c>
      <c r="P1520" t="s">
        <v>23</v>
      </c>
      <c r="Q1520" t="s">
        <v>24</v>
      </c>
      <c r="R1520" t="s">
        <v>48</v>
      </c>
      <c r="S1520">
        <v>6</v>
      </c>
    </row>
    <row r="1521" spans="1:19" x14ac:dyDescent="0.3">
      <c r="A1521" s="1">
        <v>42898</v>
      </c>
      <c r="B1521">
        <v>2017</v>
      </c>
      <c r="C1521" t="s">
        <v>18</v>
      </c>
      <c r="D1521" s="4">
        <v>94220</v>
      </c>
      <c r="E1521" s="2">
        <v>105000</v>
      </c>
      <c r="F1521" t="s">
        <v>19</v>
      </c>
      <c r="G1521" t="s">
        <v>20</v>
      </c>
      <c r="H1521">
        <v>3</v>
      </c>
      <c r="I1521">
        <v>1</v>
      </c>
      <c r="J1521">
        <v>963</v>
      </c>
      <c r="K1521" s="5">
        <v>1.3882830000000001E-2</v>
      </c>
      <c r="L1521" t="s">
        <v>27</v>
      </c>
      <c r="M1521" s="4">
        <v>10780</v>
      </c>
      <c r="N1521" s="3">
        <v>109.0343</v>
      </c>
      <c r="O1521" t="s">
        <v>22</v>
      </c>
      <c r="P1521" t="s">
        <v>23</v>
      </c>
      <c r="Q1521" t="s">
        <v>24</v>
      </c>
      <c r="R1521" t="s">
        <v>48</v>
      </c>
      <c r="S1521">
        <v>6</v>
      </c>
    </row>
    <row r="1522" spans="1:19" x14ac:dyDescent="0.3">
      <c r="A1522" s="1">
        <v>42901</v>
      </c>
      <c r="B1522">
        <v>2017</v>
      </c>
      <c r="C1522" t="s">
        <v>29</v>
      </c>
      <c r="D1522" s="4">
        <v>126750</v>
      </c>
      <c r="E1522" s="2">
        <v>137800</v>
      </c>
      <c r="F1522" t="s">
        <v>19</v>
      </c>
      <c r="G1522" t="s">
        <v>20</v>
      </c>
      <c r="H1522">
        <v>3</v>
      </c>
      <c r="I1522">
        <v>3</v>
      </c>
      <c r="J1522">
        <v>1089</v>
      </c>
      <c r="K1522" s="5">
        <v>1.3882830000000001E-2</v>
      </c>
      <c r="L1522" t="s">
        <v>38</v>
      </c>
      <c r="M1522" s="4">
        <v>11050</v>
      </c>
      <c r="N1522" s="3">
        <v>126.5381</v>
      </c>
      <c r="O1522" t="s">
        <v>22</v>
      </c>
      <c r="P1522" t="s">
        <v>23</v>
      </c>
      <c r="Q1522" t="s">
        <v>24</v>
      </c>
      <c r="R1522" t="s">
        <v>48</v>
      </c>
      <c r="S1522">
        <v>6</v>
      </c>
    </row>
    <row r="1523" spans="1:19" x14ac:dyDescent="0.3">
      <c r="A1523" s="1">
        <v>42902</v>
      </c>
      <c r="B1523">
        <v>2017</v>
      </c>
      <c r="C1523" t="s">
        <v>26</v>
      </c>
      <c r="D1523" s="4">
        <v>1855050</v>
      </c>
      <c r="E1523" s="2">
        <v>4000000</v>
      </c>
      <c r="F1523" t="s">
        <v>19</v>
      </c>
      <c r="G1523" t="s">
        <v>20</v>
      </c>
      <c r="H1523">
        <v>3</v>
      </c>
      <c r="I1523">
        <v>1</v>
      </c>
      <c r="J1523">
        <v>1111.6589814177564</v>
      </c>
      <c r="K1523" s="5">
        <v>1.3882830000000001E-2</v>
      </c>
      <c r="L1523" t="s">
        <v>32</v>
      </c>
      <c r="M1523" s="4">
        <v>2144950</v>
      </c>
      <c r="N1523" s="3">
        <v>3598.2258000000002</v>
      </c>
      <c r="O1523" t="s">
        <v>22</v>
      </c>
      <c r="P1523" t="s">
        <v>28</v>
      </c>
      <c r="Q1523" t="s">
        <v>24</v>
      </c>
      <c r="R1523" t="s">
        <v>48</v>
      </c>
      <c r="S1523">
        <v>6</v>
      </c>
    </row>
    <row r="1524" spans="1:19" x14ac:dyDescent="0.3">
      <c r="A1524" s="1">
        <v>42904</v>
      </c>
      <c r="B1524">
        <v>2017</v>
      </c>
      <c r="C1524" t="s">
        <v>35</v>
      </c>
      <c r="D1524" s="4">
        <v>937300</v>
      </c>
      <c r="E1524" s="2">
        <v>3195000</v>
      </c>
      <c r="F1524" t="s">
        <v>19</v>
      </c>
      <c r="G1524" t="s">
        <v>20</v>
      </c>
      <c r="H1524">
        <v>3</v>
      </c>
      <c r="I1524">
        <v>1</v>
      </c>
      <c r="J1524">
        <v>1011</v>
      </c>
      <c r="K1524" s="5">
        <v>1.3882830000000001E-2</v>
      </c>
      <c r="L1524" t="s">
        <v>27</v>
      </c>
      <c r="M1524" s="4">
        <v>2257700</v>
      </c>
      <c r="N1524" s="3">
        <v>3160.2374</v>
      </c>
      <c r="O1524" t="s">
        <v>22</v>
      </c>
      <c r="P1524" t="s">
        <v>28</v>
      </c>
      <c r="Q1524" t="s">
        <v>24</v>
      </c>
      <c r="R1524" t="s">
        <v>48</v>
      </c>
      <c r="S1524">
        <v>6</v>
      </c>
    </row>
    <row r="1525" spans="1:19" x14ac:dyDescent="0.3">
      <c r="A1525" s="1">
        <v>42905</v>
      </c>
      <c r="B1525">
        <v>2017</v>
      </c>
      <c r="C1525" t="s">
        <v>35</v>
      </c>
      <c r="D1525" s="4">
        <v>860580</v>
      </c>
      <c r="E1525" s="2">
        <v>800000</v>
      </c>
      <c r="F1525" t="s">
        <v>19</v>
      </c>
      <c r="G1525" t="s">
        <v>20</v>
      </c>
      <c r="H1525">
        <v>3</v>
      </c>
      <c r="I1525">
        <v>2</v>
      </c>
      <c r="J1525">
        <v>906</v>
      </c>
      <c r="K1525" s="5">
        <v>1.3882830000000001E-2</v>
      </c>
      <c r="L1525" t="s">
        <v>27</v>
      </c>
      <c r="M1525" s="4">
        <v>-60580</v>
      </c>
      <c r="N1525" s="3">
        <v>883.00220000000002</v>
      </c>
      <c r="O1525" t="s">
        <v>33</v>
      </c>
      <c r="P1525" t="s">
        <v>28</v>
      </c>
      <c r="Q1525" t="s">
        <v>24</v>
      </c>
      <c r="R1525" t="s">
        <v>48</v>
      </c>
      <c r="S1525">
        <v>6</v>
      </c>
    </row>
    <row r="1526" spans="1:19" x14ac:dyDescent="0.3">
      <c r="A1526" s="1">
        <v>42907</v>
      </c>
      <c r="B1526">
        <v>2017</v>
      </c>
      <c r="C1526" t="s">
        <v>26</v>
      </c>
      <c r="D1526" s="4">
        <v>323100</v>
      </c>
      <c r="E1526" s="2">
        <v>425000</v>
      </c>
      <c r="F1526" t="s">
        <v>19</v>
      </c>
      <c r="G1526" t="s">
        <v>20</v>
      </c>
      <c r="H1526">
        <v>3</v>
      </c>
      <c r="I1526">
        <v>1</v>
      </c>
      <c r="J1526">
        <v>936</v>
      </c>
      <c r="K1526" s="5">
        <v>1.3882830000000001E-2</v>
      </c>
      <c r="L1526" t="s">
        <v>21</v>
      </c>
      <c r="M1526" s="4">
        <v>101900</v>
      </c>
      <c r="N1526" s="3">
        <v>454.0598</v>
      </c>
      <c r="O1526" t="s">
        <v>22</v>
      </c>
      <c r="P1526" t="s">
        <v>24</v>
      </c>
      <c r="Q1526" t="s">
        <v>24</v>
      </c>
      <c r="R1526" t="s">
        <v>48</v>
      </c>
      <c r="S1526">
        <v>6</v>
      </c>
    </row>
    <row r="1527" spans="1:19" x14ac:dyDescent="0.3">
      <c r="A1527" s="1">
        <v>42908</v>
      </c>
      <c r="B1527">
        <v>2017</v>
      </c>
      <c r="C1527" t="s">
        <v>52</v>
      </c>
      <c r="D1527" s="4">
        <v>150710</v>
      </c>
      <c r="E1527" s="2">
        <v>230000</v>
      </c>
      <c r="F1527" t="s">
        <v>19</v>
      </c>
      <c r="G1527" t="s">
        <v>20</v>
      </c>
      <c r="H1527">
        <v>3</v>
      </c>
      <c r="I1527">
        <v>3</v>
      </c>
      <c r="J1527">
        <v>1098</v>
      </c>
      <c r="K1527" s="5">
        <v>1.3882830000000001E-2</v>
      </c>
      <c r="L1527" t="s">
        <v>32</v>
      </c>
      <c r="M1527" s="4">
        <v>79290</v>
      </c>
      <c r="N1527" s="3">
        <v>209.4718</v>
      </c>
      <c r="O1527" t="s">
        <v>22</v>
      </c>
      <c r="P1527" t="s">
        <v>24</v>
      </c>
      <c r="Q1527" t="s">
        <v>24</v>
      </c>
      <c r="R1527" t="s">
        <v>48</v>
      </c>
      <c r="S1527">
        <v>6</v>
      </c>
    </row>
    <row r="1528" spans="1:19" x14ac:dyDescent="0.3">
      <c r="A1528" s="1">
        <v>42909</v>
      </c>
      <c r="B1528">
        <v>2017</v>
      </c>
      <c r="C1528" t="s">
        <v>18</v>
      </c>
      <c r="D1528" s="4">
        <v>75100</v>
      </c>
      <c r="E1528" s="2">
        <v>99900</v>
      </c>
      <c r="F1528" t="s">
        <v>19</v>
      </c>
      <c r="G1528" t="s">
        <v>20</v>
      </c>
      <c r="H1528">
        <v>3</v>
      </c>
      <c r="I1528">
        <v>3</v>
      </c>
      <c r="J1528">
        <v>1029</v>
      </c>
      <c r="K1528" s="5">
        <v>1.3882830000000001E-2</v>
      </c>
      <c r="L1528" t="s">
        <v>27</v>
      </c>
      <c r="M1528" s="4">
        <v>24800</v>
      </c>
      <c r="N1528" s="3">
        <v>97.084500000000006</v>
      </c>
      <c r="O1528" t="s">
        <v>22</v>
      </c>
      <c r="P1528" t="s">
        <v>23</v>
      </c>
      <c r="Q1528" t="s">
        <v>24</v>
      </c>
      <c r="R1528" t="s">
        <v>48</v>
      </c>
      <c r="S1528">
        <v>6</v>
      </c>
    </row>
    <row r="1529" spans="1:19" x14ac:dyDescent="0.3">
      <c r="A1529" s="1">
        <v>42912</v>
      </c>
      <c r="B1529">
        <v>2017</v>
      </c>
      <c r="C1529" t="s">
        <v>39</v>
      </c>
      <c r="D1529" s="4">
        <v>444584.20699999999</v>
      </c>
      <c r="E1529" s="2">
        <v>495000</v>
      </c>
      <c r="F1529" t="s">
        <v>19</v>
      </c>
      <c r="G1529" t="s">
        <v>20</v>
      </c>
      <c r="H1529">
        <v>3</v>
      </c>
      <c r="I1529">
        <v>3</v>
      </c>
      <c r="J1529">
        <v>902</v>
      </c>
      <c r="K1529" s="5">
        <v>1.3882830000000001E-2</v>
      </c>
      <c r="L1529" t="s">
        <v>27</v>
      </c>
      <c r="M1529" s="4">
        <v>50415.792999999998</v>
      </c>
      <c r="N1529" s="3">
        <v>548.78049999999996</v>
      </c>
      <c r="O1529" t="s">
        <v>22</v>
      </c>
      <c r="P1529" t="s">
        <v>24</v>
      </c>
      <c r="Q1529" t="s">
        <v>24</v>
      </c>
      <c r="R1529" t="s">
        <v>48</v>
      </c>
      <c r="S1529">
        <v>6</v>
      </c>
    </row>
    <row r="1530" spans="1:19" x14ac:dyDescent="0.3">
      <c r="A1530" s="1">
        <v>42915</v>
      </c>
      <c r="B1530">
        <v>2017</v>
      </c>
      <c r="C1530" t="s">
        <v>26</v>
      </c>
      <c r="D1530" s="4">
        <v>210880</v>
      </c>
      <c r="E1530" s="2">
        <v>320000</v>
      </c>
      <c r="F1530" t="s">
        <v>19</v>
      </c>
      <c r="G1530" t="s">
        <v>20</v>
      </c>
      <c r="H1530">
        <v>3</v>
      </c>
      <c r="I1530">
        <v>3</v>
      </c>
      <c r="J1530">
        <v>1016</v>
      </c>
      <c r="K1530" s="5">
        <v>1.3882830000000001E-2</v>
      </c>
      <c r="L1530" t="s">
        <v>21</v>
      </c>
      <c r="M1530" s="4">
        <v>109120</v>
      </c>
      <c r="N1530" s="3">
        <v>314.9606</v>
      </c>
      <c r="O1530" t="s">
        <v>22</v>
      </c>
      <c r="P1530" t="s">
        <v>24</v>
      </c>
      <c r="Q1530" t="s">
        <v>24</v>
      </c>
      <c r="R1530" t="s">
        <v>48</v>
      </c>
      <c r="S1530">
        <v>6</v>
      </c>
    </row>
    <row r="1531" spans="1:19" x14ac:dyDescent="0.3">
      <c r="A1531" s="1">
        <v>42917</v>
      </c>
      <c r="B1531">
        <v>2017</v>
      </c>
      <c r="C1531" t="s">
        <v>52</v>
      </c>
      <c r="D1531" s="4">
        <v>349790</v>
      </c>
      <c r="E1531" s="2">
        <v>500000</v>
      </c>
      <c r="F1531" t="s">
        <v>19</v>
      </c>
      <c r="G1531" t="s">
        <v>20</v>
      </c>
      <c r="H1531">
        <v>3</v>
      </c>
      <c r="I1531">
        <v>1</v>
      </c>
      <c r="J1531">
        <v>1012</v>
      </c>
      <c r="K1531" s="5">
        <v>1.3882830000000001E-2</v>
      </c>
      <c r="L1531" t="s">
        <v>32</v>
      </c>
      <c r="M1531" s="4">
        <v>150210</v>
      </c>
      <c r="N1531" s="3">
        <v>494.0711</v>
      </c>
      <c r="O1531" t="s">
        <v>22</v>
      </c>
      <c r="P1531" t="s">
        <v>24</v>
      </c>
      <c r="Q1531" t="s">
        <v>24</v>
      </c>
      <c r="R1531" t="s">
        <v>49</v>
      </c>
      <c r="S1531">
        <v>7</v>
      </c>
    </row>
    <row r="1532" spans="1:19" x14ac:dyDescent="0.3">
      <c r="A1532" s="1">
        <v>42922</v>
      </c>
      <c r="B1532">
        <v>2017</v>
      </c>
      <c r="C1532" t="s">
        <v>39</v>
      </c>
      <c r="D1532" s="4">
        <v>212450</v>
      </c>
      <c r="E1532" s="2">
        <v>265000</v>
      </c>
      <c r="F1532" t="s">
        <v>19</v>
      </c>
      <c r="G1532" t="s">
        <v>20</v>
      </c>
      <c r="H1532">
        <v>3</v>
      </c>
      <c r="I1532">
        <v>1</v>
      </c>
      <c r="J1532">
        <v>1009</v>
      </c>
      <c r="K1532" s="5">
        <v>1.3882830000000001E-2</v>
      </c>
      <c r="L1532" t="s">
        <v>27</v>
      </c>
      <c r="M1532" s="4">
        <v>52550</v>
      </c>
      <c r="N1532" s="3">
        <v>262.63630000000001</v>
      </c>
      <c r="O1532" t="s">
        <v>22</v>
      </c>
      <c r="P1532" t="s">
        <v>24</v>
      </c>
      <c r="Q1532" t="s">
        <v>24</v>
      </c>
      <c r="R1532" t="s">
        <v>49</v>
      </c>
      <c r="S1532">
        <v>7</v>
      </c>
    </row>
    <row r="1533" spans="1:19" x14ac:dyDescent="0.3">
      <c r="A1533" s="1">
        <v>42923</v>
      </c>
      <c r="B1533">
        <v>2017</v>
      </c>
      <c r="C1533" t="s">
        <v>29</v>
      </c>
      <c r="D1533" s="4">
        <v>156070</v>
      </c>
      <c r="E1533" s="2">
        <v>175000</v>
      </c>
      <c r="F1533" t="s">
        <v>30</v>
      </c>
      <c r="G1533" t="s">
        <v>31</v>
      </c>
      <c r="H1533">
        <v>4</v>
      </c>
      <c r="I1533">
        <v>2</v>
      </c>
      <c r="J1533">
        <v>1272</v>
      </c>
      <c r="K1533" s="5">
        <v>1.3882830000000001E-2</v>
      </c>
      <c r="L1533" t="s">
        <v>21</v>
      </c>
      <c r="M1533" s="4">
        <v>18930</v>
      </c>
      <c r="N1533" s="3">
        <v>137.57859999999999</v>
      </c>
      <c r="O1533" t="s">
        <v>22</v>
      </c>
      <c r="P1533" t="s">
        <v>23</v>
      </c>
      <c r="Q1533" t="s">
        <v>24</v>
      </c>
      <c r="R1533" t="s">
        <v>49</v>
      </c>
      <c r="S1533">
        <v>7</v>
      </c>
    </row>
    <row r="1534" spans="1:19" x14ac:dyDescent="0.3">
      <c r="A1534" s="1">
        <v>42924</v>
      </c>
      <c r="B1534">
        <v>2017</v>
      </c>
      <c r="C1534" t="s">
        <v>29</v>
      </c>
      <c r="D1534" s="4">
        <v>444584.20699999999</v>
      </c>
      <c r="E1534" s="2">
        <v>185000</v>
      </c>
      <c r="F1534" t="s">
        <v>30</v>
      </c>
      <c r="G1534" t="s">
        <v>31</v>
      </c>
      <c r="H1534">
        <v>4</v>
      </c>
      <c r="I1534">
        <v>2</v>
      </c>
      <c r="J1534">
        <v>1285</v>
      </c>
      <c r="K1534" s="5">
        <v>1.3882830000000001E-2</v>
      </c>
      <c r="L1534" t="s">
        <v>32</v>
      </c>
      <c r="M1534" s="4">
        <v>-259584.20699999999</v>
      </c>
      <c r="N1534" s="3">
        <v>143.96889999999999</v>
      </c>
      <c r="O1534" t="s">
        <v>33</v>
      </c>
      <c r="P1534" t="s">
        <v>23</v>
      </c>
      <c r="Q1534" t="s">
        <v>24</v>
      </c>
      <c r="R1534" t="s">
        <v>49</v>
      </c>
      <c r="S1534">
        <v>7</v>
      </c>
    </row>
    <row r="1535" spans="1:19" x14ac:dyDescent="0.3">
      <c r="A1535" s="1">
        <v>42925</v>
      </c>
      <c r="B1535">
        <v>2017</v>
      </c>
      <c r="C1535" t="s">
        <v>52</v>
      </c>
      <c r="D1535" s="4">
        <v>216860</v>
      </c>
      <c r="E1535" s="2">
        <v>235000</v>
      </c>
      <c r="F1535" t="s">
        <v>30</v>
      </c>
      <c r="G1535" t="s">
        <v>31</v>
      </c>
      <c r="H1535">
        <v>4</v>
      </c>
      <c r="I1535">
        <v>3</v>
      </c>
      <c r="J1535">
        <v>1463</v>
      </c>
      <c r="K1535" s="5">
        <v>1.3882830000000001E-2</v>
      </c>
      <c r="L1535" t="s">
        <v>27</v>
      </c>
      <c r="M1535" s="4">
        <v>18140</v>
      </c>
      <c r="N1535" s="3">
        <v>160.62880000000001</v>
      </c>
      <c r="O1535" t="s">
        <v>22</v>
      </c>
      <c r="P1535" t="s">
        <v>24</v>
      </c>
      <c r="Q1535" t="s">
        <v>34</v>
      </c>
      <c r="R1535" t="s">
        <v>49</v>
      </c>
      <c r="S1535">
        <v>7</v>
      </c>
    </row>
    <row r="1536" spans="1:19" x14ac:dyDescent="0.3">
      <c r="A1536" s="1">
        <v>42926</v>
      </c>
      <c r="B1536">
        <v>2017</v>
      </c>
      <c r="C1536" t="s">
        <v>40</v>
      </c>
      <c r="D1536" s="4">
        <v>514780</v>
      </c>
      <c r="E1536" s="2">
        <v>790000</v>
      </c>
      <c r="F1536" t="s">
        <v>19</v>
      </c>
      <c r="G1536" t="s">
        <v>20</v>
      </c>
      <c r="H1536">
        <v>3</v>
      </c>
      <c r="I1536">
        <v>1</v>
      </c>
      <c r="J1536">
        <v>1034</v>
      </c>
      <c r="K1536" s="5">
        <v>1.3882830000000001E-2</v>
      </c>
      <c r="L1536" t="s">
        <v>21</v>
      </c>
      <c r="M1536" s="4">
        <v>275220</v>
      </c>
      <c r="N1536" s="3">
        <v>764.02319999999997</v>
      </c>
      <c r="O1536" t="s">
        <v>22</v>
      </c>
      <c r="P1536" t="s">
        <v>28</v>
      </c>
      <c r="Q1536" t="s">
        <v>24</v>
      </c>
      <c r="R1536" t="s">
        <v>49</v>
      </c>
      <c r="S1536">
        <v>7</v>
      </c>
    </row>
    <row r="1537" spans="1:19" x14ac:dyDescent="0.3">
      <c r="A1537" s="1">
        <v>42929</v>
      </c>
      <c r="B1537">
        <v>2017</v>
      </c>
      <c r="C1537" t="s">
        <v>29</v>
      </c>
      <c r="D1537" s="4">
        <v>444584.20699999999</v>
      </c>
      <c r="E1537" s="2">
        <v>71000</v>
      </c>
      <c r="F1537" t="s">
        <v>19</v>
      </c>
      <c r="G1537" t="s">
        <v>20</v>
      </c>
      <c r="H1537">
        <v>3</v>
      </c>
      <c r="I1537">
        <v>3</v>
      </c>
      <c r="J1537">
        <v>959</v>
      </c>
      <c r="K1537" s="5">
        <v>1.3882830000000001E-2</v>
      </c>
      <c r="L1537" t="s">
        <v>32</v>
      </c>
      <c r="M1537" s="4">
        <v>-373584.20699999999</v>
      </c>
      <c r="N1537" s="3">
        <v>74.035499999999999</v>
      </c>
      <c r="O1537" t="s">
        <v>33</v>
      </c>
      <c r="P1537" t="s">
        <v>23</v>
      </c>
      <c r="Q1537" t="s">
        <v>24</v>
      </c>
      <c r="R1537" t="s">
        <v>49</v>
      </c>
      <c r="S1537">
        <v>7</v>
      </c>
    </row>
    <row r="1538" spans="1:19" x14ac:dyDescent="0.3">
      <c r="A1538" s="1">
        <v>42930</v>
      </c>
      <c r="B1538">
        <v>2017</v>
      </c>
      <c r="C1538" t="s">
        <v>18</v>
      </c>
      <c r="D1538" s="4">
        <v>86310</v>
      </c>
      <c r="E1538" s="2">
        <v>99500</v>
      </c>
      <c r="F1538" t="s">
        <v>19</v>
      </c>
      <c r="G1538" t="s">
        <v>20</v>
      </c>
      <c r="H1538">
        <v>3</v>
      </c>
      <c r="I1538">
        <v>2</v>
      </c>
      <c r="J1538">
        <v>1111.6589814177564</v>
      </c>
      <c r="K1538" s="5">
        <v>1.3882830000000001E-2</v>
      </c>
      <c r="L1538" t="s">
        <v>32</v>
      </c>
      <c r="M1538" s="4">
        <v>13190</v>
      </c>
      <c r="N1538" s="3">
        <v>89.505899999999997</v>
      </c>
      <c r="O1538" t="s">
        <v>22</v>
      </c>
      <c r="P1538" t="s">
        <v>23</v>
      </c>
      <c r="Q1538" t="s">
        <v>24</v>
      </c>
      <c r="R1538" t="s">
        <v>49</v>
      </c>
      <c r="S1538">
        <v>7</v>
      </c>
    </row>
    <row r="1539" spans="1:19" x14ac:dyDescent="0.3">
      <c r="A1539" s="1">
        <v>42931</v>
      </c>
      <c r="B1539">
        <v>2017</v>
      </c>
      <c r="C1539" t="s">
        <v>40</v>
      </c>
      <c r="D1539" s="4">
        <v>260680</v>
      </c>
      <c r="E1539" s="2">
        <v>470000</v>
      </c>
      <c r="F1539" t="s">
        <v>19</v>
      </c>
      <c r="G1539" t="s">
        <v>20</v>
      </c>
      <c r="H1539">
        <v>3</v>
      </c>
      <c r="I1539">
        <v>2</v>
      </c>
      <c r="J1539">
        <v>965</v>
      </c>
      <c r="K1539" s="5">
        <v>1.3882830000000001E-2</v>
      </c>
      <c r="L1539" t="s">
        <v>27</v>
      </c>
      <c r="M1539" s="4">
        <v>209320</v>
      </c>
      <c r="N1539" s="3">
        <v>487.04660000000001</v>
      </c>
      <c r="O1539" t="s">
        <v>22</v>
      </c>
      <c r="P1539" t="s">
        <v>24</v>
      </c>
      <c r="Q1539" t="s">
        <v>24</v>
      </c>
      <c r="R1539" t="s">
        <v>49</v>
      </c>
      <c r="S1539">
        <v>7</v>
      </c>
    </row>
    <row r="1540" spans="1:19" x14ac:dyDescent="0.3">
      <c r="A1540" s="1">
        <v>42932</v>
      </c>
      <c r="B1540">
        <v>2017</v>
      </c>
      <c r="C1540" t="s">
        <v>26</v>
      </c>
      <c r="D1540" s="4">
        <v>405170</v>
      </c>
      <c r="E1540" s="2">
        <v>617000</v>
      </c>
      <c r="F1540" t="s">
        <v>19</v>
      </c>
      <c r="G1540" t="s">
        <v>20</v>
      </c>
      <c r="H1540">
        <v>3</v>
      </c>
      <c r="I1540">
        <v>2</v>
      </c>
      <c r="J1540">
        <v>971</v>
      </c>
      <c r="K1540" s="5">
        <v>1.3882830000000001E-2</v>
      </c>
      <c r="L1540" t="s">
        <v>32</v>
      </c>
      <c r="M1540" s="4">
        <v>211830</v>
      </c>
      <c r="N1540" s="3">
        <v>635.42740000000003</v>
      </c>
      <c r="O1540" t="s">
        <v>22</v>
      </c>
      <c r="P1540" t="s">
        <v>28</v>
      </c>
      <c r="Q1540" t="s">
        <v>24</v>
      </c>
      <c r="R1540" t="s">
        <v>49</v>
      </c>
      <c r="S1540">
        <v>7</v>
      </c>
    </row>
    <row r="1541" spans="1:19" x14ac:dyDescent="0.3">
      <c r="A1541" s="1">
        <v>42933</v>
      </c>
      <c r="B1541">
        <v>2017</v>
      </c>
      <c r="C1541" t="s">
        <v>18</v>
      </c>
      <c r="D1541" s="4">
        <v>87820</v>
      </c>
      <c r="E1541" s="2">
        <v>115000</v>
      </c>
      <c r="F1541" t="s">
        <v>30</v>
      </c>
      <c r="G1541" t="s">
        <v>31</v>
      </c>
      <c r="H1541">
        <v>4</v>
      </c>
      <c r="I1541">
        <v>4</v>
      </c>
      <c r="J1541">
        <v>1378</v>
      </c>
      <c r="K1541" s="5">
        <v>1.3882830000000001E-2</v>
      </c>
      <c r="L1541" t="s">
        <v>21</v>
      </c>
      <c r="M1541" s="4">
        <v>27180</v>
      </c>
      <c r="N1541" s="3">
        <v>83.454300000000003</v>
      </c>
      <c r="O1541" t="s">
        <v>22</v>
      </c>
      <c r="P1541" t="s">
        <v>23</v>
      </c>
      <c r="Q1541" t="s">
        <v>34</v>
      </c>
      <c r="R1541" t="s">
        <v>49</v>
      </c>
      <c r="S1541">
        <v>7</v>
      </c>
    </row>
    <row r="1542" spans="1:19" x14ac:dyDescent="0.3">
      <c r="A1542" s="1">
        <v>42936</v>
      </c>
      <c r="B1542">
        <v>2017</v>
      </c>
      <c r="C1542" t="s">
        <v>56</v>
      </c>
      <c r="D1542" s="4">
        <v>247100</v>
      </c>
      <c r="E1542" s="2">
        <v>429000</v>
      </c>
      <c r="F1542" t="s">
        <v>19</v>
      </c>
      <c r="G1542" t="s">
        <v>20</v>
      </c>
      <c r="H1542">
        <v>3</v>
      </c>
      <c r="I1542">
        <v>2</v>
      </c>
      <c r="J1542">
        <v>1059</v>
      </c>
      <c r="K1542" s="5">
        <v>1.3882830000000001E-2</v>
      </c>
      <c r="L1542" t="s">
        <v>21</v>
      </c>
      <c r="M1542" s="4">
        <v>181900</v>
      </c>
      <c r="N1542" s="3">
        <v>405.0992</v>
      </c>
      <c r="O1542" t="s">
        <v>22</v>
      </c>
      <c r="P1542" t="s">
        <v>24</v>
      </c>
      <c r="Q1542" t="s">
        <v>24</v>
      </c>
      <c r="R1542" t="s">
        <v>49</v>
      </c>
      <c r="S1542">
        <v>7</v>
      </c>
    </row>
    <row r="1543" spans="1:19" x14ac:dyDescent="0.3">
      <c r="A1543" s="1">
        <v>42937</v>
      </c>
      <c r="B1543">
        <v>2017</v>
      </c>
      <c r="C1543" t="s">
        <v>56</v>
      </c>
      <c r="D1543" s="4">
        <v>250760</v>
      </c>
      <c r="E1543" s="2">
        <v>500000</v>
      </c>
      <c r="F1543" t="s">
        <v>19</v>
      </c>
      <c r="G1543" t="s">
        <v>20</v>
      </c>
      <c r="H1543">
        <v>3</v>
      </c>
      <c r="I1543">
        <v>1</v>
      </c>
      <c r="J1543">
        <v>939</v>
      </c>
      <c r="K1543" s="5">
        <v>1.3882830000000001E-2</v>
      </c>
      <c r="L1543" t="s">
        <v>27</v>
      </c>
      <c r="M1543" s="4">
        <v>249240</v>
      </c>
      <c r="N1543" s="3">
        <v>532.48140000000001</v>
      </c>
      <c r="O1543" t="s">
        <v>22</v>
      </c>
      <c r="P1543" t="s">
        <v>24</v>
      </c>
      <c r="Q1543" t="s">
        <v>24</v>
      </c>
      <c r="R1543" t="s">
        <v>49</v>
      </c>
      <c r="S1543">
        <v>7</v>
      </c>
    </row>
    <row r="1544" spans="1:19" x14ac:dyDescent="0.3">
      <c r="A1544" s="1">
        <v>42938</v>
      </c>
      <c r="B1544">
        <v>2017</v>
      </c>
      <c r="C1544" t="s">
        <v>26</v>
      </c>
      <c r="D1544" s="4">
        <v>285220</v>
      </c>
      <c r="E1544" s="2">
        <v>480000</v>
      </c>
      <c r="F1544" t="s">
        <v>19</v>
      </c>
      <c r="G1544" t="s">
        <v>20</v>
      </c>
      <c r="H1544">
        <v>3</v>
      </c>
      <c r="I1544">
        <v>1</v>
      </c>
      <c r="J1544">
        <v>1111.6589814177564</v>
      </c>
      <c r="K1544" s="5">
        <v>1.3882830000000001E-2</v>
      </c>
      <c r="L1544" t="s">
        <v>32</v>
      </c>
      <c r="M1544" s="4">
        <v>194780</v>
      </c>
      <c r="N1544" s="3">
        <v>431.78710000000001</v>
      </c>
      <c r="O1544" t="s">
        <v>22</v>
      </c>
      <c r="P1544" t="s">
        <v>24</v>
      </c>
      <c r="Q1544" t="s">
        <v>24</v>
      </c>
      <c r="R1544" t="s">
        <v>49</v>
      </c>
      <c r="S1544">
        <v>7</v>
      </c>
    </row>
    <row r="1545" spans="1:19" x14ac:dyDescent="0.3">
      <c r="A1545" s="1">
        <v>42939</v>
      </c>
      <c r="B1545">
        <v>2017</v>
      </c>
      <c r="C1545" t="s">
        <v>29</v>
      </c>
      <c r="D1545" s="4">
        <v>91140</v>
      </c>
      <c r="E1545" s="2">
        <v>35000</v>
      </c>
      <c r="F1545" t="s">
        <v>19</v>
      </c>
      <c r="G1545" t="s">
        <v>20</v>
      </c>
      <c r="H1545">
        <v>3</v>
      </c>
      <c r="I1545">
        <v>1</v>
      </c>
      <c r="J1545">
        <v>1018</v>
      </c>
      <c r="K1545" s="5">
        <v>1.3882830000000001E-2</v>
      </c>
      <c r="L1545" t="s">
        <v>27</v>
      </c>
      <c r="M1545" s="4">
        <v>-56140</v>
      </c>
      <c r="N1545" s="3">
        <v>34.381100000000004</v>
      </c>
      <c r="O1545" t="s">
        <v>33</v>
      </c>
      <c r="P1545" t="s">
        <v>23</v>
      </c>
      <c r="Q1545" t="s">
        <v>24</v>
      </c>
      <c r="R1545" t="s">
        <v>49</v>
      </c>
      <c r="S1545">
        <v>7</v>
      </c>
    </row>
    <row r="1546" spans="1:19" x14ac:dyDescent="0.3">
      <c r="A1546" s="1">
        <v>42940</v>
      </c>
      <c r="B1546">
        <v>2017</v>
      </c>
      <c r="C1546" t="s">
        <v>39</v>
      </c>
      <c r="D1546" s="4">
        <v>331450</v>
      </c>
      <c r="E1546" s="2">
        <v>483500</v>
      </c>
      <c r="F1546" t="s">
        <v>19</v>
      </c>
      <c r="G1546" t="s">
        <v>20</v>
      </c>
      <c r="H1546">
        <v>3</v>
      </c>
      <c r="I1546">
        <v>3</v>
      </c>
      <c r="J1546">
        <v>914</v>
      </c>
      <c r="K1546" s="5">
        <v>1.3882830000000001E-2</v>
      </c>
      <c r="L1546" t="s">
        <v>32</v>
      </c>
      <c r="M1546" s="4">
        <v>152050</v>
      </c>
      <c r="N1546" s="3">
        <v>528.99339999999995</v>
      </c>
      <c r="O1546" t="s">
        <v>22</v>
      </c>
      <c r="P1546" t="s">
        <v>24</v>
      </c>
      <c r="Q1546" t="s">
        <v>24</v>
      </c>
      <c r="R1546" t="s">
        <v>49</v>
      </c>
      <c r="S1546">
        <v>7</v>
      </c>
    </row>
    <row r="1547" spans="1:19" x14ac:dyDescent="0.3">
      <c r="A1547" s="1">
        <v>42943</v>
      </c>
      <c r="B1547">
        <v>2017</v>
      </c>
      <c r="C1547" t="s">
        <v>29</v>
      </c>
      <c r="D1547" s="4">
        <v>128740</v>
      </c>
      <c r="E1547" s="2">
        <v>85000</v>
      </c>
      <c r="F1547" t="s">
        <v>19</v>
      </c>
      <c r="G1547" t="s">
        <v>20</v>
      </c>
      <c r="H1547">
        <v>3</v>
      </c>
      <c r="I1547">
        <v>1</v>
      </c>
      <c r="J1547">
        <v>1086</v>
      </c>
      <c r="K1547" s="5">
        <v>1.3882830000000001E-2</v>
      </c>
      <c r="L1547" t="s">
        <v>38</v>
      </c>
      <c r="M1547" s="4">
        <v>-43740</v>
      </c>
      <c r="N1547" s="3">
        <v>78.268900000000002</v>
      </c>
      <c r="O1547" t="s">
        <v>33</v>
      </c>
      <c r="P1547" t="s">
        <v>23</v>
      </c>
      <c r="Q1547" t="s">
        <v>24</v>
      </c>
      <c r="R1547" t="s">
        <v>49</v>
      </c>
      <c r="S1547">
        <v>7</v>
      </c>
    </row>
    <row r="1548" spans="1:19" x14ac:dyDescent="0.3">
      <c r="A1548" s="1">
        <v>42944</v>
      </c>
      <c r="B1548">
        <v>2017</v>
      </c>
      <c r="C1548" t="s">
        <v>18</v>
      </c>
      <c r="D1548" s="4">
        <v>444584.20699999999</v>
      </c>
      <c r="E1548" s="2">
        <v>161000</v>
      </c>
      <c r="F1548" t="s">
        <v>19</v>
      </c>
      <c r="G1548" t="s">
        <v>20</v>
      </c>
      <c r="H1548">
        <v>3</v>
      </c>
      <c r="I1548">
        <v>2</v>
      </c>
      <c r="J1548">
        <v>1054</v>
      </c>
      <c r="K1548" s="5">
        <v>1.3882830000000001E-2</v>
      </c>
      <c r="L1548" t="s">
        <v>38</v>
      </c>
      <c r="M1548" s="4">
        <v>-283584.20699999999</v>
      </c>
      <c r="N1548" s="3">
        <v>152.75139999999999</v>
      </c>
      <c r="O1548" t="s">
        <v>33</v>
      </c>
      <c r="P1548" t="s">
        <v>23</v>
      </c>
      <c r="Q1548" t="s">
        <v>24</v>
      </c>
      <c r="R1548" t="s">
        <v>49</v>
      </c>
      <c r="S1548">
        <v>7</v>
      </c>
    </row>
    <row r="1549" spans="1:19" x14ac:dyDescent="0.3">
      <c r="A1549" s="1">
        <v>42945</v>
      </c>
      <c r="B1549">
        <v>2017</v>
      </c>
      <c r="C1549" t="s">
        <v>40</v>
      </c>
      <c r="D1549" s="4">
        <v>278670</v>
      </c>
      <c r="E1549" s="2">
        <v>329900</v>
      </c>
      <c r="F1549" t="s">
        <v>19</v>
      </c>
      <c r="G1549" t="s">
        <v>20</v>
      </c>
      <c r="H1549">
        <v>3</v>
      </c>
      <c r="I1549">
        <v>1</v>
      </c>
      <c r="J1549">
        <v>1093</v>
      </c>
      <c r="K1549" s="5">
        <v>1.3882830000000001E-2</v>
      </c>
      <c r="L1549" t="s">
        <v>32</v>
      </c>
      <c r="M1549" s="4">
        <v>51230</v>
      </c>
      <c r="N1549" s="3">
        <v>301.82979999999998</v>
      </c>
      <c r="O1549" t="s">
        <v>22</v>
      </c>
      <c r="P1549" t="s">
        <v>24</v>
      </c>
      <c r="Q1549" t="s">
        <v>24</v>
      </c>
      <c r="R1549" t="s">
        <v>49</v>
      </c>
      <c r="S1549">
        <v>7</v>
      </c>
    </row>
    <row r="1550" spans="1:19" x14ac:dyDescent="0.3">
      <c r="A1550" s="1">
        <v>42946</v>
      </c>
      <c r="B1550">
        <v>2017</v>
      </c>
      <c r="C1550" t="s">
        <v>29</v>
      </c>
      <c r="D1550" s="4">
        <v>122650</v>
      </c>
      <c r="E1550" s="2">
        <v>82000</v>
      </c>
      <c r="F1550" t="s">
        <v>19</v>
      </c>
      <c r="G1550" t="s">
        <v>20</v>
      </c>
      <c r="H1550">
        <v>3</v>
      </c>
      <c r="I1550">
        <v>3</v>
      </c>
      <c r="J1550">
        <v>902</v>
      </c>
      <c r="K1550" s="5">
        <v>1.3882830000000001E-2</v>
      </c>
      <c r="L1550" t="s">
        <v>27</v>
      </c>
      <c r="M1550" s="4">
        <v>-40650</v>
      </c>
      <c r="N1550" s="3">
        <v>90.909099999999995</v>
      </c>
      <c r="O1550" t="s">
        <v>33</v>
      </c>
      <c r="P1550" t="s">
        <v>23</v>
      </c>
      <c r="Q1550" t="s">
        <v>24</v>
      </c>
      <c r="R1550" t="s">
        <v>49</v>
      </c>
      <c r="S1550">
        <v>7</v>
      </c>
    </row>
    <row r="1551" spans="1:19" x14ac:dyDescent="0.3">
      <c r="A1551" s="1">
        <v>42947</v>
      </c>
      <c r="B1551">
        <v>2017</v>
      </c>
      <c r="C1551" t="s">
        <v>56</v>
      </c>
      <c r="D1551" s="4">
        <v>329270</v>
      </c>
      <c r="E1551" s="2">
        <v>430000</v>
      </c>
      <c r="F1551" t="s">
        <v>19</v>
      </c>
      <c r="G1551" t="s">
        <v>20</v>
      </c>
      <c r="H1551">
        <v>3</v>
      </c>
      <c r="I1551">
        <v>2</v>
      </c>
      <c r="J1551">
        <v>964</v>
      </c>
      <c r="K1551" s="5">
        <v>1.3882830000000001E-2</v>
      </c>
      <c r="L1551" t="s">
        <v>38</v>
      </c>
      <c r="M1551" s="4">
        <v>100730</v>
      </c>
      <c r="N1551" s="3">
        <v>446.05810000000002</v>
      </c>
      <c r="O1551" t="s">
        <v>22</v>
      </c>
      <c r="P1551" t="s">
        <v>24</v>
      </c>
      <c r="Q1551" t="s">
        <v>24</v>
      </c>
      <c r="R1551" t="s">
        <v>49</v>
      </c>
      <c r="S1551">
        <v>7</v>
      </c>
    </row>
    <row r="1552" spans="1:19" x14ac:dyDescent="0.3">
      <c r="A1552" s="1">
        <v>42951</v>
      </c>
      <c r="B1552">
        <v>2017</v>
      </c>
      <c r="C1552" t="s">
        <v>26</v>
      </c>
      <c r="D1552" s="4">
        <v>444584.20699999999</v>
      </c>
      <c r="E1552" s="2">
        <v>704000</v>
      </c>
      <c r="F1552" t="s">
        <v>19</v>
      </c>
      <c r="G1552" t="s">
        <v>20</v>
      </c>
      <c r="H1552">
        <v>3</v>
      </c>
      <c r="I1552">
        <v>3</v>
      </c>
      <c r="J1552">
        <v>1089</v>
      </c>
      <c r="K1552" s="5">
        <v>1.3882830000000001E-2</v>
      </c>
      <c r="L1552" t="s">
        <v>32</v>
      </c>
      <c r="M1552" s="4">
        <v>259415.79300000001</v>
      </c>
      <c r="N1552" s="3">
        <v>646.46460000000002</v>
      </c>
      <c r="O1552" t="s">
        <v>22</v>
      </c>
      <c r="P1552" t="s">
        <v>28</v>
      </c>
      <c r="Q1552" t="s">
        <v>24</v>
      </c>
      <c r="R1552" t="s">
        <v>50</v>
      </c>
      <c r="S1552">
        <v>8</v>
      </c>
    </row>
    <row r="1553" spans="1:19" x14ac:dyDescent="0.3">
      <c r="A1553" s="1">
        <v>42952</v>
      </c>
      <c r="B1553">
        <v>2017</v>
      </c>
      <c r="C1553" t="s">
        <v>39</v>
      </c>
      <c r="D1553" s="4">
        <v>1193640</v>
      </c>
      <c r="E1553" s="2">
        <v>2125000</v>
      </c>
      <c r="F1553" t="s">
        <v>19</v>
      </c>
      <c r="G1553" t="s">
        <v>20</v>
      </c>
      <c r="H1553">
        <v>3</v>
      </c>
      <c r="I1553">
        <v>3</v>
      </c>
      <c r="J1553">
        <v>944</v>
      </c>
      <c r="K1553" s="5">
        <v>1.3882830000000001E-2</v>
      </c>
      <c r="L1553" t="s">
        <v>38</v>
      </c>
      <c r="M1553" s="4">
        <v>931360</v>
      </c>
      <c r="N1553" s="3">
        <v>2251.0592999999999</v>
      </c>
      <c r="O1553" t="s">
        <v>22</v>
      </c>
      <c r="P1553" t="s">
        <v>28</v>
      </c>
      <c r="Q1553" t="s">
        <v>24</v>
      </c>
      <c r="R1553" t="s">
        <v>50</v>
      </c>
      <c r="S1553">
        <v>8</v>
      </c>
    </row>
    <row r="1554" spans="1:19" x14ac:dyDescent="0.3">
      <c r="A1554" s="1">
        <v>42953</v>
      </c>
      <c r="B1554">
        <v>2017</v>
      </c>
      <c r="C1554" t="s">
        <v>40</v>
      </c>
      <c r="D1554" s="4">
        <v>820440</v>
      </c>
      <c r="E1554" s="2">
        <v>850000</v>
      </c>
      <c r="F1554" t="s">
        <v>19</v>
      </c>
      <c r="G1554" t="s">
        <v>20</v>
      </c>
      <c r="H1554">
        <v>3</v>
      </c>
      <c r="I1554">
        <v>1</v>
      </c>
      <c r="J1554">
        <v>947</v>
      </c>
      <c r="K1554" s="5">
        <v>1.3882830000000001E-2</v>
      </c>
      <c r="L1554" t="s">
        <v>27</v>
      </c>
      <c r="M1554" s="4">
        <v>29560</v>
      </c>
      <c r="N1554" s="3">
        <v>897.57129999999995</v>
      </c>
      <c r="O1554" t="s">
        <v>22</v>
      </c>
      <c r="P1554" t="s">
        <v>28</v>
      </c>
      <c r="Q1554" t="s">
        <v>24</v>
      </c>
      <c r="R1554" t="s">
        <v>50</v>
      </c>
      <c r="S1554">
        <v>8</v>
      </c>
    </row>
    <row r="1555" spans="1:19" x14ac:dyDescent="0.3">
      <c r="A1555" s="1">
        <v>42954</v>
      </c>
      <c r="B1555">
        <v>2017</v>
      </c>
      <c r="C1555" t="s">
        <v>26</v>
      </c>
      <c r="D1555" s="4">
        <v>282620</v>
      </c>
      <c r="E1555" s="2">
        <v>368000</v>
      </c>
      <c r="F1555" t="s">
        <v>19</v>
      </c>
      <c r="G1555" t="s">
        <v>20</v>
      </c>
      <c r="H1555">
        <v>3</v>
      </c>
      <c r="I1555">
        <v>2</v>
      </c>
      <c r="J1555">
        <v>993</v>
      </c>
      <c r="K1555" s="5">
        <v>1.3882830000000001E-2</v>
      </c>
      <c r="L1555" t="s">
        <v>21</v>
      </c>
      <c r="M1555" s="4">
        <v>85380</v>
      </c>
      <c r="N1555" s="3">
        <v>370.5942</v>
      </c>
      <c r="O1555" t="s">
        <v>22</v>
      </c>
      <c r="P1555" t="s">
        <v>24</v>
      </c>
      <c r="Q1555" t="s">
        <v>24</v>
      </c>
      <c r="R1555" t="s">
        <v>50</v>
      </c>
      <c r="S1555">
        <v>8</v>
      </c>
    </row>
    <row r="1556" spans="1:19" x14ac:dyDescent="0.3">
      <c r="A1556" s="1">
        <v>42957</v>
      </c>
      <c r="B1556">
        <v>2017</v>
      </c>
      <c r="C1556" t="s">
        <v>29</v>
      </c>
      <c r="D1556" s="4">
        <v>185890</v>
      </c>
      <c r="E1556" s="2">
        <v>160000</v>
      </c>
      <c r="F1556" t="s">
        <v>36</v>
      </c>
      <c r="G1556" t="s">
        <v>37</v>
      </c>
      <c r="H1556">
        <v>6</v>
      </c>
      <c r="I1556">
        <v>4</v>
      </c>
      <c r="J1556">
        <v>2007</v>
      </c>
      <c r="K1556" s="5">
        <v>1.3882830000000001E-2</v>
      </c>
      <c r="L1556" t="s">
        <v>27</v>
      </c>
      <c r="M1556" s="4">
        <v>-25890</v>
      </c>
      <c r="N1556" s="3">
        <v>79.721000000000004</v>
      </c>
      <c r="O1556" t="s">
        <v>33</v>
      </c>
      <c r="P1556" t="s">
        <v>23</v>
      </c>
      <c r="Q1556" t="s">
        <v>34</v>
      </c>
      <c r="R1556" t="s">
        <v>50</v>
      </c>
      <c r="S1556">
        <v>8</v>
      </c>
    </row>
    <row r="1557" spans="1:19" x14ac:dyDescent="0.3">
      <c r="A1557" s="1">
        <v>42959</v>
      </c>
      <c r="B1557">
        <v>2017</v>
      </c>
      <c r="C1557" t="s">
        <v>29</v>
      </c>
      <c r="D1557" s="4">
        <v>444584.20699999999</v>
      </c>
      <c r="E1557" s="2">
        <v>34000</v>
      </c>
      <c r="F1557" t="s">
        <v>30</v>
      </c>
      <c r="G1557" t="s">
        <v>31</v>
      </c>
      <c r="H1557">
        <v>4</v>
      </c>
      <c r="I1557">
        <v>2</v>
      </c>
      <c r="J1557">
        <v>1214</v>
      </c>
      <c r="K1557" s="5">
        <v>1.3882830000000001E-2</v>
      </c>
      <c r="L1557" t="s">
        <v>38</v>
      </c>
      <c r="M1557" s="4">
        <v>-410584.20699999999</v>
      </c>
      <c r="N1557" s="3">
        <v>28.006599999999999</v>
      </c>
      <c r="O1557" t="s">
        <v>33</v>
      </c>
      <c r="P1557" t="s">
        <v>23</v>
      </c>
      <c r="Q1557" t="s">
        <v>24</v>
      </c>
      <c r="R1557" t="s">
        <v>50</v>
      </c>
      <c r="S1557">
        <v>8</v>
      </c>
    </row>
    <row r="1558" spans="1:19" x14ac:dyDescent="0.3">
      <c r="A1558" s="1">
        <v>42961</v>
      </c>
      <c r="B1558">
        <v>2017</v>
      </c>
      <c r="C1558" t="s">
        <v>26</v>
      </c>
      <c r="D1558" s="4">
        <v>209230</v>
      </c>
      <c r="E1558" s="2">
        <v>321000</v>
      </c>
      <c r="F1558" t="s">
        <v>30</v>
      </c>
      <c r="G1558" t="s">
        <v>31</v>
      </c>
      <c r="H1558">
        <v>4</v>
      </c>
      <c r="I1558">
        <v>2</v>
      </c>
      <c r="J1558">
        <v>1321</v>
      </c>
      <c r="K1558" s="5">
        <v>1.3882830000000001E-2</v>
      </c>
      <c r="L1558" t="s">
        <v>27</v>
      </c>
      <c r="M1558" s="4">
        <v>111770</v>
      </c>
      <c r="N1558" s="3">
        <v>242.99770000000001</v>
      </c>
      <c r="O1558" t="s">
        <v>22</v>
      </c>
      <c r="P1558" t="s">
        <v>24</v>
      </c>
      <c r="Q1558" t="s">
        <v>34</v>
      </c>
      <c r="R1558" t="s">
        <v>50</v>
      </c>
      <c r="S1558">
        <v>8</v>
      </c>
    </row>
    <row r="1559" spans="1:19" x14ac:dyDescent="0.3">
      <c r="A1559" s="1">
        <v>42965</v>
      </c>
      <c r="B1559">
        <v>2017</v>
      </c>
      <c r="C1559" t="s">
        <v>40</v>
      </c>
      <c r="D1559" s="4">
        <v>101290</v>
      </c>
      <c r="E1559" s="2">
        <v>158000</v>
      </c>
      <c r="F1559" t="s">
        <v>19</v>
      </c>
      <c r="G1559" t="s">
        <v>20</v>
      </c>
      <c r="H1559">
        <v>3</v>
      </c>
      <c r="I1559">
        <v>1</v>
      </c>
      <c r="J1559">
        <v>1111.6589814177564</v>
      </c>
      <c r="K1559" s="5">
        <v>1.3882830000000001E-2</v>
      </c>
      <c r="L1559" t="s">
        <v>21</v>
      </c>
      <c r="M1559" s="4">
        <v>56710</v>
      </c>
      <c r="N1559" s="3">
        <v>142.12989999999999</v>
      </c>
      <c r="O1559" t="s">
        <v>22</v>
      </c>
      <c r="P1559" t="s">
        <v>23</v>
      </c>
      <c r="Q1559" t="s">
        <v>24</v>
      </c>
      <c r="R1559" t="s">
        <v>50</v>
      </c>
      <c r="S1559">
        <v>8</v>
      </c>
    </row>
    <row r="1560" spans="1:19" x14ac:dyDescent="0.3">
      <c r="A1560" s="1">
        <v>42966</v>
      </c>
      <c r="B1560">
        <v>2017</v>
      </c>
      <c r="C1560" t="s">
        <v>39</v>
      </c>
      <c r="D1560" s="4">
        <v>486290</v>
      </c>
      <c r="E1560" s="2">
        <v>850000</v>
      </c>
      <c r="F1560" t="s">
        <v>19</v>
      </c>
      <c r="G1560" t="s">
        <v>20</v>
      </c>
      <c r="H1560">
        <v>3</v>
      </c>
      <c r="I1560">
        <v>2</v>
      </c>
      <c r="J1560">
        <v>1099</v>
      </c>
      <c r="K1560" s="5">
        <v>1.3882830000000001E-2</v>
      </c>
      <c r="L1560" t="s">
        <v>32</v>
      </c>
      <c r="M1560" s="4">
        <v>363710</v>
      </c>
      <c r="N1560" s="3">
        <v>773.43039999999996</v>
      </c>
      <c r="O1560" t="s">
        <v>22</v>
      </c>
      <c r="P1560" t="s">
        <v>28</v>
      </c>
      <c r="Q1560" t="s">
        <v>24</v>
      </c>
      <c r="R1560" t="s">
        <v>50</v>
      </c>
      <c r="S1560">
        <v>8</v>
      </c>
    </row>
    <row r="1561" spans="1:19" x14ac:dyDescent="0.3">
      <c r="A1561" s="1">
        <v>42967</v>
      </c>
      <c r="B1561">
        <v>2017</v>
      </c>
      <c r="C1561" t="s">
        <v>56</v>
      </c>
      <c r="D1561" s="4">
        <v>625420</v>
      </c>
      <c r="E1561" s="2">
        <v>1050000</v>
      </c>
      <c r="F1561" t="s">
        <v>19</v>
      </c>
      <c r="G1561" t="s">
        <v>20</v>
      </c>
      <c r="H1561">
        <v>3</v>
      </c>
      <c r="I1561">
        <v>2</v>
      </c>
      <c r="J1561">
        <v>1055</v>
      </c>
      <c r="K1561" s="5">
        <v>1.3882830000000001E-2</v>
      </c>
      <c r="L1561" t="s">
        <v>27</v>
      </c>
      <c r="M1561" s="4">
        <v>424580</v>
      </c>
      <c r="N1561" s="3">
        <v>995.26070000000004</v>
      </c>
      <c r="O1561" t="s">
        <v>22</v>
      </c>
      <c r="P1561" t="s">
        <v>28</v>
      </c>
      <c r="Q1561" t="s">
        <v>24</v>
      </c>
      <c r="R1561" t="s">
        <v>50</v>
      </c>
      <c r="S1561">
        <v>8</v>
      </c>
    </row>
    <row r="1562" spans="1:19" x14ac:dyDescent="0.3">
      <c r="A1562" s="1">
        <v>42968</v>
      </c>
      <c r="B1562">
        <v>2017</v>
      </c>
      <c r="C1562" t="s">
        <v>56</v>
      </c>
      <c r="D1562" s="4">
        <v>603530</v>
      </c>
      <c r="E1562" s="2">
        <v>1000000</v>
      </c>
      <c r="F1562" t="s">
        <v>19</v>
      </c>
      <c r="G1562" t="s">
        <v>20</v>
      </c>
      <c r="H1562">
        <v>3</v>
      </c>
      <c r="I1562">
        <v>2</v>
      </c>
      <c r="J1562">
        <v>988</v>
      </c>
      <c r="K1562" s="5">
        <v>1.3882830000000001E-2</v>
      </c>
      <c r="L1562" t="s">
        <v>38</v>
      </c>
      <c r="M1562" s="4">
        <v>396470</v>
      </c>
      <c r="N1562" s="3">
        <v>1012.1457</v>
      </c>
      <c r="O1562" t="s">
        <v>22</v>
      </c>
      <c r="P1562" t="s">
        <v>28</v>
      </c>
      <c r="Q1562" t="s">
        <v>24</v>
      </c>
      <c r="R1562" t="s">
        <v>50</v>
      </c>
      <c r="S1562">
        <v>8</v>
      </c>
    </row>
    <row r="1563" spans="1:19" x14ac:dyDescent="0.3">
      <c r="A1563" s="1">
        <v>42971</v>
      </c>
      <c r="B1563">
        <v>2017</v>
      </c>
      <c r="C1563" t="s">
        <v>18</v>
      </c>
      <c r="D1563" s="4">
        <v>72170</v>
      </c>
      <c r="E1563" s="2">
        <v>120000</v>
      </c>
      <c r="F1563" t="s">
        <v>19</v>
      </c>
      <c r="G1563" t="s">
        <v>20</v>
      </c>
      <c r="H1563">
        <v>3</v>
      </c>
      <c r="I1563">
        <v>2</v>
      </c>
      <c r="J1563">
        <v>1064</v>
      </c>
      <c r="K1563" s="5">
        <v>1.3882830000000001E-2</v>
      </c>
      <c r="L1563" t="s">
        <v>32</v>
      </c>
      <c r="M1563" s="4">
        <v>47830</v>
      </c>
      <c r="N1563" s="3">
        <v>112.782</v>
      </c>
      <c r="O1563" t="s">
        <v>22</v>
      </c>
      <c r="P1563" t="s">
        <v>23</v>
      </c>
      <c r="Q1563" t="s">
        <v>24</v>
      </c>
      <c r="R1563" t="s">
        <v>50</v>
      </c>
      <c r="S1563">
        <v>8</v>
      </c>
    </row>
    <row r="1564" spans="1:19" x14ac:dyDescent="0.3">
      <c r="A1564" s="1">
        <v>42972</v>
      </c>
      <c r="B1564">
        <v>2017</v>
      </c>
      <c r="C1564" t="s">
        <v>56</v>
      </c>
      <c r="D1564" s="4">
        <v>223530</v>
      </c>
      <c r="E1564" s="2">
        <v>413000</v>
      </c>
      <c r="F1564" t="s">
        <v>19</v>
      </c>
      <c r="G1564" t="s">
        <v>20</v>
      </c>
      <c r="H1564">
        <v>3</v>
      </c>
      <c r="I1564">
        <v>3</v>
      </c>
      <c r="J1564">
        <v>1100</v>
      </c>
      <c r="K1564" s="5">
        <v>1.3882830000000001E-2</v>
      </c>
      <c r="L1564" t="s">
        <v>27</v>
      </c>
      <c r="M1564" s="4">
        <v>189470</v>
      </c>
      <c r="N1564" s="3">
        <v>375.4545</v>
      </c>
      <c r="O1564" t="s">
        <v>22</v>
      </c>
      <c r="P1564" t="s">
        <v>24</v>
      </c>
      <c r="Q1564" t="s">
        <v>24</v>
      </c>
      <c r="R1564" t="s">
        <v>50</v>
      </c>
      <c r="S1564">
        <v>8</v>
      </c>
    </row>
    <row r="1565" spans="1:19" x14ac:dyDescent="0.3">
      <c r="A1565" s="1">
        <v>42973</v>
      </c>
      <c r="B1565">
        <v>2017</v>
      </c>
      <c r="C1565" t="s">
        <v>52</v>
      </c>
      <c r="D1565" s="4">
        <v>125300</v>
      </c>
      <c r="E1565" s="2">
        <v>150000</v>
      </c>
      <c r="F1565" t="s">
        <v>19</v>
      </c>
      <c r="G1565" t="s">
        <v>20</v>
      </c>
      <c r="H1565">
        <v>3</v>
      </c>
      <c r="I1565">
        <v>3</v>
      </c>
      <c r="J1565">
        <v>1016</v>
      </c>
      <c r="K1565" s="5">
        <v>1.3882830000000001E-2</v>
      </c>
      <c r="L1565" t="s">
        <v>27</v>
      </c>
      <c r="M1565" s="4">
        <v>24700</v>
      </c>
      <c r="N1565" s="3">
        <v>147.6378</v>
      </c>
      <c r="O1565" t="s">
        <v>22</v>
      </c>
      <c r="P1565" t="s">
        <v>23</v>
      </c>
      <c r="Q1565" t="s">
        <v>24</v>
      </c>
      <c r="R1565" t="s">
        <v>50</v>
      </c>
      <c r="S1565">
        <v>8</v>
      </c>
    </row>
    <row r="1566" spans="1:19" x14ac:dyDescent="0.3">
      <c r="A1566" s="1">
        <v>42974</v>
      </c>
      <c r="B1566">
        <v>2017</v>
      </c>
      <c r="C1566" t="s">
        <v>18</v>
      </c>
      <c r="D1566" s="4">
        <v>64500</v>
      </c>
      <c r="E1566" s="2">
        <v>30000</v>
      </c>
      <c r="F1566" t="s">
        <v>19</v>
      </c>
      <c r="G1566" t="s">
        <v>20</v>
      </c>
      <c r="H1566">
        <v>3</v>
      </c>
      <c r="I1566">
        <v>3</v>
      </c>
      <c r="J1566">
        <v>1111.6589814177564</v>
      </c>
      <c r="K1566" s="5">
        <v>1.3882830000000001E-2</v>
      </c>
      <c r="L1566" t="s">
        <v>21</v>
      </c>
      <c r="M1566" s="4">
        <v>-34500</v>
      </c>
      <c r="N1566" s="3">
        <v>26.986699999999999</v>
      </c>
      <c r="O1566" t="s">
        <v>33</v>
      </c>
      <c r="P1566" t="s">
        <v>23</v>
      </c>
      <c r="Q1566" t="s">
        <v>24</v>
      </c>
      <c r="R1566" t="s">
        <v>50</v>
      </c>
      <c r="S1566">
        <v>8</v>
      </c>
    </row>
    <row r="1567" spans="1:19" x14ac:dyDescent="0.3">
      <c r="A1567" s="1">
        <v>42975</v>
      </c>
      <c r="B1567">
        <v>2017</v>
      </c>
      <c r="C1567" t="s">
        <v>39</v>
      </c>
      <c r="D1567" s="4">
        <v>3712730</v>
      </c>
      <c r="E1567" s="2">
        <v>6100000</v>
      </c>
      <c r="F1567" t="s">
        <v>19</v>
      </c>
      <c r="G1567" t="s">
        <v>20</v>
      </c>
      <c r="H1567">
        <v>3</v>
      </c>
      <c r="I1567">
        <v>1</v>
      </c>
      <c r="J1567">
        <v>907</v>
      </c>
      <c r="K1567" s="5">
        <v>1.3882830000000001E-2</v>
      </c>
      <c r="L1567" t="s">
        <v>32</v>
      </c>
      <c r="M1567" s="4">
        <v>2387270</v>
      </c>
      <c r="N1567" s="3">
        <v>6725.4686000000002</v>
      </c>
      <c r="O1567" t="s">
        <v>22</v>
      </c>
      <c r="P1567" t="s">
        <v>28</v>
      </c>
      <c r="Q1567" t="s">
        <v>24</v>
      </c>
      <c r="R1567" t="s">
        <v>50</v>
      </c>
      <c r="S1567">
        <v>8</v>
      </c>
    </row>
    <row r="1568" spans="1:19" x14ac:dyDescent="0.3">
      <c r="A1568" s="1">
        <v>42978</v>
      </c>
      <c r="B1568">
        <v>2017</v>
      </c>
      <c r="C1568" t="s">
        <v>56</v>
      </c>
      <c r="D1568" s="4">
        <v>444584.20699999999</v>
      </c>
      <c r="E1568" s="2">
        <v>225000</v>
      </c>
      <c r="F1568" t="s">
        <v>30</v>
      </c>
      <c r="G1568" t="s">
        <v>31</v>
      </c>
      <c r="H1568">
        <v>4</v>
      </c>
      <c r="I1568">
        <v>3</v>
      </c>
      <c r="J1568">
        <v>1402</v>
      </c>
      <c r="K1568" s="5">
        <v>1.3882830000000001E-2</v>
      </c>
      <c r="L1568" t="s">
        <v>32</v>
      </c>
      <c r="M1568" s="4">
        <v>-219584.20699999999</v>
      </c>
      <c r="N1568" s="3">
        <v>160.48500000000001</v>
      </c>
      <c r="O1568" t="s">
        <v>33</v>
      </c>
      <c r="P1568" t="s">
        <v>24</v>
      </c>
      <c r="Q1568" t="s">
        <v>34</v>
      </c>
      <c r="R1568" t="s">
        <v>50</v>
      </c>
      <c r="S1568">
        <v>8</v>
      </c>
    </row>
    <row r="1569" spans="1:19" x14ac:dyDescent="0.3">
      <c r="A1569" s="1">
        <v>42979</v>
      </c>
      <c r="B1569">
        <v>2017</v>
      </c>
      <c r="C1569" t="s">
        <v>56</v>
      </c>
      <c r="D1569" s="4">
        <v>318740</v>
      </c>
      <c r="E1569" s="2">
        <v>545900</v>
      </c>
      <c r="F1569" t="s">
        <v>19</v>
      </c>
      <c r="G1569" t="s">
        <v>20</v>
      </c>
      <c r="H1569">
        <v>3</v>
      </c>
      <c r="I1569">
        <v>2</v>
      </c>
      <c r="J1569">
        <v>1053</v>
      </c>
      <c r="K1569" s="5">
        <v>1.3882830000000001E-2</v>
      </c>
      <c r="L1569" t="s">
        <v>27</v>
      </c>
      <c r="M1569" s="4">
        <v>227160</v>
      </c>
      <c r="N1569" s="3">
        <v>518.42359999999996</v>
      </c>
      <c r="O1569" t="s">
        <v>22</v>
      </c>
      <c r="P1569" t="s">
        <v>24</v>
      </c>
      <c r="Q1569" t="s">
        <v>24</v>
      </c>
      <c r="R1569" t="s">
        <v>51</v>
      </c>
      <c r="S1569">
        <v>9</v>
      </c>
    </row>
    <row r="1570" spans="1:19" x14ac:dyDescent="0.3">
      <c r="A1570" s="1">
        <v>42980</v>
      </c>
      <c r="B1570">
        <v>2017</v>
      </c>
      <c r="C1570" t="s">
        <v>35</v>
      </c>
      <c r="D1570" s="4">
        <v>444584.20699999999</v>
      </c>
      <c r="E1570" s="2">
        <v>1950000</v>
      </c>
      <c r="F1570" t="s">
        <v>19</v>
      </c>
      <c r="G1570" t="s">
        <v>20</v>
      </c>
      <c r="H1570">
        <v>3</v>
      </c>
      <c r="I1570">
        <v>1</v>
      </c>
      <c r="J1570">
        <v>1067</v>
      </c>
      <c r="K1570" s="5">
        <v>1.3882830000000001E-2</v>
      </c>
      <c r="L1570" t="s">
        <v>21</v>
      </c>
      <c r="M1570" s="4">
        <v>1505415.7930000001</v>
      </c>
      <c r="N1570" s="3">
        <v>1827.5539000000001</v>
      </c>
      <c r="O1570" t="s">
        <v>22</v>
      </c>
      <c r="P1570" t="s">
        <v>28</v>
      </c>
      <c r="Q1570" t="s">
        <v>24</v>
      </c>
      <c r="R1570" t="s">
        <v>51</v>
      </c>
      <c r="S1570">
        <v>9</v>
      </c>
    </row>
    <row r="1571" spans="1:19" x14ac:dyDescent="0.3">
      <c r="A1571" s="1">
        <v>42981</v>
      </c>
      <c r="B1571">
        <v>2017</v>
      </c>
      <c r="C1571" t="s">
        <v>18</v>
      </c>
      <c r="D1571" s="4">
        <v>73050</v>
      </c>
      <c r="E1571" s="2">
        <v>35000</v>
      </c>
      <c r="F1571" t="s">
        <v>19</v>
      </c>
      <c r="G1571" t="s">
        <v>20</v>
      </c>
      <c r="H1571">
        <v>3</v>
      </c>
      <c r="I1571">
        <v>3</v>
      </c>
      <c r="J1571">
        <v>1111.6589814177564</v>
      </c>
      <c r="K1571" s="5">
        <v>1.3882830000000001E-2</v>
      </c>
      <c r="L1571" t="s">
        <v>21</v>
      </c>
      <c r="M1571" s="4">
        <v>-38050</v>
      </c>
      <c r="N1571" s="3">
        <v>31.484500000000001</v>
      </c>
      <c r="O1571" t="s">
        <v>33</v>
      </c>
      <c r="P1571" t="s">
        <v>23</v>
      </c>
      <c r="Q1571" t="s">
        <v>24</v>
      </c>
      <c r="R1571" t="s">
        <v>51</v>
      </c>
      <c r="S1571">
        <v>9</v>
      </c>
    </row>
    <row r="1572" spans="1:19" x14ac:dyDescent="0.3">
      <c r="A1572" s="1">
        <v>42987</v>
      </c>
      <c r="B1572">
        <v>2017</v>
      </c>
      <c r="C1572" t="s">
        <v>18</v>
      </c>
      <c r="D1572" s="4">
        <v>61510</v>
      </c>
      <c r="E1572" s="2">
        <v>76500</v>
      </c>
      <c r="F1572" t="s">
        <v>19</v>
      </c>
      <c r="G1572" t="s">
        <v>20</v>
      </c>
      <c r="H1572">
        <v>3</v>
      </c>
      <c r="I1572">
        <v>2</v>
      </c>
      <c r="J1572">
        <v>916</v>
      </c>
      <c r="K1572" s="5">
        <v>1.3882830000000001E-2</v>
      </c>
      <c r="L1572" t="s">
        <v>38</v>
      </c>
      <c r="M1572" s="4">
        <v>14990</v>
      </c>
      <c r="N1572" s="3">
        <v>83.515299999999996</v>
      </c>
      <c r="O1572" t="s">
        <v>22</v>
      </c>
      <c r="P1572" t="s">
        <v>23</v>
      </c>
      <c r="Q1572" t="s">
        <v>24</v>
      </c>
      <c r="R1572" t="s">
        <v>51</v>
      </c>
      <c r="S1572">
        <v>9</v>
      </c>
    </row>
    <row r="1573" spans="1:19" x14ac:dyDescent="0.3">
      <c r="A1573" s="1">
        <v>42988</v>
      </c>
      <c r="B1573">
        <v>2017</v>
      </c>
      <c r="C1573" t="s">
        <v>39</v>
      </c>
      <c r="D1573" s="4">
        <v>292530</v>
      </c>
      <c r="E1573" s="2">
        <v>625000</v>
      </c>
      <c r="F1573" t="s">
        <v>19</v>
      </c>
      <c r="G1573" t="s">
        <v>20</v>
      </c>
      <c r="H1573">
        <v>3</v>
      </c>
      <c r="I1573">
        <v>3</v>
      </c>
      <c r="J1573">
        <v>961</v>
      </c>
      <c r="K1573" s="5">
        <v>1.3882830000000001E-2</v>
      </c>
      <c r="L1573" t="s">
        <v>38</v>
      </c>
      <c r="M1573" s="4">
        <v>332470</v>
      </c>
      <c r="N1573" s="3">
        <v>650.36419999999998</v>
      </c>
      <c r="O1573" t="s">
        <v>22</v>
      </c>
      <c r="P1573" t="s">
        <v>28</v>
      </c>
      <c r="Q1573" t="s">
        <v>24</v>
      </c>
      <c r="R1573" t="s">
        <v>51</v>
      </c>
      <c r="S1573">
        <v>9</v>
      </c>
    </row>
    <row r="1574" spans="1:19" x14ac:dyDescent="0.3">
      <c r="A1574" s="1">
        <v>42989</v>
      </c>
      <c r="B1574">
        <v>2017</v>
      </c>
      <c r="C1574" t="s">
        <v>35</v>
      </c>
      <c r="D1574" s="4">
        <v>444584.20699999999</v>
      </c>
      <c r="E1574" s="2">
        <v>1375000</v>
      </c>
      <c r="F1574" t="s">
        <v>19</v>
      </c>
      <c r="G1574" t="s">
        <v>20</v>
      </c>
      <c r="H1574">
        <v>3</v>
      </c>
      <c r="I1574">
        <v>3</v>
      </c>
      <c r="J1574">
        <v>972</v>
      </c>
      <c r="K1574" s="5">
        <v>1.3882830000000001E-2</v>
      </c>
      <c r="L1574" t="s">
        <v>27</v>
      </c>
      <c r="M1574" s="4">
        <v>930415.79299999995</v>
      </c>
      <c r="N1574" s="3">
        <v>1414.6090999999999</v>
      </c>
      <c r="O1574" t="s">
        <v>22</v>
      </c>
      <c r="P1574" t="s">
        <v>28</v>
      </c>
      <c r="Q1574" t="s">
        <v>24</v>
      </c>
      <c r="R1574" t="s">
        <v>51</v>
      </c>
      <c r="S1574">
        <v>9</v>
      </c>
    </row>
    <row r="1575" spans="1:19" x14ac:dyDescent="0.3">
      <c r="A1575" s="1">
        <v>42993</v>
      </c>
      <c r="B1575">
        <v>2017</v>
      </c>
      <c r="C1575" t="s">
        <v>40</v>
      </c>
      <c r="D1575" s="4">
        <v>495040</v>
      </c>
      <c r="E1575" s="2">
        <v>855000</v>
      </c>
      <c r="F1575" t="s">
        <v>19</v>
      </c>
      <c r="G1575" t="s">
        <v>20</v>
      </c>
      <c r="H1575">
        <v>3</v>
      </c>
      <c r="I1575">
        <v>3</v>
      </c>
      <c r="J1575">
        <v>1030</v>
      </c>
      <c r="K1575" s="5">
        <v>1.3882830000000001E-2</v>
      </c>
      <c r="L1575" t="s">
        <v>21</v>
      </c>
      <c r="M1575" s="4">
        <v>359960</v>
      </c>
      <c r="N1575" s="3">
        <v>830.09709999999995</v>
      </c>
      <c r="O1575" t="s">
        <v>22</v>
      </c>
      <c r="P1575" t="s">
        <v>28</v>
      </c>
      <c r="Q1575" t="s">
        <v>24</v>
      </c>
      <c r="R1575" t="s">
        <v>51</v>
      </c>
      <c r="S1575">
        <v>9</v>
      </c>
    </row>
    <row r="1576" spans="1:19" x14ac:dyDescent="0.3">
      <c r="A1576" s="1">
        <v>42994</v>
      </c>
      <c r="B1576">
        <v>2017</v>
      </c>
      <c r="C1576" t="s">
        <v>26</v>
      </c>
      <c r="D1576" s="4">
        <v>189350</v>
      </c>
      <c r="E1576" s="2">
        <v>320000</v>
      </c>
      <c r="F1576" t="s">
        <v>30</v>
      </c>
      <c r="G1576" t="s">
        <v>31</v>
      </c>
      <c r="H1576">
        <v>4</v>
      </c>
      <c r="I1576">
        <v>4</v>
      </c>
      <c r="J1576">
        <v>1414</v>
      </c>
      <c r="K1576" s="5">
        <v>1.3882830000000001E-2</v>
      </c>
      <c r="L1576" t="s">
        <v>21</v>
      </c>
      <c r="M1576" s="4">
        <v>130650</v>
      </c>
      <c r="N1576" s="3">
        <v>226.3083</v>
      </c>
      <c r="O1576" t="s">
        <v>22</v>
      </c>
      <c r="P1576" t="s">
        <v>24</v>
      </c>
      <c r="Q1576" t="s">
        <v>34</v>
      </c>
      <c r="R1576" t="s">
        <v>51</v>
      </c>
      <c r="S1576">
        <v>9</v>
      </c>
    </row>
    <row r="1577" spans="1:19" x14ac:dyDescent="0.3">
      <c r="A1577" s="1">
        <v>42995</v>
      </c>
      <c r="B1577">
        <v>2017</v>
      </c>
      <c r="C1577" t="s">
        <v>29</v>
      </c>
      <c r="D1577" s="4">
        <v>203340</v>
      </c>
      <c r="E1577" s="2">
        <v>251500</v>
      </c>
      <c r="F1577" t="s">
        <v>19</v>
      </c>
      <c r="G1577" t="s">
        <v>20</v>
      </c>
      <c r="H1577">
        <v>3</v>
      </c>
      <c r="I1577">
        <v>1</v>
      </c>
      <c r="J1577">
        <v>1022</v>
      </c>
      <c r="K1577" s="5">
        <v>1.3882830000000001E-2</v>
      </c>
      <c r="L1577" t="s">
        <v>32</v>
      </c>
      <c r="M1577" s="4">
        <v>48160</v>
      </c>
      <c r="N1577" s="3">
        <v>246.08609999999999</v>
      </c>
      <c r="O1577" t="s">
        <v>22</v>
      </c>
      <c r="P1577" t="s">
        <v>24</v>
      </c>
      <c r="Q1577" t="s">
        <v>24</v>
      </c>
      <c r="R1577" t="s">
        <v>51</v>
      </c>
      <c r="S1577">
        <v>9</v>
      </c>
    </row>
    <row r="1578" spans="1:19" x14ac:dyDescent="0.3">
      <c r="A1578" s="1">
        <v>42996</v>
      </c>
      <c r="B1578">
        <v>2017</v>
      </c>
      <c r="C1578" t="s">
        <v>56</v>
      </c>
      <c r="D1578" s="4">
        <v>369510</v>
      </c>
      <c r="E1578" s="2">
        <v>400000</v>
      </c>
      <c r="F1578" t="s">
        <v>19</v>
      </c>
      <c r="G1578" t="s">
        <v>20</v>
      </c>
      <c r="H1578">
        <v>3</v>
      </c>
      <c r="I1578">
        <v>2</v>
      </c>
      <c r="J1578">
        <v>960</v>
      </c>
      <c r="K1578" s="5">
        <v>1.3882830000000001E-2</v>
      </c>
      <c r="L1578" t="s">
        <v>27</v>
      </c>
      <c r="M1578" s="4">
        <v>30490</v>
      </c>
      <c r="N1578" s="3">
        <v>416.66669999999999</v>
      </c>
      <c r="O1578" t="s">
        <v>22</v>
      </c>
      <c r="P1578" t="s">
        <v>24</v>
      </c>
      <c r="Q1578" t="s">
        <v>24</v>
      </c>
      <c r="R1578" t="s">
        <v>51</v>
      </c>
      <c r="S1578">
        <v>9</v>
      </c>
    </row>
    <row r="1579" spans="1:19" x14ac:dyDescent="0.3">
      <c r="A1579" s="1">
        <v>43000</v>
      </c>
      <c r="B1579">
        <v>2017</v>
      </c>
      <c r="C1579" t="s">
        <v>26</v>
      </c>
      <c r="D1579" s="4">
        <v>444584.20699999999</v>
      </c>
      <c r="E1579" s="2">
        <v>347500</v>
      </c>
      <c r="F1579" t="s">
        <v>19</v>
      </c>
      <c r="G1579" t="s">
        <v>20</v>
      </c>
      <c r="H1579">
        <v>3</v>
      </c>
      <c r="I1579">
        <v>1</v>
      </c>
      <c r="J1579">
        <v>942</v>
      </c>
      <c r="K1579" s="5">
        <v>1.3882830000000001E-2</v>
      </c>
      <c r="L1579" t="s">
        <v>27</v>
      </c>
      <c r="M1579" s="4">
        <v>-97084.206999999995</v>
      </c>
      <c r="N1579" s="3">
        <v>368.89600000000002</v>
      </c>
      <c r="O1579" t="s">
        <v>33</v>
      </c>
      <c r="P1579" t="s">
        <v>24</v>
      </c>
      <c r="Q1579" t="s">
        <v>24</v>
      </c>
      <c r="R1579" t="s">
        <v>51</v>
      </c>
      <c r="S1579">
        <v>9</v>
      </c>
    </row>
    <row r="1580" spans="1:19" x14ac:dyDescent="0.3">
      <c r="A1580" s="1">
        <v>43001</v>
      </c>
      <c r="B1580">
        <v>2017</v>
      </c>
      <c r="C1580" t="s">
        <v>39</v>
      </c>
      <c r="D1580" s="4">
        <v>372470</v>
      </c>
      <c r="E1580" s="2">
        <v>485000</v>
      </c>
      <c r="F1580" t="s">
        <v>19</v>
      </c>
      <c r="G1580" t="s">
        <v>20</v>
      </c>
      <c r="H1580">
        <v>3</v>
      </c>
      <c r="I1580">
        <v>2</v>
      </c>
      <c r="J1580">
        <v>1026</v>
      </c>
      <c r="K1580" s="5">
        <v>1.3882830000000001E-2</v>
      </c>
      <c r="L1580" t="s">
        <v>27</v>
      </c>
      <c r="M1580" s="4">
        <v>112530</v>
      </c>
      <c r="N1580" s="3">
        <v>472.70960000000002</v>
      </c>
      <c r="O1580" t="s">
        <v>22</v>
      </c>
      <c r="P1580" t="s">
        <v>24</v>
      </c>
      <c r="Q1580" t="s">
        <v>24</v>
      </c>
      <c r="R1580" t="s">
        <v>51</v>
      </c>
      <c r="S1580">
        <v>9</v>
      </c>
    </row>
    <row r="1581" spans="1:19" x14ac:dyDescent="0.3">
      <c r="A1581" s="1">
        <v>43002</v>
      </c>
      <c r="B1581">
        <v>2017</v>
      </c>
      <c r="C1581" t="s">
        <v>18</v>
      </c>
      <c r="D1581" s="4">
        <v>107510</v>
      </c>
      <c r="E1581" s="2">
        <v>70000</v>
      </c>
      <c r="F1581" t="s">
        <v>30</v>
      </c>
      <c r="G1581" t="s">
        <v>31</v>
      </c>
      <c r="H1581">
        <v>4</v>
      </c>
      <c r="I1581">
        <v>2</v>
      </c>
      <c r="J1581">
        <v>1437</v>
      </c>
      <c r="K1581" s="5">
        <v>1.3882830000000001E-2</v>
      </c>
      <c r="L1581" t="s">
        <v>38</v>
      </c>
      <c r="M1581" s="4">
        <v>-37510</v>
      </c>
      <c r="N1581" s="3">
        <v>48.712600000000002</v>
      </c>
      <c r="O1581" t="s">
        <v>33</v>
      </c>
      <c r="P1581" t="s">
        <v>23</v>
      </c>
      <c r="Q1581" t="s">
        <v>34</v>
      </c>
      <c r="R1581" t="s">
        <v>51</v>
      </c>
      <c r="S1581">
        <v>9</v>
      </c>
    </row>
    <row r="1582" spans="1:19" x14ac:dyDescent="0.3">
      <c r="A1582" s="1">
        <v>43006</v>
      </c>
      <c r="B1582">
        <v>2017</v>
      </c>
      <c r="C1582" t="s">
        <v>29</v>
      </c>
      <c r="D1582" s="4">
        <v>444584.20699999999</v>
      </c>
      <c r="E1582" s="2">
        <v>38000</v>
      </c>
      <c r="F1582" t="s">
        <v>19</v>
      </c>
      <c r="G1582" t="s">
        <v>20</v>
      </c>
      <c r="H1582">
        <v>3</v>
      </c>
      <c r="I1582">
        <v>3</v>
      </c>
      <c r="J1582">
        <v>1058</v>
      </c>
      <c r="K1582" s="5">
        <v>1.3882830000000001E-2</v>
      </c>
      <c r="L1582" t="s">
        <v>32</v>
      </c>
      <c r="M1582" s="4">
        <v>-406584.20699999999</v>
      </c>
      <c r="N1582" s="3">
        <v>35.916800000000002</v>
      </c>
      <c r="O1582" t="s">
        <v>33</v>
      </c>
      <c r="P1582" t="s">
        <v>23</v>
      </c>
      <c r="Q1582" t="s">
        <v>24</v>
      </c>
      <c r="R1582" t="s">
        <v>51</v>
      </c>
      <c r="S1582">
        <v>9</v>
      </c>
    </row>
    <row r="1583" spans="1:19" x14ac:dyDescent="0.3">
      <c r="A1583" s="1">
        <v>43007</v>
      </c>
      <c r="B1583">
        <v>2017</v>
      </c>
      <c r="C1583" t="s">
        <v>18</v>
      </c>
      <c r="D1583" s="4">
        <v>80190</v>
      </c>
      <c r="E1583" s="2">
        <v>40100</v>
      </c>
      <c r="F1583" t="s">
        <v>19</v>
      </c>
      <c r="G1583" t="s">
        <v>20</v>
      </c>
      <c r="H1583">
        <v>3</v>
      </c>
      <c r="I1583">
        <v>2</v>
      </c>
      <c r="J1583">
        <v>937</v>
      </c>
      <c r="K1583" s="5">
        <v>1.3882830000000001E-2</v>
      </c>
      <c r="L1583" t="s">
        <v>27</v>
      </c>
      <c r="M1583" s="4">
        <v>-40090</v>
      </c>
      <c r="N1583" s="3">
        <v>42.796199999999999</v>
      </c>
      <c r="O1583" t="s">
        <v>33</v>
      </c>
      <c r="P1583" t="s">
        <v>23</v>
      </c>
      <c r="Q1583" t="s">
        <v>24</v>
      </c>
      <c r="R1583" t="s">
        <v>51</v>
      </c>
      <c r="S1583">
        <v>9</v>
      </c>
    </row>
    <row r="1584" spans="1:19" x14ac:dyDescent="0.3">
      <c r="A1584" s="1">
        <v>43008</v>
      </c>
      <c r="B1584">
        <v>2017</v>
      </c>
      <c r="C1584" t="s">
        <v>35</v>
      </c>
      <c r="D1584" s="4">
        <v>4248370</v>
      </c>
      <c r="E1584" s="2">
        <v>9750000</v>
      </c>
      <c r="F1584" t="s">
        <v>19</v>
      </c>
      <c r="G1584" t="s">
        <v>20</v>
      </c>
      <c r="H1584">
        <v>3</v>
      </c>
      <c r="I1584">
        <v>3</v>
      </c>
      <c r="J1584">
        <v>942</v>
      </c>
      <c r="K1584" s="5">
        <v>1.3882830000000001E-2</v>
      </c>
      <c r="L1584" t="s">
        <v>27</v>
      </c>
      <c r="M1584" s="4">
        <v>5501630</v>
      </c>
      <c r="N1584" s="3">
        <v>10350.318499999999</v>
      </c>
      <c r="O1584" t="s">
        <v>22</v>
      </c>
      <c r="P1584" t="s">
        <v>28</v>
      </c>
      <c r="Q1584" t="s">
        <v>24</v>
      </c>
      <c r="R1584" t="s">
        <v>51</v>
      </c>
      <c r="S1584">
        <v>9</v>
      </c>
    </row>
    <row r="1585" spans="1:19" x14ac:dyDescent="0.3">
      <c r="A1585" s="1">
        <v>43009</v>
      </c>
      <c r="B1585">
        <v>2017</v>
      </c>
      <c r="C1585" t="s">
        <v>18</v>
      </c>
      <c r="D1585" s="4">
        <v>444584.20699999999</v>
      </c>
      <c r="E1585" s="2">
        <v>39000</v>
      </c>
      <c r="F1585" t="s">
        <v>19</v>
      </c>
      <c r="G1585" t="s">
        <v>20</v>
      </c>
      <c r="H1585">
        <v>3</v>
      </c>
      <c r="I1585">
        <v>3</v>
      </c>
      <c r="J1585">
        <v>1035</v>
      </c>
      <c r="K1585" s="5">
        <v>1.3882830000000001E-2</v>
      </c>
      <c r="L1585" t="s">
        <v>38</v>
      </c>
      <c r="M1585" s="4">
        <v>-405584.20699999999</v>
      </c>
      <c r="N1585" s="3">
        <v>37.681199999999997</v>
      </c>
      <c r="O1585" t="s">
        <v>33</v>
      </c>
      <c r="P1585" t="s">
        <v>23</v>
      </c>
      <c r="Q1585" t="s">
        <v>24</v>
      </c>
      <c r="R1585" t="s">
        <v>53</v>
      </c>
      <c r="S1585">
        <v>10</v>
      </c>
    </row>
    <row r="1586" spans="1:19" x14ac:dyDescent="0.3">
      <c r="A1586" s="1">
        <v>43013</v>
      </c>
      <c r="B1586">
        <v>2017</v>
      </c>
      <c r="C1586" t="s">
        <v>18</v>
      </c>
      <c r="D1586" s="4">
        <v>65100</v>
      </c>
      <c r="E1586" s="2">
        <v>92000</v>
      </c>
      <c r="F1586" t="s">
        <v>19</v>
      </c>
      <c r="G1586" t="s">
        <v>20</v>
      </c>
      <c r="H1586">
        <v>3</v>
      </c>
      <c r="I1586">
        <v>1</v>
      </c>
      <c r="J1586">
        <v>903</v>
      </c>
      <c r="K1586" s="5">
        <v>1.3882830000000001E-2</v>
      </c>
      <c r="L1586" t="s">
        <v>38</v>
      </c>
      <c r="M1586" s="4">
        <v>26900</v>
      </c>
      <c r="N1586" s="3">
        <v>101.8826</v>
      </c>
      <c r="O1586" t="s">
        <v>22</v>
      </c>
      <c r="P1586" t="s">
        <v>23</v>
      </c>
      <c r="Q1586" t="s">
        <v>24</v>
      </c>
      <c r="R1586" t="s">
        <v>53</v>
      </c>
      <c r="S1586">
        <v>10</v>
      </c>
    </row>
    <row r="1587" spans="1:19" x14ac:dyDescent="0.3">
      <c r="A1587" s="1">
        <v>43015</v>
      </c>
      <c r="B1587">
        <v>2017</v>
      </c>
      <c r="C1587" t="s">
        <v>52</v>
      </c>
      <c r="D1587" s="4">
        <v>152810</v>
      </c>
      <c r="E1587" s="2">
        <v>235000</v>
      </c>
      <c r="F1587" t="s">
        <v>30</v>
      </c>
      <c r="G1587" t="s">
        <v>31</v>
      </c>
      <c r="H1587">
        <v>4</v>
      </c>
      <c r="I1587">
        <v>4</v>
      </c>
      <c r="J1587">
        <v>1445</v>
      </c>
      <c r="K1587" s="5">
        <v>1.3882830000000001E-2</v>
      </c>
      <c r="L1587" t="s">
        <v>21</v>
      </c>
      <c r="M1587" s="4">
        <v>82190</v>
      </c>
      <c r="N1587" s="3">
        <v>162.62979999999999</v>
      </c>
      <c r="O1587" t="s">
        <v>22</v>
      </c>
      <c r="P1587" t="s">
        <v>24</v>
      </c>
      <c r="Q1587" t="s">
        <v>34</v>
      </c>
      <c r="R1587" t="s">
        <v>53</v>
      </c>
      <c r="S1587">
        <v>10</v>
      </c>
    </row>
    <row r="1588" spans="1:19" x14ac:dyDescent="0.3">
      <c r="A1588" s="1">
        <v>43021</v>
      </c>
      <c r="B1588">
        <v>2017</v>
      </c>
      <c r="C1588" t="s">
        <v>52</v>
      </c>
      <c r="D1588" s="4">
        <v>350840</v>
      </c>
      <c r="E1588" s="2">
        <v>360000</v>
      </c>
      <c r="F1588" t="s">
        <v>19</v>
      </c>
      <c r="G1588" t="s">
        <v>20</v>
      </c>
      <c r="H1588">
        <v>3</v>
      </c>
      <c r="I1588">
        <v>3</v>
      </c>
      <c r="J1588">
        <v>1111.6589814177564</v>
      </c>
      <c r="K1588" s="5">
        <v>1.3882830000000001E-2</v>
      </c>
      <c r="L1588" t="s">
        <v>21</v>
      </c>
      <c r="M1588" s="4">
        <v>9160</v>
      </c>
      <c r="N1588" s="3">
        <v>323.84030000000001</v>
      </c>
      <c r="O1588" t="s">
        <v>22</v>
      </c>
      <c r="P1588" t="s">
        <v>24</v>
      </c>
      <c r="Q1588" t="s">
        <v>24</v>
      </c>
      <c r="R1588" t="s">
        <v>53</v>
      </c>
      <c r="S1588">
        <v>10</v>
      </c>
    </row>
    <row r="1589" spans="1:19" x14ac:dyDescent="0.3">
      <c r="A1589" s="1">
        <v>43022</v>
      </c>
      <c r="B1589">
        <v>2017</v>
      </c>
      <c r="C1589" t="s">
        <v>40</v>
      </c>
      <c r="D1589" s="4">
        <v>1758280</v>
      </c>
      <c r="E1589" s="2">
        <v>1904388</v>
      </c>
      <c r="F1589" t="s">
        <v>19</v>
      </c>
      <c r="G1589" t="s">
        <v>20</v>
      </c>
      <c r="H1589">
        <v>3</v>
      </c>
      <c r="I1589">
        <v>1</v>
      </c>
      <c r="J1589">
        <v>955</v>
      </c>
      <c r="K1589" s="5">
        <v>1.3882830000000001E-2</v>
      </c>
      <c r="L1589" t="s">
        <v>32</v>
      </c>
      <c r="M1589" s="4">
        <v>146108</v>
      </c>
      <c r="N1589" s="3">
        <v>1994.1235999999999</v>
      </c>
      <c r="O1589" t="s">
        <v>22</v>
      </c>
      <c r="P1589" t="s">
        <v>28</v>
      </c>
      <c r="Q1589" t="s">
        <v>24</v>
      </c>
      <c r="R1589" t="s">
        <v>53</v>
      </c>
      <c r="S1589">
        <v>10</v>
      </c>
    </row>
    <row r="1590" spans="1:19" x14ac:dyDescent="0.3">
      <c r="A1590" s="1">
        <v>43024</v>
      </c>
      <c r="B1590">
        <v>2017</v>
      </c>
      <c r="C1590" t="s">
        <v>18</v>
      </c>
      <c r="D1590" s="4">
        <v>83860</v>
      </c>
      <c r="E1590" s="2">
        <v>47250</v>
      </c>
      <c r="F1590" t="s">
        <v>19</v>
      </c>
      <c r="G1590" t="s">
        <v>20</v>
      </c>
      <c r="H1590">
        <v>3</v>
      </c>
      <c r="I1590">
        <v>3</v>
      </c>
      <c r="J1590">
        <v>1082</v>
      </c>
      <c r="K1590" s="5">
        <v>1.3882830000000001E-2</v>
      </c>
      <c r="L1590" t="s">
        <v>32</v>
      </c>
      <c r="M1590" s="4">
        <v>-36610</v>
      </c>
      <c r="N1590" s="3">
        <v>43.6691</v>
      </c>
      <c r="O1590" t="s">
        <v>33</v>
      </c>
      <c r="P1590" t="s">
        <v>23</v>
      </c>
      <c r="Q1590" t="s">
        <v>24</v>
      </c>
      <c r="R1590" t="s">
        <v>53</v>
      </c>
      <c r="S1590">
        <v>10</v>
      </c>
    </row>
    <row r="1591" spans="1:19" x14ac:dyDescent="0.3">
      <c r="A1591" s="1">
        <v>43028</v>
      </c>
      <c r="B1591">
        <v>2017</v>
      </c>
      <c r="C1591" t="s">
        <v>56</v>
      </c>
      <c r="D1591" s="4">
        <v>342160</v>
      </c>
      <c r="E1591" s="2">
        <v>542500</v>
      </c>
      <c r="F1591" t="s">
        <v>19</v>
      </c>
      <c r="G1591" t="s">
        <v>20</v>
      </c>
      <c r="H1591">
        <v>3</v>
      </c>
      <c r="I1591">
        <v>3</v>
      </c>
      <c r="J1591">
        <v>1111.6589814177564</v>
      </c>
      <c r="K1591" s="5">
        <v>1.3882830000000001E-2</v>
      </c>
      <c r="L1591" t="s">
        <v>27</v>
      </c>
      <c r="M1591" s="4">
        <v>200340</v>
      </c>
      <c r="N1591" s="3">
        <v>488.00940000000003</v>
      </c>
      <c r="O1591" t="s">
        <v>22</v>
      </c>
      <c r="P1591" t="s">
        <v>24</v>
      </c>
      <c r="Q1591" t="s">
        <v>24</v>
      </c>
      <c r="R1591" t="s">
        <v>53</v>
      </c>
      <c r="S1591">
        <v>10</v>
      </c>
    </row>
    <row r="1592" spans="1:19" x14ac:dyDescent="0.3">
      <c r="A1592" s="1">
        <v>43029</v>
      </c>
      <c r="B1592">
        <v>2017</v>
      </c>
      <c r="C1592" t="s">
        <v>18</v>
      </c>
      <c r="D1592" s="4">
        <v>52600</v>
      </c>
      <c r="E1592" s="2">
        <v>35000</v>
      </c>
      <c r="F1592" t="s">
        <v>36</v>
      </c>
      <c r="G1592" t="s">
        <v>37</v>
      </c>
      <c r="H1592">
        <v>6</v>
      </c>
      <c r="I1592">
        <v>6</v>
      </c>
      <c r="J1592">
        <v>1874</v>
      </c>
      <c r="K1592" s="5">
        <v>1.3882830000000001E-2</v>
      </c>
      <c r="L1592" t="s">
        <v>27</v>
      </c>
      <c r="M1592" s="4">
        <v>-17600</v>
      </c>
      <c r="N1592" s="3">
        <v>18.676600000000001</v>
      </c>
      <c r="O1592" t="s">
        <v>33</v>
      </c>
      <c r="P1592" t="s">
        <v>23</v>
      </c>
      <c r="Q1592" t="s">
        <v>34</v>
      </c>
      <c r="R1592" t="s">
        <v>53</v>
      </c>
      <c r="S1592">
        <v>10</v>
      </c>
    </row>
    <row r="1593" spans="1:19" x14ac:dyDescent="0.3">
      <c r="A1593" s="1">
        <v>43031</v>
      </c>
      <c r="B1593">
        <v>2017</v>
      </c>
      <c r="C1593" t="s">
        <v>56</v>
      </c>
      <c r="D1593" s="4">
        <v>429510</v>
      </c>
      <c r="E1593" s="2">
        <v>400000</v>
      </c>
      <c r="F1593" t="s">
        <v>19</v>
      </c>
      <c r="G1593" t="s">
        <v>20</v>
      </c>
      <c r="H1593">
        <v>3</v>
      </c>
      <c r="I1593">
        <v>2</v>
      </c>
      <c r="J1593">
        <v>1079</v>
      </c>
      <c r="K1593" s="5">
        <v>1.3882830000000001E-2</v>
      </c>
      <c r="L1593" t="s">
        <v>27</v>
      </c>
      <c r="M1593" s="4">
        <v>-29510</v>
      </c>
      <c r="N1593" s="3">
        <v>370.71359999999999</v>
      </c>
      <c r="O1593" t="s">
        <v>33</v>
      </c>
      <c r="P1593" t="s">
        <v>24</v>
      </c>
      <c r="Q1593" t="s">
        <v>24</v>
      </c>
      <c r="R1593" t="s">
        <v>53</v>
      </c>
      <c r="S1593">
        <v>10</v>
      </c>
    </row>
    <row r="1594" spans="1:19" x14ac:dyDescent="0.3">
      <c r="A1594" s="1">
        <v>43034</v>
      </c>
      <c r="B1594">
        <v>2017</v>
      </c>
      <c r="C1594" t="s">
        <v>18</v>
      </c>
      <c r="D1594" s="4">
        <v>73820</v>
      </c>
      <c r="E1594" s="2">
        <v>48600</v>
      </c>
      <c r="F1594" t="s">
        <v>19</v>
      </c>
      <c r="G1594" t="s">
        <v>20</v>
      </c>
      <c r="H1594">
        <v>3</v>
      </c>
      <c r="I1594">
        <v>3</v>
      </c>
      <c r="J1594">
        <v>1070</v>
      </c>
      <c r="K1594" s="5">
        <v>1.3882830000000001E-2</v>
      </c>
      <c r="L1594" t="s">
        <v>32</v>
      </c>
      <c r="M1594" s="4">
        <v>-25220</v>
      </c>
      <c r="N1594" s="3">
        <v>45.4206</v>
      </c>
      <c r="O1594" t="s">
        <v>33</v>
      </c>
      <c r="P1594" t="s">
        <v>23</v>
      </c>
      <c r="Q1594" t="s">
        <v>24</v>
      </c>
      <c r="R1594" t="s">
        <v>53</v>
      </c>
      <c r="S1594">
        <v>10</v>
      </c>
    </row>
    <row r="1595" spans="1:19" x14ac:dyDescent="0.3">
      <c r="A1595" s="1">
        <v>43036</v>
      </c>
      <c r="B1595">
        <v>2017</v>
      </c>
      <c r="C1595" t="s">
        <v>18</v>
      </c>
      <c r="D1595" s="4">
        <v>110930</v>
      </c>
      <c r="E1595" s="2">
        <v>150000</v>
      </c>
      <c r="F1595" t="s">
        <v>19</v>
      </c>
      <c r="G1595" t="s">
        <v>20</v>
      </c>
      <c r="H1595">
        <v>3</v>
      </c>
      <c r="I1595">
        <v>1</v>
      </c>
      <c r="J1595">
        <v>1060</v>
      </c>
      <c r="K1595" s="5">
        <v>1.3882830000000001E-2</v>
      </c>
      <c r="L1595" t="s">
        <v>38</v>
      </c>
      <c r="M1595" s="4">
        <v>39070</v>
      </c>
      <c r="N1595" s="3">
        <v>141.5094</v>
      </c>
      <c r="O1595" t="s">
        <v>22</v>
      </c>
      <c r="P1595" t="s">
        <v>23</v>
      </c>
      <c r="Q1595" t="s">
        <v>24</v>
      </c>
      <c r="R1595" t="s">
        <v>53</v>
      </c>
      <c r="S1595">
        <v>10</v>
      </c>
    </row>
    <row r="1596" spans="1:19" x14ac:dyDescent="0.3">
      <c r="A1596" s="1">
        <v>43037</v>
      </c>
      <c r="B1596">
        <v>2017</v>
      </c>
      <c r="C1596" t="s">
        <v>56</v>
      </c>
      <c r="D1596" s="4">
        <v>241150</v>
      </c>
      <c r="E1596" s="2">
        <v>365000</v>
      </c>
      <c r="F1596" t="s">
        <v>19</v>
      </c>
      <c r="G1596" t="s">
        <v>20</v>
      </c>
      <c r="H1596">
        <v>3</v>
      </c>
      <c r="I1596">
        <v>2</v>
      </c>
      <c r="J1596">
        <v>921</v>
      </c>
      <c r="K1596" s="5">
        <v>1.3882830000000001E-2</v>
      </c>
      <c r="L1596" t="s">
        <v>21</v>
      </c>
      <c r="M1596" s="4">
        <v>123850</v>
      </c>
      <c r="N1596" s="3">
        <v>396.30840000000001</v>
      </c>
      <c r="O1596" t="s">
        <v>22</v>
      </c>
      <c r="P1596" t="s">
        <v>24</v>
      </c>
      <c r="Q1596" t="s">
        <v>24</v>
      </c>
      <c r="R1596" t="s">
        <v>53</v>
      </c>
      <c r="S1596">
        <v>10</v>
      </c>
    </row>
    <row r="1597" spans="1:19" x14ac:dyDescent="0.3">
      <c r="A1597" s="1">
        <v>43038</v>
      </c>
      <c r="B1597">
        <v>2017</v>
      </c>
      <c r="C1597" t="s">
        <v>40</v>
      </c>
      <c r="D1597" s="4">
        <v>97070</v>
      </c>
      <c r="E1597" s="2">
        <v>72500</v>
      </c>
      <c r="F1597" t="s">
        <v>19</v>
      </c>
      <c r="G1597" t="s">
        <v>20</v>
      </c>
      <c r="H1597">
        <v>3</v>
      </c>
      <c r="I1597">
        <v>3</v>
      </c>
      <c r="J1597">
        <v>962</v>
      </c>
      <c r="K1597" s="5">
        <v>1.3882830000000001E-2</v>
      </c>
      <c r="L1597" t="s">
        <v>21</v>
      </c>
      <c r="M1597" s="4">
        <v>-24570</v>
      </c>
      <c r="N1597" s="3">
        <v>75.363799999999998</v>
      </c>
      <c r="O1597" t="s">
        <v>33</v>
      </c>
      <c r="P1597" t="s">
        <v>23</v>
      </c>
      <c r="Q1597" t="s">
        <v>24</v>
      </c>
      <c r="R1597" t="s">
        <v>53</v>
      </c>
      <c r="S1597">
        <v>10</v>
      </c>
    </row>
    <row r="1598" spans="1:19" x14ac:dyDescent="0.3">
      <c r="A1598" s="1">
        <v>43041</v>
      </c>
      <c r="B1598">
        <v>2017</v>
      </c>
      <c r="C1598" t="s">
        <v>26</v>
      </c>
      <c r="D1598" s="4">
        <v>220070</v>
      </c>
      <c r="E1598" s="2">
        <v>475000</v>
      </c>
      <c r="F1598" t="s">
        <v>42</v>
      </c>
      <c r="G1598" t="s">
        <v>43</v>
      </c>
      <c r="H1598">
        <v>8</v>
      </c>
      <c r="I1598">
        <v>8</v>
      </c>
      <c r="J1598">
        <v>2853</v>
      </c>
      <c r="K1598" s="5">
        <v>1.3882830000000001E-2</v>
      </c>
      <c r="L1598" t="s">
        <v>38</v>
      </c>
      <c r="M1598" s="4">
        <v>254930</v>
      </c>
      <c r="N1598" s="3">
        <v>166.4914</v>
      </c>
      <c r="O1598" t="s">
        <v>22</v>
      </c>
      <c r="P1598" t="s">
        <v>24</v>
      </c>
      <c r="Q1598" t="s">
        <v>34</v>
      </c>
      <c r="R1598" t="s">
        <v>54</v>
      </c>
      <c r="S1598">
        <v>11</v>
      </c>
    </row>
    <row r="1599" spans="1:19" x14ac:dyDescent="0.3">
      <c r="A1599" s="1">
        <v>43042</v>
      </c>
      <c r="B1599">
        <v>2017</v>
      </c>
      <c r="C1599" t="s">
        <v>52</v>
      </c>
      <c r="D1599" s="4">
        <v>186550</v>
      </c>
      <c r="E1599" s="2">
        <v>198000</v>
      </c>
      <c r="F1599" t="s">
        <v>19</v>
      </c>
      <c r="G1599" t="s">
        <v>20</v>
      </c>
      <c r="H1599">
        <v>3</v>
      </c>
      <c r="I1599">
        <v>1</v>
      </c>
      <c r="J1599">
        <v>1046</v>
      </c>
      <c r="K1599" s="5">
        <v>1.3882830000000001E-2</v>
      </c>
      <c r="L1599" t="s">
        <v>32</v>
      </c>
      <c r="M1599" s="4">
        <v>11450</v>
      </c>
      <c r="N1599" s="3">
        <v>189.29249999999999</v>
      </c>
      <c r="O1599" t="s">
        <v>22</v>
      </c>
      <c r="P1599" t="s">
        <v>23</v>
      </c>
      <c r="Q1599" t="s">
        <v>24</v>
      </c>
      <c r="R1599" t="s">
        <v>54</v>
      </c>
      <c r="S1599">
        <v>11</v>
      </c>
    </row>
    <row r="1600" spans="1:19" x14ac:dyDescent="0.3">
      <c r="A1600" s="1">
        <v>43044</v>
      </c>
      <c r="B1600">
        <v>2017</v>
      </c>
      <c r="C1600" t="s">
        <v>26</v>
      </c>
      <c r="D1600" s="4">
        <v>168960</v>
      </c>
      <c r="E1600" s="2">
        <v>125000</v>
      </c>
      <c r="F1600" t="s">
        <v>19</v>
      </c>
      <c r="G1600" t="s">
        <v>20</v>
      </c>
      <c r="H1600">
        <v>3</v>
      </c>
      <c r="I1600">
        <v>1</v>
      </c>
      <c r="J1600">
        <v>1062</v>
      </c>
      <c r="K1600" s="5">
        <v>1.3882830000000001E-2</v>
      </c>
      <c r="L1600" t="s">
        <v>32</v>
      </c>
      <c r="M1600" s="4">
        <v>-43960</v>
      </c>
      <c r="N1600" s="3">
        <v>117.7024</v>
      </c>
      <c r="O1600" t="s">
        <v>33</v>
      </c>
      <c r="P1600" t="s">
        <v>23</v>
      </c>
      <c r="Q1600" t="s">
        <v>24</v>
      </c>
      <c r="R1600" t="s">
        <v>54</v>
      </c>
      <c r="S1600">
        <v>11</v>
      </c>
    </row>
    <row r="1601" spans="1:19" x14ac:dyDescent="0.3">
      <c r="A1601" s="1">
        <v>43045</v>
      </c>
      <c r="B1601">
        <v>2017</v>
      </c>
      <c r="C1601" t="s">
        <v>26</v>
      </c>
      <c r="D1601" s="4">
        <v>226150</v>
      </c>
      <c r="E1601" s="2">
        <v>405000</v>
      </c>
      <c r="F1601" t="s">
        <v>19</v>
      </c>
      <c r="G1601" t="s">
        <v>20</v>
      </c>
      <c r="H1601">
        <v>3</v>
      </c>
      <c r="I1601">
        <v>1</v>
      </c>
      <c r="J1601">
        <v>991</v>
      </c>
      <c r="K1601" s="5">
        <v>1.3882830000000001E-2</v>
      </c>
      <c r="L1601" t="s">
        <v>38</v>
      </c>
      <c r="M1601" s="4">
        <v>178850</v>
      </c>
      <c r="N1601" s="3">
        <v>408.67809999999997</v>
      </c>
      <c r="O1601" t="s">
        <v>22</v>
      </c>
      <c r="P1601" t="s">
        <v>24</v>
      </c>
      <c r="Q1601" t="s">
        <v>24</v>
      </c>
      <c r="R1601" t="s">
        <v>54</v>
      </c>
      <c r="S1601">
        <v>11</v>
      </c>
    </row>
    <row r="1602" spans="1:19" x14ac:dyDescent="0.3">
      <c r="A1602" s="1">
        <v>43048</v>
      </c>
      <c r="B1602">
        <v>2017</v>
      </c>
      <c r="C1602" t="s">
        <v>52</v>
      </c>
      <c r="D1602" s="4">
        <v>444584.20699999999</v>
      </c>
      <c r="E1602" s="2">
        <v>155000</v>
      </c>
      <c r="F1602" t="s">
        <v>19</v>
      </c>
      <c r="G1602" t="s">
        <v>20</v>
      </c>
      <c r="H1602">
        <v>3</v>
      </c>
      <c r="I1602">
        <v>1</v>
      </c>
      <c r="J1602">
        <v>1001</v>
      </c>
      <c r="K1602" s="5">
        <v>1.3882830000000001E-2</v>
      </c>
      <c r="L1602" t="s">
        <v>21</v>
      </c>
      <c r="M1602" s="4">
        <v>-289584.20699999999</v>
      </c>
      <c r="N1602" s="3">
        <v>154.84520000000001</v>
      </c>
      <c r="O1602" t="s">
        <v>33</v>
      </c>
      <c r="P1602" t="s">
        <v>23</v>
      </c>
      <c r="Q1602" t="s">
        <v>24</v>
      </c>
      <c r="R1602" t="s">
        <v>54</v>
      </c>
      <c r="S1602">
        <v>11</v>
      </c>
    </row>
    <row r="1603" spans="1:19" x14ac:dyDescent="0.3">
      <c r="A1603" s="1">
        <v>43049</v>
      </c>
      <c r="B1603">
        <v>2017</v>
      </c>
      <c r="C1603" t="s">
        <v>18</v>
      </c>
      <c r="D1603" s="4">
        <v>72020</v>
      </c>
      <c r="E1603" s="2">
        <v>35600</v>
      </c>
      <c r="F1603" t="s">
        <v>19</v>
      </c>
      <c r="G1603" t="s">
        <v>20</v>
      </c>
      <c r="H1603">
        <v>3</v>
      </c>
      <c r="I1603">
        <v>1</v>
      </c>
      <c r="J1603">
        <v>1111.6589814177564</v>
      </c>
      <c r="K1603" s="5">
        <v>1.3882830000000001E-2</v>
      </c>
      <c r="L1603" t="s">
        <v>38</v>
      </c>
      <c r="M1603" s="4">
        <v>-36420</v>
      </c>
      <c r="N1603" s="3">
        <v>32.0242</v>
      </c>
      <c r="O1603" t="s">
        <v>33</v>
      </c>
      <c r="P1603" t="s">
        <v>23</v>
      </c>
      <c r="Q1603" t="s">
        <v>24</v>
      </c>
      <c r="R1603" t="s">
        <v>54</v>
      </c>
      <c r="S1603">
        <v>11</v>
      </c>
    </row>
    <row r="1604" spans="1:19" x14ac:dyDescent="0.3">
      <c r="A1604" s="1">
        <v>43051</v>
      </c>
      <c r="B1604">
        <v>2017</v>
      </c>
      <c r="C1604" t="s">
        <v>26</v>
      </c>
      <c r="D1604" s="4">
        <v>170630</v>
      </c>
      <c r="E1604" s="2">
        <v>52200</v>
      </c>
      <c r="F1604" t="s">
        <v>19</v>
      </c>
      <c r="G1604" t="s">
        <v>20</v>
      </c>
      <c r="H1604">
        <v>3</v>
      </c>
      <c r="I1604">
        <v>1</v>
      </c>
      <c r="J1604">
        <v>960</v>
      </c>
      <c r="K1604" s="5">
        <v>1.3882830000000001E-2</v>
      </c>
      <c r="L1604" t="s">
        <v>32</v>
      </c>
      <c r="M1604" s="4">
        <v>-118430</v>
      </c>
      <c r="N1604" s="3">
        <v>54.375</v>
      </c>
      <c r="O1604" t="s">
        <v>33</v>
      </c>
      <c r="P1604" t="s">
        <v>23</v>
      </c>
      <c r="Q1604" t="s">
        <v>24</v>
      </c>
      <c r="R1604" t="s">
        <v>54</v>
      </c>
      <c r="S1604">
        <v>11</v>
      </c>
    </row>
    <row r="1605" spans="1:19" x14ac:dyDescent="0.3">
      <c r="A1605" s="1">
        <v>43052</v>
      </c>
      <c r="B1605">
        <v>2017</v>
      </c>
      <c r="C1605" t="s">
        <v>26</v>
      </c>
      <c r="D1605" s="4">
        <v>227530</v>
      </c>
      <c r="E1605" s="2">
        <v>435000</v>
      </c>
      <c r="F1605" t="s">
        <v>19</v>
      </c>
      <c r="G1605" t="s">
        <v>20</v>
      </c>
      <c r="H1605">
        <v>3</v>
      </c>
      <c r="I1605">
        <v>1</v>
      </c>
      <c r="J1605">
        <v>1023</v>
      </c>
      <c r="K1605" s="5">
        <v>1.3882830000000001E-2</v>
      </c>
      <c r="L1605" t="s">
        <v>32</v>
      </c>
      <c r="M1605" s="4">
        <v>207470</v>
      </c>
      <c r="N1605" s="3">
        <v>425.2199</v>
      </c>
      <c r="O1605" t="s">
        <v>22</v>
      </c>
      <c r="P1605" t="s">
        <v>24</v>
      </c>
      <c r="Q1605" t="s">
        <v>24</v>
      </c>
      <c r="R1605" t="s">
        <v>54</v>
      </c>
      <c r="S1605">
        <v>11</v>
      </c>
    </row>
    <row r="1606" spans="1:19" x14ac:dyDescent="0.3">
      <c r="A1606" s="1">
        <v>43055</v>
      </c>
      <c r="B1606">
        <v>2017</v>
      </c>
      <c r="C1606" t="s">
        <v>18</v>
      </c>
      <c r="D1606" s="4">
        <v>87760</v>
      </c>
      <c r="E1606" s="2">
        <v>96000</v>
      </c>
      <c r="F1606" t="s">
        <v>19</v>
      </c>
      <c r="G1606" t="s">
        <v>20</v>
      </c>
      <c r="H1606">
        <v>3</v>
      </c>
      <c r="I1606">
        <v>1</v>
      </c>
      <c r="J1606">
        <v>1040</v>
      </c>
      <c r="K1606" s="5">
        <v>1.3882830000000001E-2</v>
      </c>
      <c r="L1606" t="s">
        <v>38</v>
      </c>
      <c r="M1606" s="4">
        <v>8240</v>
      </c>
      <c r="N1606" s="3">
        <v>92.307699999999997</v>
      </c>
      <c r="O1606" t="s">
        <v>22</v>
      </c>
      <c r="P1606" t="s">
        <v>23</v>
      </c>
      <c r="Q1606" t="s">
        <v>24</v>
      </c>
      <c r="R1606" t="s">
        <v>54</v>
      </c>
      <c r="S1606">
        <v>11</v>
      </c>
    </row>
    <row r="1607" spans="1:19" x14ac:dyDescent="0.3">
      <c r="A1607" s="1">
        <v>43056</v>
      </c>
      <c r="B1607">
        <v>2017</v>
      </c>
      <c r="C1607" t="s">
        <v>18</v>
      </c>
      <c r="D1607" s="4">
        <v>444584.20699999999</v>
      </c>
      <c r="E1607" s="2">
        <v>40500</v>
      </c>
      <c r="F1607" t="s">
        <v>19</v>
      </c>
      <c r="G1607" t="s">
        <v>20</v>
      </c>
      <c r="H1607">
        <v>3</v>
      </c>
      <c r="I1607">
        <v>1</v>
      </c>
      <c r="J1607">
        <v>959</v>
      </c>
      <c r="K1607" s="5">
        <v>1.3882830000000001E-2</v>
      </c>
      <c r="L1607" t="s">
        <v>38</v>
      </c>
      <c r="M1607" s="4">
        <v>-404084.20699999999</v>
      </c>
      <c r="N1607" s="3">
        <v>42.231499999999997</v>
      </c>
      <c r="O1607" t="s">
        <v>33</v>
      </c>
      <c r="P1607" t="s">
        <v>23</v>
      </c>
      <c r="Q1607" t="s">
        <v>24</v>
      </c>
      <c r="R1607" t="s">
        <v>54</v>
      </c>
      <c r="S1607">
        <v>11</v>
      </c>
    </row>
    <row r="1608" spans="1:19" x14ac:dyDescent="0.3">
      <c r="A1608" s="1">
        <v>43058</v>
      </c>
      <c r="B1608">
        <v>2017</v>
      </c>
      <c r="C1608" t="s">
        <v>56</v>
      </c>
      <c r="D1608" s="4">
        <v>392580</v>
      </c>
      <c r="E1608" s="2">
        <v>633000</v>
      </c>
      <c r="F1608" t="s">
        <v>30</v>
      </c>
      <c r="G1608" t="s">
        <v>31</v>
      </c>
      <c r="H1608">
        <v>4</v>
      </c>
      <c r="I1608">
        <v>4</v>
      </c>
      <c r="J1608">
        <v>1259</v>
      </c>
      <c r="K1608" s="5">
        <v>1.3882830000000001E-2</v>
      </c>
      <c r="L1608" t="s">
        <v>38</v>
      </c>
      <c r="M1608" s="4">
        <v>240420</v>
      </c>
      <c r="N1608" s="3">
        <v>502.78</v>
      </c>
      <c r="O1608" t="s">
        <v>22</v>
      </c>
      <c r="P1608" t="s">
        <v>28</v>
      </c>
      <c r="Q1608" t="s">
        <v>24</v>
      </c>
      <c r="R1608" t="s">
        <v>54</v>
      </c>
      <c r="S1608">
        <v>11</v>
      </c>
    </row>
    <row r="1609" spans="1:19" x14ac:dyDescent="0.3">
      <c r="A1609" s="1">
        <v>43062</v>
      </c>
      <c r="B1609">
        <v>2017</v>
      </c>
      <c r="C1609" t="s">
        <v>18</v>
      </c>
      <c r="D1609" s="4">
        <v>34850</v>
      </c>
      <c r="E1609" s="2">
        <v>15000</v>
      </c>
      <c r="F1609" t="s">
        <v>30</v>
      </c>
      <c r="G1609" t="s">
        <v>31</v>
      </c>
      <c r="H1609">
        <v>4</v>
      </c>
      <c r="I1609">
        <v>4</v>
      </c>
      <c r="J1609">
        <v>1304</v>
      </c>
      <c r="K1609" s="5">
        <v>1.3882830000000001E-2</v>
      </c>
      <c r="L1609" t="s">
        <v>32</v>
      </c>
      <c r="M1609" s="4">
        <v>-19850</v>
      </c>
      <c r="N1609" s="3">
        <v>11.5031</v>
      </c>
      <c r="O1609" t="s">
        <v>33</v>
      </c>
      <c r="P1609" t="s">
        <v>23</v>
      </c>
      <c r="Q1609" t="s">
        <v>34</v>
      </c>
      <c r="R1609" t="s">
        <v>54</v>
      </c>
      <c r="S1609">
        <v>11</v>
      </c>
    </row>
    <row r="1610" spans="1:19" x14ac:dyDescent="0.3">
      <c r="A1610" s="1">
        <v>43063</v>
      </c>
      <c r="B1610">
        <v>2017</v>
      </c>
      <c r="C1610" t="s">
        <v>52</v>
      </c>
      <c r="D1610" s="4">
        <v>210350</v>
      </c>
      <c r="E1610" s="2">
        <v>290000</v>
      </c>
      <c r="F1610" t="s">
        <v>19</v>
      </c>
      <c r="G1610" t="s">
        <v>20</v>
      </c>
      <c r="H1610">
        <v>3</v>
      </c>
      <c r="I1610">
        <v>2</v>
      </c>
      <c r="J1610">
        <v>1020</v>
      </c>
      <c r="K1610" s="5">
        <v>1.3882830000000001E-2</v>
      </c>
      <c r="L1610" t="s">
        <v>38</v>
      </c>
      <c r="M1610" s="4">
        <v>79650</v>
      </c>
      <c r="N1610" s="3">
        <v>284.31369999999998</v>
      </c>
      <c r="O1610" t="s">
        <v>22</v>
      </c>
      <c r="P1610" t="s">
        <v>24</v>
      </c>
      <c r="Q1610" t="s">
        <v>24</v>
      </c>
      <c r="R1610" t="s">
        <v>54</v>
      </c>
      <c r="S1610">
        <v>11</v>
      </c>
    </row>
    <row r="1611" spans="1:19" x14ac:dyDescent="0.3">
      <c r="A1611" s="1">
        <v>43064</v>
      </c>
      <c r="B1611">
        <v>2017</v>
      </c>
      <c r="C1611" t="s">
        <v>40</v>
      </c>
      <c r="D1611" s="4">
        <v>201530</v>
      </c>
      <c r="E1611" s="2">
        <v>250000</v>
      </c>
      <c r="F1611" t="s">
        <v>19</v>
      </c>
      <c r="G1611" t="s">
        <v>20</v>
      </c>
      <c r="H1611">
        <v>3</v>
      </c>
      <c r="I1611">
        <v>2</v>
      </c>
      <c r="J1611">
        <v>980</v>
      </c>
      <c r="K1611" s="5">
        <v>1.3882830000000001E-2</v>
      </c>
      <c r="L1611" t="s">
        <v>21</v>
      </c>
      <c r="M1611" s="4">
        <v>48470</v>
      </c>
      <c r="N1611" s="3">
        <v>255.102</v>
      </c>
      <c r="O1611" t="s">
        <v>22</v>
      </c>
      <c r="P1611" t="s">
        <v>24</v>
      </c>
      <c r="Q1611" t="s">
        <v>24</v>
      </c>
      <c r="R1611" t="s">
        <v>54</v>
      </c>
      <c r="S1611">
        <v>11</v>
      </c>
    </row>
    <row r="1612" spans="1:19" x14ac:dyDescent="0.3">
      <c r="A1612" s="1">
        <v>43069</v>
      </c>
      <c r="B1612">
        <v>2017</v>
      </c>
      <c r="C1612" t="s">
        <v>26</v>
      </c>
      <c r="D1612" s="4">
        <v>1032060</v>
      </c>
      <c r="E1612" s="2">
        <v>1475000</v>
      </c>
      <c r="F1612" t="s">
        <v>19</v>
      </c>
      <c r="G1612" t="s">
        <v>20</v>
      </c>
      <c r="H1612">
        <v>3</v>
      </c>
      <c r="I1612">
        <v>2</v>
      </c>
      <c r="J1612">
        <v>1015</v>
      </c>
      <c r="K1612" s="5">
        <v>1.3882830000000001E-2</v>
      </c>
      <c r="L1612" t="s">
        <v>21</v>
      </c>
      <c r="M1612" s="4">
        <v>442940</v>
      </c>
      <c r="N1612" s="3">
        <v>1453.202</v>
      </c>
      <c r="O1612" t="s">
        <v>22</v>
      </c>
      <c r="P1612" t="s">
        <v>28</v>
      </c>
      <c r="Q1612" t="s">
        <v>24</v>
      </c>
      <c r="R1612" t="s">
        <v>54</v>
      </c>
      <c r="S1612">
        <v>11</v>
      </c>
    </row>
    <row r="1613" spans="1:19" x14ac:dyDescent="0.3">
      <c r="A1613" s="1">
        <v>43070</v>
      </c>
      <c r="B1613">
        <v>2017</v>
      </c>
      <c r="C1613" t="s">
        <v>18</v>
      </c>
      <c r="D1613" s="4">
        <v>104760</v>
      </c>
      <c r="E1613" s="2">
        <v>37000</v>
      </c>
      <c r="F1613" t="s">
        <v>19</v>
      </c>
      <c r="G1613" t="s">
        <v>20</v>
      </c>
      <c r="H1613">
        <v>3</v>
      </c>
      <c r="I1613">
        <v>2</v>
      </c>
      <c r="J1613">
        <v>1053</v>
      </c>
      <c r="K1613" s="5">
        <v>1.3882830000000001E-2</v>
      </c>
      <c r="L1613" t="s">
        <v>32</v>
      </c>
      <c r="M1613" s="4">
        <v>-67760</v>
      </c>
      <c r="N1613" s="3">
        <v>35.137700000000002</v>
      </c>
      <c r="O1613" t="s">
        <v>33</v>
      </c>
      <c r="P1613" t="s">
        <v>23</v>
      </c>
      <c r="Q1613" t="s">
        <v>24</v>
      </c>
      <c r="R1613" t="s">
        <v>55</v>
      </c>
      <c r="S1613">
        <v>12</v>
      </c>
    </row>
    <row r="1614" spans="1:19" x14ac:dyDescent="0.3">
      <c r="A1614" s="1">
        <v>43072</v>
      </c>
      <c r="B1614">
        <v>2017</v>
      </c>
      <c r="C1614" t="s">
        <v>18</v>
      </c>
      <c r="D1614" s="4">
        <v>444584.20699999999</v>
      </c>
      <c r="E1614" s="2">
        <v>48369</v>
      </c>
      <c r="F1614" t="s">
        <v>30</v>
      </c>
      <c r="G1614" t="s">
        <v>31</v>
      </c>
      <c r="H1614">
        <v>4</v>
      </c>
      <c r="I1614">
        <v>2</v>
      </c>
      <c r="J1614">
        <v>1219</v>
      </c>
      <c r="K1614" s="5">
        <v>1.3882830000000001E-2</v>
      </c>
      <c r="L1614" t="s">
        <v>38</v>
      </c>
      <c r="M1614" s="4">
        <v>-396215.20699999999</v>
      </c>
      <c r="N1614" s="3">
        <v>39.679200000000002</v>
      </c>
      <c r="O1614" t="s">
        <v>33</v>
      </c>
      <c r="P1614" t="s">
        <v>23</v>
      </c>
      <c r="Q1614" t="s">
        <v>24</v>
      </c>
      <c r="R1614" t="s">
        <v>55</v>
      </c>
      <c r="S1614">
        <v>12</v>
      </c>
    </row>
    <row r="1615" spans="1:19" x14ac:dyDescent="0.3">
      <c r="A1615" s="1">
        <v>43073</v>
      </c>
      <c r="B1615">
        <v>2017</v>
      </c>
      <c r="C1615" t="s">
        <v>26</v>
      </c>
      <c r="D1615" s="4">
        <v>231420</v>
      </c>
      <c r="E1615" s="2">
        <v>387500</v>
      </c>
      <c r="F1615" t="s">
        <v>19</v>
      </c>
      <c r="G1615" t="s">
        <v>20</v>
      </c>
      <c r="H1615">
        <v>3</v>
      </c>
      <c r="I1615">
        <v>1</v>
      </c>
      <c r="J1615">
        <v>1054</v>
      </c>
      <c r="K1615" s="5">
        <v>1.3882830000000001E-2</v>
      </c>
      <c r="L1615" t="s">
        <v>38</v>
      </c>
      <c r="M1615" s="4">
        <v>156080</v>
      </c>
      <c r="N1615" s="3">
        <v>367.64710000000002</v>
      </c>
      <c r="O1615" t="s">
        <v>22</v>
      </c>
      <c r="P1615" t="s">
        <v>24</v>
      </c>
      <c r="Q1615" t="s">
        <v>24</v>
      </c>
      <c r="R1615" t="s">
        <v>55</v>
      </c>
      <c r="S1615">
        <v>12</v>
      </c>
    </row>
    <row r="1616" spans="1:19" x14ac:dyDescent="0.3">
      <c r="A1616" s="1">
        <v>43076</v>
      </c>
      <c r="B1616">
        <v>2017</v>
      </c>
      <c r="C1616" t="s">
        <v>56</v>
      </c>
      <c r="D1616" s="4">
        <v>491850</v>
      </c>
      <c r="E1616" s="2">
        <v>715000</v>
      </c>
      <c r="F1616" t="s">
        <v>19</v>
      </c>
      <c r="G1616" t="s">
        <v>20</v>
      </c>
      <c r="H1616">
        <v>3</v>
      </c>
      <c r="I1616">
        <v>1</v>
      </c>
      <c r="J1616">
        <v>902</v>
      </c>
      <c r="K1616" s="5">
        <v>1.3882830000000001E-2</v>
      </c>
      <c r="L1616" t="s">
        <v>21</v>
      </c>
      <c r="M1616" s="4">
        <v>223150</v>
      </c>
      <c r="N1616" s="3">
        <v>792.68290000000002</v>
      </c>
      <c r="O1616" t="s">
        <v>22</v>
      </c>
      <c r="P1616" t="s">
        <v>28</v>
      </c>
      <c r="Q1616" t="s">
        <v>24</v>
      </c>
      <c r="R1616" t="s">
        <v>55</v>
      </c>
      <c r="S1616">
        <v>12</v>
      </c>
    </row>
    <row r="1617" spans="1:19" x14ac:dyDescent="0.3">
      <c r="A1617" s="1">
        <v>43077</v>
      </c>
      <c r="B1617">
        <v>2017</v>
      </c>
      <c r="C1617" t="s">
        <v>56</v>
      </c>
      <c r="D1617" s="4">
        <v>478920</v>
      </c>
      <c r="E1617" s="2">
        <v>600000</v>
      </c>
      <c r="F1617" t="s">
        <v>19</v>
      </c>
      <c r="G1617" t="s">
        <v>20</v>
      </c>
      <c r="H1617">
        <v>3</v>
      </c>
      <c r="I1617">
        <v>2</v>
      </c>
      <c r="J1617">
        <v>1068</v>
      </c>
      <c r="K1617" s="5">
        <v>1.3882830000000001E-2</v>
      </c>
      <c r="L1617" t="s">
        <v>32</v>
      </c>
      <c r="M1617" s="4">
        <v>121080</v>
      </c>
      <c r="N1617" s="3">
        <v>561.79780000000005</v>
      </c>
      <c r="O1617" t="s">
        <v>22</v>
      </c>
      <c r="P1617" t="s">
        <v>28</v>
      </c>
      <c r="Q1617" t="s">
        <v>24</v>
      </c>
      <c r="R1617" t="s">
        <v>55</v>
      </c>
      <c r="S1617">
        <v>12</v>
      </c>
    </row>
    <row r="1618" spans="1:19" x14ac:dyDescent="0.3">
      <c r="A1618" s="1">
        <v>43078</v>
      </c>
      <c r="B1618">
        <v>2017</v>
      </c>
      <c r="C1618" t="s">
        <v>18</v>
      </c>
      <c r="D1618" s="4">
        <v>444584.20699999999</v>
      </c>
      <c r="E1618" s="2">
        <v>35000</v>
      </c>
      <c r="F1618" t="s">
        <v>19</v>
      </c>
      <c r="G1618" t="s">
        <v>20</v>
      </c>
      <c r="H1618">
        <v>3</v>
      </c>
      <c r="I1618">
        <v>1</v>
      </c>
      <c r="J1618">
        <v>986</v>
      </c>
      <c r="K1618" s="5">
        <v>1.3882830000000001E-2</v>
      </c>
      <c r="L1618" t="s">
        <v>27</v>
      </c>
      <c r="M1618" s="4">
        <v>-409584.20699999999</v>
      </c>
      <c r="N1618" s="3">
        <v>35.497</v>
      </c>
      <c r="O1618" t="s">
        <v>33</v>
      </c>
      <c r="P1618" t="s">
        <v>23</v>
      </c>
      <c r="Q1618" t="s">
        <v>24</v>
      </c>
      <c r="R1618" t="s">
        <v>55</v>
      </c>
      <c r="S1618">
        <v>12</v>
      </c>
    </row>
    <row r="1619" spans="1:19" x14ac:dyDescent="0.3">
      <c r="A1619" s="1">
        <v>43079</v>
      </c>
      <c r="B1619">
        <v>2017</v>
      </c>
      <c r="C1619" t="s">
        <v>52</v>
      </c>
      <c r="D1619" s="4">
        <v>149940</v>
      </c>
      <c r="E1619" s="2">
        <v>182500</v>
      </c>
      <c r="F1619" t="s">
        <v>19</v>
      </c>
      <c r="G1619" t="s">
        <v>20</v>
      </c>
      <c r="H1619">
        <v>3</v>
      </c>
      <c r="I1619">
        <v>1</v>
      </c>
      <c r="J1619">
        <v>940</v>
      </c>
      <c r="K1619" s="5">
        <v>1.3882830000000001E-2</v>
      </c>
      <c r="L1619" t="s">
        <v>32</v>
      </c>
      <c r="M1619" s="4">
        <v>32560</v>
      </c>
      <c r="N1619" s="3">
        <v>194.1489</v>
      </c>
      <c r="O1619" t="s">
        <v>22</v>
      </c>
      <c r="P1619" t="s">
        <v>23</v>
      </c>
      <c r="Q1619" t="s">
        <v>24</v>
      </c>
      <c r="R1619" t="s">
        <v>55</v>
      </c>
      <c r="S1619">
        <v>12</v>
      </c>
    </row>
    <row r="1620" spans="1:19" x14ac:dyDescent="0.3">
      <c r="A1620" s="1">
        <v>43083</v>
      </c>
      <c r="B1620">
        <v>2017</v>
      </c>
      <c r="C1620" t="s">
        <v>18</v>
      </c>
      <c r="D1620" s="4">
        <v>94900</v>
      </c>
      <c r="E1620" s="2">
        <v>110500</v>
      </c>
      <c r="F1620" t="s">
        <v>19</v>
      </c>
      <c r="G1620" t="s">
        <v>20</v>
      </c>
      <c r="H1620">
        <v>3</v>
      </c>
      <c r="I1620">
        <v>1</v>
      </c>
      <c r="J1620">
        <v>1066</v>
      </c>
      <c r="K1620" s="5">
        <v>1.3882830000000001E-2</v>
      </c>
      <c r="L1620" t="s">
        <v>27</v>
      </c>
      <c r="M1620" s="4">
        <v>15600</v>
      </c>
      <c r="N1620" s="3">
        <v>103.6585</v>
      </c>
      <c r="O1620" t="s">
        <v>22</v>
      </c>
      <c r="P1620" t="s">
        <v>23</v>
      </c>
      <c r="Q1620" t="s">
        <v>24</v>
      </c>
      <c r="R1620" t="s">
        <v>55</v>
      </c>
      <c r="S1620">
        <v>12</v>
      </c>
    </row>
    <row r="1621" spans="1:19" x14ac:dyDescent="0.3">
      <c r="A1621" s="1">
        <v>43084</v>
      </c>
      <c r="B1621">
        <v>2017</v>
      </c>
      <c r="C1621" t="s">
        <v>56</v>
      </c>
      <c r="D1621" s="4">
        <v>889650</v>
      </c>
      <c r="E1621" s="2">
        <v>192500</v>
      </c>
      <c r="F1621" t="s">
        <v>36</v>
      </c>
      <c r="G1621" t="s">
        <v>37</v>
      </c>
      <c r="H1621">
        <v>6</v>
      </c>
      <c r="I1621">
        <v>4</v>
      </c>
      <c r="J1621">
        <v>2192</v>
      </c>
      <c r="K1621" s="5">
        <v>1.3882830000000001E-2</v>
      </c>
      <c r="L1621" t="s">
        <v>38</v>
      </c>
      <c r="M1621" s="4">
        <v>-697150</v>
      </c>
      <c r="N1621" s="3">
        <v>87.819299999999998</v>
      </c>
      <c r="O1621" t="s">
        <v>33</v>
      </c>
      <c r="P1621" t="s">
        <v>23</v>
      </c>
      <c r="Q1621" t="s">
        <v>34</v>
      </c>
      <c r="R1621" t="s">
        <v>55</v>
      </c>
      <c r="S1621">
        <v>12</v>
      </c>
    </row>
    <row r="1622" spans="1:19" x14ac:dyDescent="0.3">
      <c r="A1622" s="1">
        <v>43085</v>
      </c>
      <c r="B1622">
        <v>2017</v>
      </c>
      <c r="C1622" t="s">
        <v>52</v>
      </c>
      <c r="D1622" s="4">
        <v>217350</v>
      </c>
      <c r="E1622" s="2">
        <v>360000</v>
      </c>
      <c r="F1622" t="s">
        <v>19</v>
      </c>
      <c r="G1622" t="s">
        <v>20</v>
      </c>
      <c r="H1622">
        <v>3</v>
      </c>
      <c r="I1622">
        <v>1</v>
      </c>
      <c r="J1622">
        <v>953</v>
      </c>
      <c r="K1622" s="5">
        <v>1.3882830000000001E-2</v>
      </c>
      <c r="L1622" t="s">
        <v>38</v>
      </c>
      <c r="M1622" s="4">
        <v>142650</v>
      </c>
      <c r="N1622" s="3">
        <v>377.75450000000001</v>
      </c>
      <c r="O1622" t="s">
        <v>22</v>
      </c>
      <c r="P1622" t="s">
        <v>24</v>
      </c>
      <c r="Q1622" t="s">
        <v>24</v>
      </c>
      <c r="R1622" t="s">
        <v>55</v>
      </c>
      <c r="S1622">
        <v>12</v>
      </c>
    </row>
    <row r="1623" spans="1:19" x14ac:dyDescent="0.3">
      <c r="A1623" s="1">
        <v>43087</v>
      </c>
      <c r="B1623">
        <v>2017</v>
      </c>
      <c r="C1623" t="s">
        <v>26</v>
      </c>
      <c r="D1623" s="4">
        <v>582130</v>
      </c>
      <c r="E1623" s="2">
        <v>4080000</v>
      </c>
      <c r="F1623" t="s">
        <v>19</v>
      </c>
      <c r="G1623" t="s">
        <v>20</v>
      </c>
      <c r="H1623">
        <v>3</v>
      </c>
      <c r="I1623">
        <v>1</v>
      </c>
      <c r="J1623">
        <v>1111.6589814177564</v>
      </c>
      <c r="K1623" s="5">
        <v>1.3882830000000001E-2</v>
      </c>
      <c r="L1623" t="s">
        <v>21</v>
      </c>
      <c r="M1623" s="4">
        <v>3497870</v>
      </c>
      <c r="N1623" s="3">
        <v>3670.1903000000002</v>
      </c>
      <c r="O1623" t="s">
        <v>22</v>
      </c>
      <c r="P1623" t="s">
        <v>28</v>
      </c>
      <c r="Q1623" t="s">
        <v>24</v>
      </c>
      <c r="R1623" t="s">
        <v>55</v>
      </c>
      <c r="S1623">
        <v>12</v>
      </c>
    </row>
    <row r="1624" spans="1:19" x14ac:dyDescent="0.3">
      <c r="A1624" s="1">
        <v>43090</v>
      </c>
      <c r="B1624">
        <v>2017</v>
      </c>
      <c r="C1624" t="s">
        <v>56</v>
      </c>
      <c r="D1624" s="4">
        <v>851100</v>
      </c>
      <c r="E1624" s="2">
        <v>1555000</v>
      </c>
      <c r="F1624" t="s">
        <v>19</v>
      </c>
      <c r="G1624" t="s">
        <v>20</v>
      </c>
      <c r="H1624">
        <v>3</v>
      </c>
      <c r="I1624">
        <v>3</v>
      </c>
      <c r="J1624">
        <v>1091</v>
      </c>
      <c r="K1624" s="5">
        <v>1.3882830000000001E-2</v>
      </c>
      <c r="L1624" t="s">
        <v>21</v>
      </c>
      <c r="M1624" s="4">
        <v>703900</v>
      </c>
      <c r="N1624" s="3">
        <v>1425.2979</v>
      </c>
      <c r="O1624" t="s">
        <v>22</v>
      </c>
      <c r="P1624" t="s">
        <v>28</v>
      </c>
      <c r="Q1624" t="s">
        <v>24</v>
      </c>
      <c r="R1624" t="s">
        <v>55</v>
      </c>
      <c r="S1624">
        <v>12</v>
      </c>
    </row>
    <row r="1625" spans="1:19" x14ac:dyDescent="0.3">
      <c r="A1625" s="1">
        <v>43092</v>
      </c>
      <c r="B1625">
        <v>2017</v>
      </c>
      <c r="C1625" t="s">
        <v>52</v>
      </c>
      <c r="D1625" s="4">
        <v>173950</v>
      </c>
      <c r="E1625" s="2">
        <v>280000</v>
      </c>
      <c r="F1625" t="s">
        <v>19</v>
      </c>
      <c r="G1625" t="s">
        <v>20</v>
      </c>
      <c r="H1625">
        <v>3</v>
      </c>
      <c r="I1625">
        <v>2</v>
      </c>
      <c r="J1625">
        <v>1055</v>
      </c>
      <c r="K1625" s="5">
        <v>1.3882830000000001E-2</v>
      </c>
      <c r="L1625" t="s">
        <v>32</v>
      </c>
      <c r="M1625" s="4">
        <v>106050</v>
      </c>
      <c r="N1625" s="3">
        <v>265.40280000000001</v>
      </c>
      <c r="O1625" t="s">
        <v>22</v>
      </c>
      <c r="P1625" t="s">
        <v>24</v>
      </c>
      <c r="Q1625" t="s">
        <v>24</v>
      </c>
      <c r="R1625" t="s">
        <v>55</v>
      </c>
      <c r="S1625">
        <v>12</v>
      </c>
    </row>
    <row r="1626" spans="1:19" x14ac:dyDescent="0.3">
      <c r="A1626" s="1">
        <v>43097</v>
      </c>
      <c r="B1626">
        <v>2017</v>
      </c>
      <c r="C1626" t="s">
        <v>40</v>
      </c>
      <c r="D1626" s="4">
        <v>377380</v>
      </c>
      <c r="E1626" s="2">
        <v>514000</v>
      </c>
      <c r="F1626" t="s">
        <v>19</v>
      </c>
      <c r="G1626" t="s">
        <v>20</v>
      </c>
      <c r="H1626">
        <v>3</v>
      </c>
      <c r="I1626">
        <v>1</v>
      </c>
      <c r="J1626">
        <v>919</v>
      </c>
      <c r="K1626" s="5">
        <v>1.3882830000000001E-2</v>
      </c>
      <c r="L1626" t="s">
        <v>27</v>
      </c>
      <c r="M1626" s="4">
        <v>136620</v>
      </c>
      <c r="N1626" s="3">
        <v>559.30359999999996</v>
      </c>
      <c r="O1626" t="s">
        <v>22</v>
      </c>
      <c r="P1626" t="s">
        <v>24</v>
      </c>
      <c r="Q1626" t="s">
        <v>24</v>
      </c>
      <c r="R1626" t="s">
        <v>55</v>
      </c>
      <c r="S1626">
        <v>12</v>
      </c>
    </row>
    <row r="1627" spans="1:19" x14ac:dyDescent="0.3">
      <c r="A1627" s="1">
        <v>43098</v>
      </c>
      <c r="B1627">
        <v>2017</v>
      </c>
      <c r="C1627" t="s">
        <v>56</v>
      </c>
      <c r="D1627" s="4">
        <v>145110</v>
      </c>
      <c r="E1627" s="2">
        <v>57000</v>
      </c>
      <c r="F1627" t="s">
        <v>19</v>
      </c>
      <c r="G1627" t="s">
        <v>20</v>
      </c>
      <c r="H1627">
        <v>3</v>
      </c>
      <c r="I1627">
        <v>2</v>
      </c>
      <c r="J1627">
        <v>955</v>
      </c>
      <c r="K1627" s="5">
        <v>1.3882830000000001E-2</v>
      </c>
      <c r="L1627" t="s">
        <v>21</v>
      </c>
      <c r="M1627" s="4">
        <v>-88110</v>
      </c>
      <c r="N1627" s="3">
        <v>59.685899999999997</v>
      </c>
      <c r="O1627" t="s">
        <v>33</v>
      </c>
      <c r="P1627" t="s">
        <v>23</v>
      </c>
      <c r="Q1627" t="s">
        <v>24</v>
      </c>
      <c r="R1627" t="s">
        <v>55</v>
      </c>
      <c r="S1627">
        <v>12</v>
      </c>
    </row>
    <row r="1628" spans="1:19" x14ac:dyDescent="0.3">
      <c r="A1628" s="1">
        <v>43105</v>
      </c>
      <c r="B1628">
        <v>2018</v>
      </c>
      <c r="C1628" t="s">
        <v>18</v>
      </c>
      <c r="D1628" s="4">
        <v>68210</v>
      </c>
      <c r="E1628" s="2">
        <v>49000</v>
      </c>
      <c r="F1628" t="s">
        <v>30</v>
      </c>
      <c r="G1628" t="s">
        <v>31</v>
      </c>
      <c r="H1628">
        <v>4</v>
      </c>
      <c r="I1628">
        <v>2</v>
      </c>
      <c r="J1628">
        <v>1267</v>
      </c>
      <c r="K1628" s="5">
        <v>1.4223080000000001E-2</v>
      </c>
      <c r="L1628" t="s">
        <v>21</v>
      </c>
      <c r="M1628" s="4">
        <v>-19210</v>
      </c>
      <c r="N1628" s="3">
        <v>38.673999999999999</v>
      </c>
      <c r="O1628" t="s">
        <v>33</v>
      </c>
      <c r="P1628" t="s">
        <v>23</v>
      </c>
      <c r="Q1628" t="s">
        <v>24</v>
      </c>
      <c r="R1628" t="s">
        <v>25</v>
      </c>
      <c r="S1628">
        <v>1</v>
      </c>
    </row>
    <row r="1629" spans="1:19" x14ac:dyDescent="0.3">
      <c r="A1629" s="1">
        <v>43107</v>
      </c>
      <c r="B1629">
        <v>2018</v>
      </c>
      <c r="C1629" t="s">
        <v>52</v>
      </c>
      <c r="D1629" s="4">
        <v>215740</v>
      </c>
      <c r="E1629" s="2">
        <v>415000</v>
      </c>
      <c r="F1629" t="s">
        <v>19</v>
      </c>
      <c r="G1629" t="s">
        <v>20</v>
      </c>
      <c r="H1629">
        <v>3</v>
      </c>
      <c r="I1629">
        <v>3</v>
      </c>
      <c r="J1629">
        <v>1097</v>
      </c>
      <c r="K1629" s="5">
        <v>1.4223080000000001E-2</v>
      </c>
      <c r="L1629" t="s">
        <v>32</v>
      </c>
      <c r="M1629" s="4">
        <v>199260</v>
      </c>
      <c r="N1629" s="3">
        <v>378.30450000000002</v>
      </c>
      <c r="O1629" t="s">
        <v>22</v>
      </c>
      <c r="P1629" t="s">
        <v>24</v>
      </c>
      <c r="Q1629" t="s">
        <v>24</v>
      </c>
      <c r="R1629" t="s">
        <v>25</v>
      </c>
      <c r="S1629">
        <v>1</v>
      </c>
    </row>
    <row r="1630" spans="1:19" x14ac:dyDescent="0.3">
      <c r="A1630" s="1">
        <v>43108</v>
      </c>
      <c r="B1630">
        <v>2018</v>
      </c>
      <c r="C1630" t="s">
        <v>40</v>
      </c>
      <c r="D1630" s="4">
        <v>63390</v>
      </c>
      <c r="E1630" s="2">
        <v>65000</v>
      </c>
      <c r="F1630" t="s">
        <v>19</v>
      </c>
      <c r="G1630" t="s">
        <v>20</v>
      </c>
      <c r="H1630">
        <v>3</v>
      </c>
      <c r="I1630">
        <v>3</v>
      </c>
      <c r="J1630">
        <v>1051</v>
      </c>
      <c r="K1630" s="5">
        <v>1.4223080000000001E-2</v>
      </c>
      <c r="L1630" t="s">
        <v>21</v>
      </c>
      <c r="M1630" s="4">
        <v>1610</v>
      </c>
      <c r="N1630" s="3">
        <v>61.8459</v>
      </c>
      <c r="O1630" t="s">
        <v>22</v>
      </c>
      <c r="P1630" t="s">
        <v>23</v>
      </c>
      <c r="Q1630" t="s">
        <v>24</v>
      </c>
      <c r="R1630" t="s">
        <v>25</v>
      </c>
      <c r="S1630">
        <v>1</v>
      </c>
    </row>
    <row r="1631" spans="1:19" x14ac:dyDescent="0.3">
      <c r="A1631" s="1">
        <v>43113</v>
      </c>
      <c r="B1631">
        <v>2018</v>
      </c>
      <c r="C1631" t="s">
        <v>56</v>
      </c>
      <c r="D1631" s="4">
        <v>515390</v>
      </c>
      <c r="E1631" s="2">
        <v>1025800</v>
      </c>
      <c r="F1631" t="s">
        <v>19</v>
      </c>
      <c r="G1631" t="s">
        <v>20</v>
      </c>
      <c r="H1631">
        <v>3</v>
      </c>
      <c r="I1631">
        <v>2</v>
      </c>
      <c r="J1631">
        <v>984</v>
      </c>
      <c r="K1631" s="5">
        <v>1.4223080000000001E-2</v>
      </c>
      <c r="L1631" t="s">
        <v>38</v>
      </c>
      <c r="M1631" s="4">
        <v>510410</v>
      </c>
      <c r="N1631" s="3">
        <v>1042.4797000000001</v>
      </c>
      <c r="O1631" t="s">
        <v>22</v>
      </c>
      <c r="P1631" t="s">
        <v>28</v>
      </c>
      <c r="Q1631" t="s">
        <v>24</v>
      </c>
      <c r="R1631" t="s">
        <v>25</v>
      </c>
      <c r="S1631">
        <v>1</v>
      </c>
    </row>
    <row r="1632" spans="1:19" x14ac:dyDescent="0.3">
      <c r="A1632" s="1">
        <v>43114</v>
      </c>
      <c r="B1632">
        <v>2018</v>
      </c>
      <c r="C1632" t="s">
        <v>18</v>
      </c>
      <c r="D1632" s="4">
        <v>76480</v>
      </c>
      <c r="E1632" s="2">
        <v>28000</v>
      </c>
      <c r="F1632" t="s">
        <v>19</v>
      </c>
      <c r="G1632" t="s">
        <v>20</v>
      </c>
      <c r="H1632">
        <v>3</v>
      </c>
      <c r="I1632">
        <v>1</v>
      </c>
      <c r="J1632">
        <v>968</v>
      </c>
      <c r="K1632" s="5">
        <v>1.4223080000000001E-2</v>
      </c>
      <c r="L1632" t="s">
        <v>38</v>
      </c>
      <c r="M1632" s="4">
        <v>-48480</v>
      </c>
      <c r="N1632" s="3">
        <v>28.925599999999999</v>
      </c>
      <c r="O1632" t="s">
        <v>33</v>
      </c>
      <c r="P1632" t="s">
        <v>23</v>
      </c>
      <c r="Q1632" t="s">
        <v>24</v>
      </c>
      <c r="R1632" t="s">
        <v>25</v>
      </c>
      <c r="S1632">
        <v>1</v>
      </c>
    </row>
    <row r="1633" spans="1:19" x14ac:dyDescent="0.3">
      <c r="A1633" s="1">
        <v>43115</v>
      </c>
      <c r="B1633">
        <v>2018</v>
      </c>
      <c r="C1633" t="s">
        <v>56</v>
      </c>
      <c r="D1633" s="4">
        <v>151680</v>
      </c>
      <c r="E1633" s="2">
        <v>269000</v>
      </c>
      <c r="F1633" t="s">
        <v>19</v>
      </c>
      <c r="G1633" t="s">
        <v>20</v>
      </c>
      <c r="H1633">
        <v>3</v>
      </c>
      <c r="I1633">
        <v>1</v>
      </c>
      <c r="J1633">
        <v>1111.6589814177564</v>
      </c>
      <c r="K1633" s="5">
        <v>1.4223080000000001E-2</v>
      </c>
      <c r="L1633" t="s">
        <v>27</v>
      </c>
      <c r="M1633" s="4">
        <v>117320</v>
      </c>
      <c r="N1633" s="3">
        <v>241.98070000000001</v>
      </c>
      <c r="O1633" t="s">
        <v>22</v>
      </c>
      <c r="P1633" t="s">
        <v>24</v>
      </c>
      <c r="Q1633" t="s">
        <v>24</v>
      </c>
      <c r="R1633" t="s">
        <v>25</v>
      </c>
      <c r="S1633">
        <v>1</v>
      </c>
    </row>
    <row r="1634" spans="1:19" x14ac:dyDescent="0.3">
      <c r="A1634" s="1">
        <v>43119</v>
      </c>
      <c r="B1634">
        <v>2018</v>
      </c>
      <c r="C1634" t="s">
        <v>18</v>
      </c>
      <c r="D1634" s="4">
        <v>123940</v>
      </c>
      <c r="E1634" s="2">
        <v>160000</v>
      </c>
      <c r="F1634" t="s">
        <v>19</v>
      </c>
      <c r="G1634" t="s">
        <v>20</v>
      </c>
      <c r="H1634">
        <v>3</v>
      </c>
      <c r="I1634">
        <v>3</v>
      </c>
      <c r="J1634">
        <v>939</v>
      </c>
      <c r="K1634" s="5">
        <v>1.4223080000000001E-2</v>
      </c>
      <c r="L1634" t="s">
        <v>21</v>
      </c>
      <c r="M1634" s="4">
        <v>36060</v>
      </c>
      <c r="N1634" s="3">
        <v>170.39400000000001</v>
      </c>
      <c r="O1634" t="s">
        <v>22</v>
      </c>
      <c r="P1634" t="s">
        <v>23</v>
      </c>
      <c r="Q1634" t="s">
        <v>24</v>
      </c>
      <c r="R1634" t="s">
        <v>25</v>
      </c>
      <c r="S1634">
        <v>1</v>
      </c>
    </row>
    <row r="1635" spans="1:19" x14ac:dyDescent="0.3">
      <c r="A1635" s="1">
        <v>43120</v>
      </c>
      <c r="B1635">
        <v>2018</v>
      </c>
      <c r="C1635" t="s">
        <v>26</v>
      </c>
      <c r="D1635" s="4">
        <v>524342</v>
      </c>
      <c r="E1635" s="2">
        <v>725000</v>
      </c>
      <c r="F1635" t="s">
        <v>19</v>
      </c>
      <c r="G1635" t="s">
        <v>20</v>
      </c>
      <c r="H1635">
        <v>3</v>
      </c>
      <c r="I1635">
        <v>1</v>
      </c>
      <c r="J1635">
        <v>933</v>
      </c>
      <c r="K1635" s="5">
        <v>1.4223080000000001E-2</v>
      </c>
      <c r="L1635" t="s">
        <v>21</v>
      </c>
      <c r="M1635" s="4">
        <v>200658</v>
      </c>
      <c r="N1635" s="3">
        <v>777.06320000000005</v>
      </c>
      <c r="O1635" t="s">
        <v>22</v>
      </c>
      <c r="P1635" t="s">
        <v>28</v>
      </c>
      <c r="Q1635" t="s">
        <v>24</v>
      </c>
      <c r="R1635" t="s">
        <v>25</v>
      </c>
      <c r="S1635">
        <v>1</v>
      </c>
    </row>
    <row r="1636" spans="1:19" x14ac:dyDescent="0.3">
      <c r="A1636" s="1">
        <v>43122</v>
      </c>
      <c r="B1636">
        <v>2018</v>
      </c>
      <c r="C1636" t="s">
        <v>56</v>
      </c>
      <c r="D1636" s="4">
        <v>500420</v>
      </c>
      <c r="E1636" s="2">
        <v>650000</v>
      </c>
      <c r="F1636" t="s">
        <v>19</v>
      </c>
      <c r="G1636" t="s">
        <v>20</v>
      </c>
      <c r="H1636">
        <v>3</v>
      </c>
      <c r="I1636">
        <v>3</v>
      </c>
      <c r="J1636">
        <v>1037</v>
      </c>
      <c r="K1636" s="5">
        <v>1.4223080000000001E-2</v>
      </c>
      <c r="L1636" t="s">
        <v>27</v>
      </c>
      <c r="M1636" s="4">
        <v>149580</v>
      </c>
      <c r="N1636" s="3">
        <v>626.80809999999997</v>
      </c>
      <c r="O1636" t="s">
        <v>22</v>
      </c>
      <c r="P1636" t="s">
        <v>28</v>
      </c>
      <c r="Q1636" t="s">
        <v>24</v>
      </c>
      <c r="R1636" t="s">
        <v>25</v>
      </c>
      <c r="S1636">
        <v>1</v>
      </c>
    </row>
    <row r="1637" spans="1:19" x14ac:dyDescent="0.3">
      <c r="A1637" s="1">
        <v>43125</v>
      </c>
      <c r="B1637">
        <v>2018</v>
      </c>
      <c r="C1637" t="s">
        <v>56</v>
      </c>
      <c r="D1637" s="4">
        <v>554910</v>
      </c>
      <c r="E1637" s="2">
        <v>960000</v>
      </c>
      <c r="F1637" t="s">
        <v>19</v>
      </c>
      <c r="G1637" t="s">
        <v>20</v>
      </c>
      <c r="H1637">
        <v>3</v>
      </c>
      <c r="I1637">
        <v>3</v>
      </c>
      <c r="J1637">
        <v>1035</v>
      </c>
      <c r="K1637" s="5">
        <v>1.4223080000000001E-2</v>
      </c>
      <c r="L1637" t="s">
        <v>21</v>
      </c>
      <c r="M1637" s="4">
        <v>405090</v>
      </c>
      <c r="N1637" s="3">
        <v>927.53620000000001</v>
      </c>
      <c r="O1637" t="s">
        <v>22</v>
      </c>
      <c r="P1637" t="s">
        <v>28</v>
      </c>
      <c r="Q1637" t="s">
        <v>24</v>
      </c>
      <c r="R1637" t="s">
        <v>25</v>
      </c>
      <c r="S1637">
        <v>1</v>
      </c>
    </row>
    <row r="1638" spans="1:19" x14ac:dyDescent="0.3">
      <c r="A1638" s="1">
        <v>43129</v>
      </c>
      <c r="B1638">
        <v>2018</v>
      </c>
      <c r="C1638" t="s">
        <v>18</v>
      </c>
      <c r="D1638" s="4">
        <v>84160</v>
      </c>
      <c r="E1638" s="2">
        <v>104000</v>
      </c>
      <c r="F1638" t="s">
        <v>19</v>
      </c>
      <c r="G1638" t="s">
        <v>20</v>
      </c>
      <c r="H1638">
        <v>3</v>
      </c>
      <c r="I1638">
        <v>1</v>
      </c>
      <c r="J1638">
        <v>1064</v>
      </c>
      <c r="K1638" s="5">
        <v>1.4223080000000001E-2</v>
      </c>
      <c r="L1638" t="s">
        <v>27</v>
      </c>
      <c r="M1638" s="4">
        <v>19840</v>
      </c>
      <c r="N1638" s="3">
        <v>97.744399999999999</v>
      </c>
      <c r="O1638" t="s">
        <v>22</v>
      </c>
      <c r="P1638" t="s">
        <v>23</v>
      </c>
      <c r="Q1638" t="s">
        <v>24</v>
      </c>
      <c r="R1638" t="s">
        <v>25</v>
      </c>
      <c r="S1638">
        <v>1</v>
      </c>
    </row>
    <row r="1639" spans="1:19" x14ac:dyDescent="0.3">
      <c r="A1639" s="1">
        <v>43132</v>
      </c>
      <c r="B1639">
        <v>2018</v>
      </c>
      <c r="C1639" t="s">
        <v>52</v>
      </c>
      <c r="D1639" s="4">
        <v>240940</v>
      </c>
      <c r="E1639" s="2">
        <v>403000</v>
      </c>
      <c r="F1639" t="s">
        <v>19</v>
      </c>
      <c r="G1639" t="s">
        <v>20</v>
      </c>
      <c r="H1639">
        <v>3</v>
      </c>
      <c r="I1639">
        <v>1</v>
      </c>
      <c r="J1639">
        <v>901</v>
      </c>
      <c r="K1639" s="5">
        <v>1.4223080000000001E-2</v>
      </c>
      <c r="L1639" t="s">
        <v>27</v>
      </c>
      <c r="M1639" s="4">
        <v>162060</v>
      </c>
      <c r="N1639" s="3">
        <v>447.2808</v>
      </c>
      <c r="O1639" t="s">
        <v>22</v>
      </c>
      <c r="P1639" t="s">
        <v>24</v>
      </c>
      <c r="Q1639" t="s">
        <v>24</v>
      </c>
      <c r="R1639" t="s">
        <v>41</v>
      </c>
      <c r="S1639">
        <v>2</v>
      </c>
    </row>
    <row r="1640" spans="1:19" x14ac:dyDescent="0.3">
      <c r="A1640" s="1">
        <v>43133</v>
      </c>
      <c r="B1640">
        <v>2018</v>
      </c>
      <c r="C1640" t="s">
        <v>18</v>
      </c>
      <c r="D1640" s="4">
        <v>40280</v>
      </c>
      <c r="E1640" s="2">
        <v>25500</v>
      </c>
      <c r="F1640" t="s">
        <v>36</v>
      </c>
      <c r="G1640" t="s">
        <v>37</v>
      </c>
      <c r="H1640">
        <v>6</v>
      </c>
      <c r="I1640">
        <v>4</v>
      </c>
      <c r="J1640">
        <v>1939</v>
      </c>
      <c r="K1640" s="5">
        <v>1.4223080000000001E-2</v>
      </c>
      <c r="L1640" t="s">
        <v>27</v>
      </c>
      <c r="M1640" s="4">
        <v>-14780</v>
      </c>
      <c r="N1640" s="3">
        <v>13.1511</v>
      </c>
      <c r="O1640" t="s">
        <v>33</v>
      </c>
      <c r="P1640" t="s">
        <v>23</v>
      </c>
      <c r="Q1640" t="s">
        <v>34</v>
      </c>
      <c r="R1640" t="s">
        <v>41</v>
      </c>
      <c r="S1640">
        <v>2</v>
      </c>
    </row>
    <row r="1641" spans="1:19" x14ac:dyDescent="0.3">
      <c r="A1641" s="1">
        <v>43134</v>
      </c>
      <c r="B1641">
        <v>2018</v>
      </c>
      <c r="C1641" t="s">
        <v>52</v>
      </c>
      <c r="D1641" s="4">
        <v>223720</v>
      </c>
      <c r="E1641" s="2">
        <v>371500</v>
      </c>
      <c r="F1641" t="s">
        <v>19</v>
      </c>
      <c r="G1641" t="s">
        <v>20</v>
      </c>
      <c r="H1641">
        <v>3</v>
      </c>
      <c r="I1641">
        <v>1</v>
      </c>
      <c r="J1641">
        <v>1111.6589814177564</v>
      </c>
      <c r="K1641" s="5">
        <v>1.4223080000000001E-2</v>
      </c>
      <c r="L1641" t="s">
        <v>21</v>
      </c>
      <c r="M1641" s="4">
        <v>147780</v>
      </c>
      <c r="N1641" s="3">
        <v>334.18520000000001</v>
      </c>
      <c r="O1641" t="s">
        <v>22</v>
      </c>
      <c r="P1641" t="s">
        <v>24</v>
      </c>
      <c r="Q1641" t="s">
        <v>24</v>
      </c>
      <c r="R1641" t="s">
        <v>41</v>
      </c>
      <c r="S1641">
        <v>2</v>
      </c>
    </row>
    <row r="1642" spans="1:19" x14ac:dyDescent="0.3">
      <c r="A1642" s="1">
        <v>43136</v>
      </c>
      <c r="B1642">
        <v>2018</v>
      </c>
      <c r="C1642" t="s">
        <v>18</v>
      </c>
      <c r="D1642" s="4">
        <v>444584.20699999999</v>
      </c>
      <c r="E1642" s="2">
        <v>153000</v>
      </c>
      <c r="F1642" t="s">
        <v>42</v>
      </c>
      <c r="G1642" t="s">
        <v>43</v>
      </c>
      <c r="H1642">
        <v>8</v>
      </c>
      <c r="I1642">
        <v>7</v>
      </c>
      <c r="J1642">
        <v>2987</v>
      </c>
      <c r="K1642" s="5">
        <v>1.4223080000000001E-2</v>
      </c>
      <c r="L1642" t="s">
        <v>21</v>
      </c>
      <c r="M1642" s="4">
        <v>-291584.20699999999</v>
      </c>
      <c r="N1642" s="3">
        <v>51.222000000000001</v>
      </c>
      <c r="O1642" t="s">
        <v>33</v>
      </c>
      <c r="P1642" t="s">
        <v>23</v>
      </c>
      <c r="Q1642" t="s">
        <v>34</v>
      </c>
      <c r="R1642" t="s">
        <v>41</v>
      </c>
      <c r="S1642">
        <v>2</v>
      </c>
    </row>
    <row r="1643" spans="1:19" x14ac:dyDescent="0.3">
      <c r="A1643" s="1">
        <v>43139</v>
      </c>
      <c r="B1643">
        <v>2018</v>
      </c>
      <c r="C1643" t="s">
        <v>52</v>
      </c>
      <c r="D1643" s="4">
        <v>212800</v>
      </c>
      <c r="E1643" s="2">
        <v>303000</v>
      </c>
      <c r="F1643" t="s">
        <v>19</v>
      </c>
      <c r="G1643" t="s">
        <v>20</v>
      </c>
      <c r="H1643">
        <v>3</v>
      </c>
      <c r="I1643">
        <v>1</v>
      </c>
      <c r="J1643">
        <v>1092</v>
      </c>
      <c r="K1643" s="5">
        <v>1.4223080000000001E-2</v>
      </c>
      <c r="L1643" t="s">
        <v>38</v>
      </c>
      <c r="M1643" s="4">
        <v>90200</v>
      </c>
      <c r="N1643" s="3">
        <v>277.47250000000003</v>
      </c>
      <c r="O1643" t="s">
        <v>22</v>
      </c>
      <c r="P1643" t="s">
        <v>24</v>
      </c>
      <c r="Q1643" t="s">
        <v>24</v>
      </c>
      <c r="R1643" t="s">
        <v>41</v>
      </c>
      <c r="S1643">
        <v>2</v>
      </c>
    </row>
    <row r="1644" spans="1:19" x14ac:dyDescent="0.3">
      <c r="A1644" s="1">
        <v>43140</v>
      </c>
      <c r="B1644">
        <v>2018</v>
      </c>
      <c r="C1644" t="s">
        <v>40</v>
      </c>
      <c r="D1644" s="4">
        <v>587090</v>
      </c>
      <c r="E1644" s="2">
        <v>925000</v>
      </c>
      <c r="F1644" t="s">
        <v>19</v>
      </c>
      <c r="G1644" t="s">
        <v>20</v>
      </c>
      <c r="H1644">
        <v>3</v>
      </c>
      <c r="I1644">
        <v>3</v>
      </c>
      <c r="J1644">
        <v>1082</v>
      </c>
      <c r="K1644" s="5">
        <v>1.4223080000000001E-2</v>
      </c>
      <c r="L1644" t="s">
        <v>32</v>
      </c>
      <c r="M1644" s="4">
        <v>337910</v>
      </c>
      <c r="N1644" s="3">
        <v>854.89829999999995</v>
      </c>
      <c r="O1644" t="s">
        <v>22</v>
      </c>
      <c r="P1644" t="s">
        <v>28</v>
      </c>
      <c r="Q1644" t="s">
        <v>24</v>
      </c>
      <c r="R1644" t="s">
        <v>41</v>
      </c>
      <c r="S1644">
        <v>2</v>
      </c>
    </row>
    <row r="1645" spans="1:19" x14ac:dyDescent="0.3">
      <c r="A1645" s="1">
        <v>43141</v>
      </c>
      <c r="B1645">
        <v>2018</v>
      </c>
      <c r="C1645" t="s">
        <v>52</v>
      </c>
      <c r="D1645" s="4">
        <v>185640</v>
      </c>
      <c r="E1645" s="2">
        <v>212500</v>
      </c>
      <c r="F1645" t="s">
        <v>19</v>
      </c>
      <c r="G1645" t="s">
        <v>20</v>
      </c>
      <c r="H1645">
        <v>3</v>
      </c>
      <c r="I1645">
        <v>3</v>
      </c>
      <c r="J1645">
        <v>1033</v>
      </c>
      <c r="K1645" s="5">
        <v>1.4223080000000001E-2</v>
      </c>
      <c r="L1645" t="s">
        <v>32</v>
      </c>
      <c r="M1645" s="4">
        <v>26860</v>
      </c>
      <c r="N1645" s="3">
        <v>205.7115</v>
      </c>
      <c r="O1645" t="s">
        <v>22</v>
      </c>
      <c r="P1645" t="s">
        <v>24</v>
      </c>
      <c r="Q1645" t="s">
        <v>24</v>
      </c>
      <c r="R1645" t="s">
        <v>41</v>
      </c>
      <c r="S1645">
        <v>2</v>
      </c>
    </row>
    <row r="1646" spans="1:19" x14ac:dyDescent="0.3">
      <c r="A1646" s="1">
        <v>43142</v>
      </c>
      <c r="B1646">
        <v>2018</v>
      </c>
      <c r="C1646" t="s">
        <v>18</v>
      </c>
      <c r="D1646" s="4">
        <v>444584.20699999999</v>
      </c>
      <c r="E1646" s="2">
        <v>150000</v>
      </c>
      <c r="F1646" t="s">
        <v>42</v>
      </c>
      <c r="G1646" t="s">
        <v>43</v>
      </c>
      <c r="H1646">
        <v>8</v>
      </c>
      <c r="I1646">
        <v>8</v>
      </c>
      <c r="J1646">
        <v>2883</v>
      </c>
      <c r="K1646" s="5">
        <v>1.4223080000000001E-2</v>
      </c>
      <c r="L1646" t="s">
        <v>21</v>
      </c>
      <c r="M1646" s="4">
        <v>-294584.20699999999</v>
      </c>
      <c r="N1646" s="3">
        <v>52.0291</v>
      </c>
      <c r="O1646" t="s">
        <v>33</v>
      </c>
      <c r="P1646" t="s">
        <v>23</v>
      </c>
      <c r="Q1646" t="s">
        <v>34</v>
      </c>
      <c r="R1646" t="s">
        <v>41</v>
      </c>
      <c r="S1646">
        <v>2</v>
      </c>
    </row>
    <row r="1647" spans="1:19" x14ac:dyDescent="0.3">
      <c r="A1647" s="1">
        <v>43148</v>
      </c>
      <c r="B1647">
        <v>2018</v>
      </c>
      <c r="C1647" t="s">
        <v>56</v>
      </c>
      <c r="D1647" s="4">
        <v>358710</v>
      </c>
      <c r="E1647" s="2">
        <v>605000</v>
      </c>
      <c r="F1647" t="s">
        <v>19</v>
      </c>
      <c r="G1647" t="s">
        <v>20</v>
      </c>
      <c r="H1647">
        <v>3</v>
      </c>
      <c r="I1647">
        <v>2</v>
      </c>
      <c r="J1647">
        <v>1034</v>
      </c>
      <c r="K1647" s="5">
        <v>1.4223080000000001E-2</v>
      </c>
      <c r="L1647" t="s">
        <v>21</v>
      </c>
      <c r="M1647" s="4">
        <v>246290</v>
      </c>
      <c r="N1647" s="3">
        <v>585.10640000000001</v>
      </c>
      <c r="O1647" t="s">
        <v>22</v>
      </c>
      <c r="P1647" t="s">
        <v>28</v>
      </c>
      <c r="Q1647" t="s">
        <v>24</v>
      </c>
      <c r="R1647" t="s">
        <v>41</v>
      </c>
      <c r="S1647">
        <v>2</v>
      </c>
    </row>
    <row r="1648" spans="1:19" x14ac:dyDescent="0.3">
      <c r="A1648" s="1">
        <v>43150</v>
      </c>
      <c r="B1648">
        <v>2018</v>
      </c>
      <c r="C1648" t="s">
        <v>18</v>
      </c>
      <c r="D1648" s="4">
        <v>105360</v>
      </c>
      <c r="E1648" s="2">
        <v>159900</v>
      </c>
      <c r="F1648" t="s">
        <v>19</v>
      </c>
      <c r="G1648" t="s">
        <v>20</v>
      </c>
      <c r="H1648">
        <v>3</v>
      </c>
      <c r="I1648">
        <v>3</v>
      </c>
      <c r="J1648">
        <v>1044</v>
      </c>
      <c r="K1648" s="5">
        <v>1.4223080000000001E-2</v>
      </c>
      <c r="L1648" t="s">
        <v>27</v>
      </c>
      <c r="M1648" s="4">
        <v>54540</v>
      </c>
      <c r="N1648" s="3">
        <v>153.1609</v>
      </c>
      <c r="O1648" t="s">
        <v>22</v>
      </c>
      <c r="P1648" t="s">
        <v>23</v>
      </c>
      <c r="Q1648" t="s">
        <v>24</v>
      </c>
      <c r="R1648" t="s">
        <v>41</v>
      </c>
      <c r="S1648">
        <v>2</v>
      </c>
    </row>
    <row r="1649" spans="1:19" x14ac:dyDescent="0.3">
      <c r="A1649" s="1">
        <v>43153</v>
      </c>
      <c r="B1649">
        <v>2018</v>
      </c>
      <c r="C1649" t="s">
        <v>26</v>
      </c>
      <c r="D1649" s="4">
        <v>174080</v>
      </c>
      <c r="E1649" s="2">
        <v>300000</v>
      </c>
      <c r="F1649" t="s">
        <v>19</v>
      </c>
      <c r="G1649" t="s">
        <v>20</v>
      </c>
      <c r="H1649">
        <v>3</v>
      </c>
      <c r="I1649">
        <v>3</v>
      </c>
      <c r="J1649">
        <v>1111.6589814177564</v>
      </c>
      <c r="K1649" s="5">
        <v>1.4223080000000001E-2</v>
      </c>
      <c r="L1649" t="s">
        <v>27</v>
      </c>
      <c r="M1649" s="4">
        <v>125920</v>
      </c>
      <c r="N1649" s="3">
        <v>269.86689999999999</v>
      </c>
      <c r="O1649" t="s">
        <v>22</v>
      </c>
      <c r="P1649" t="s">
        <v>24</v>
      </c>
      <c r="Q1649" t="s">
        <v>24</v>
      </c>
      <c r="R1649" t="s">
        <v>41</v>
      </c>
      <c r="S1649">
        <v>2</v>
      </c>
    </row>
    <row r="1650" spans="1:19" x14ac:dyDescent="0.3">
      <c r="A1650" s="1">
        <v>43154</v>
      </c>
      <c r="B1650">
        <v>2018</v>
      </c>
      <c r="C1650" t="s">
        <v>26</v>
      </c>
      <c r="D1650" s="4">
        <v>240060</v>
      </c>
      <c r="E1650" s="2">
        <v>430000</v>
      </c>
      <c r="F1650" t="s">
        <v>19</v>
      </c>
      <c r="G1650" t="s">
        <v>20</v>
      </c>
      <c r="H1650">
        <v>3</v>
      </c>
      <c r="I1650">
        <v>2</v>
      </c>
      <c r="J1650">
        <v>1088</v>
      </c>
      <c r="K1650" s="5">
        <v>1.4223080000000001E-2</v>
      </c>
      <c r="L1650" t="s">
        <v>27</v>
      </c>
      <c r="M1650" s="4">
        <v>189940</v>
      </c>
      <c r="N1650" s="3">
        <v>395.22059999999999</v>
      </c>
      <c r="O1650" t="s">
        <v>22</v>
      </c>
      <c r="P1650" t="s">
        <v>24</v>
      </c>
      <c r="Q1650" t="s">
        <v>24</v>
      </c>
      <c r="R1650" t="s">
        <v>41</v>
      </c>
      <c r="S1650">
        <v>2</v>
      </c>
    </row>
    <row r="1651" spans="1:19" x14ac:dyDescent="0.3">
      <c r="A1651" s="1">
        <v>43155</v>
      </c>
      <c r="B1651">
        <v>2018</v>
      </c>
      <c r="C1651" t="s">
        <v>26</v>
      </c>
      <c r="D1651" s="4">
        <v>170970</v>
      </c>
      <c r="E1651" s="2">
        <v>305000</v>
      </c>
      <c r="F1651" t="s">
        <v>30</v>
      </c>
      <c r="G1651" t="s">
        <v>31</v>
      </c>
      <c r="H1651">
        <v>4</v>
      </c>
      <c r="I1651">
        <v>4</v>
      </c>
      <c r="J1651">
        <v>1431</v>
      </c>
      <c r="K1651" s="5">
        <v>1.4223080000000001E-2</v>
      </c>
      <c r="L1651" t="s">
        <v>38</v>
      </c>
      <c r="M1651" s="4">
        <v>134030</v>
      </c>
      <c r="N1651" s="3">
        <v>213.1377</v>
      </c>
      <c r="O1651" t="s">
        <v>22</v>
      </c>
      <c r="P1651" t="s">
        <v>24</v>
      </c>
      <c r="Q1651" t="s">
        <v>34</v>
      </c>
      <c r="R1651" t="s">
        <v>41</v>
      </c>
      <c r="S1651">
        <v>2</v>
      </c>
    </row>
    <row r="1652" spans="1:19" x14ac:dyDescent="0.3">
      <c r="A1652" s="1">
        <v>43160</v>
      </c>
      <c r="B1652">
        <v>2018</v>
      </c>
      <c r="C1652" t="s">
        <v>18</v>
      </c>
      <c r="D1652" s="4">
        <v>60750</v>
      </c>
      <c r="E1652" s="2">
        <v>43500</v>
      </c>
      <c r="F1652" t="s">
        <v>19</v>
      </c>
      <c r="G1652" t="s">
        <v>20</v>
      </c>
      <c r="H1652">
        <v>3</v>
      </c>
      <c r="I1652">
        <v>3</v>
      </c>
      <c r="J1652">
        <v>1002</v>
      </c>
      <c r="K1652" s="5">
        <v>1.4223080000000001E-2</v>
      </c>
      <c r="L1652" t="s">
        <v>38</v>
      </c>
      <c r="M1652" s="4">
        <v>-17250</v>
      </c>
      <c r="N1652" s="3">
        <v>43.413200000000003</v>
      </c>
      <c r="O1652" t="s">
        <v>33</v>
      </c>
      <c r="P1652" t="s">
        <v>23</v>
      </c>
      <c r="Q1652" t="s">
        <v>24</v>
      </c>
      <c r="R1652" t="s">
        <v>44</v>
      </c>
      <c r="S1652">
        <v>3</v>
      </c>
    </row>
    <row r="1653" spans="1:19" x14ac:dyDescent="0.3">
      <c r="A1653" s="1">
        <v>43163</v>
      </c>
      <c r="B1653">
        <v>2018</v>
      </c>
      <c r="C1653" t="s">
        <v>56</v>
      </c>
      <c r="D1653" s="4">
        <v>214030</v>
      </c>
      <c r="E1653" s="2">
        <v>352500</v>
      </c>
      <c r="F1653" t="s">
        <v>19</v>
      </c>
      <c r="G1653" t="s">
        <v>20</v>
      </c>
      <c r="H1653">
        <v>3</v>
      </c>
      <c r="I1653">
        <v>1</v>
      </c>
      <c r="J1653">
        <v>986</v>
      </c>
      <c r="K1653" s="5">
        <v>1.4223080000000001E-2</v>
      </c>
      <c r="L1653" t="s">
        <v>38</v>
      </c>
      <c r="M1653" s="4">
        <v>138470</v>
      </c>
      <c r="N1653" s="3">
        <v>357.50510000000003</v>
      </c>
      <c r="O1653" t="s">
        <v>22</v>
      </c>
      <c r="P1653" t="s">
        <v>24</v>
      </c>
      <c r="Q1653" t="s">
        <v>24</v>
      </c>
      <c r="R1653" t="s">
        <v>44</v>
      </c>
      <c r="S1653">
        <v>3</v>
      </c>
    </row>
    <row r="1654" spans="1:19" x14ac:dyDescent="0.3">
      <c r="A1654" s="1">
        <v>43167</v>
      </c>
      <c r="B1654">
        <v>2018</v>
      </c>
      <c r="C1654" t="s">
        <v>56</v>
      </c>
      <c r="D1654" s="4">
        <v>309510</v>
      </c>
      <c r="E1654" s="2">
        <v>545000</v>
      </c>
      <c r="F1654" t="s">
        <v>19</v>
      </c>
      <c r="G1654" t="s">
        <v>20</v>
      </c>
      <c r="H1654">
        <v>3</v>
      </c>
      <c r="I1654">
        <v>1</v>
      </c>
      <c r="J1654">
        <v>1065</v>
      </c>
      <c r="K1654" s="5">
        <v>1.4223080000000001E-2</v>
      </c>
      <c r="L1654" t="s">
        <v>27</v>
      </c>
      <c r="M1654" s="4">
        <v>235490</v>
      </c>
      <c r="N1654" s="3">
        <v>511.7371</v>
      </c>
      <c r="O1654" t="s">
        <v>22</v>
      </c>
      <c r="P1654" t="s">
        <v>24</v>
      </c>
      <c r="Q1654" t="s">
        <v>24</v>
      </c>
      <c r="R1654" t="s">
        <v>44</v>
      </c>
      <c r="S1654">
        <v>3</v>
      </c>
    </row>
    <row r="1655" spans="1:19" x14ac:dyDescent="0.3">
      <c r="A1655" s="1">
        <v>43168</v>
      </c>
      <c r="B1655">
        <v>2018</v>
      </c>
      <c r="C1655" t="s">
        <v>56</v>
      </c>
      <c r="D1655" s="4">
        <v>348180</v>
      </c>
      <c r="E1655" s="2">
        <v>545000</v>
      </c>
      <c r="F1655" t="s">
        <v>19</v>
      </c>
      <c r="G1655" t="s">
        <v>20</v>
      </c>
      <c r="H1655">
        <v>3</v>
      </c>
      <c r="I1655">
        <v>1</v>
      </c>
      <c r="J1655">
        <v>1111.6589814177564</v>
      </c>
      <c r="K1655" s="5">
        <v>1.4223080000000001E-2</v>
      </c>
      <c r="L1655" t="s">
        <v>27</v>
      </c>
      <c r="M1655" s="4">
        <v>196820</v>
      </c>
      <c r="N1655" s="3">
        <v>490.25830000000002</v>
      </c>
      <c r="O1655" t="s">
        <v>22</v>
      </c>
      <c r="P1655" t="s">
        <v>24</v>
      </c>
      <c r="Q1655" t="s">
        <v>24</v>
      </c>
      <c r="R1655" t="s">
        <v>44</v>
      </c>
      <c r="S1655">
        <v>3</v>
      </c>
    </row>
    <row r="1656" spans="1:19" x14ac:dyDescent="0.3">
      <c r="A1656" s="1">
        <v>43170</v>
      </c>
      <c r="B1656">
        <v>2018</v>
      </c>
      <c r="C1656" t="s">
        <v>18</v>
      </c>
      <c r="D1656" s="4">
        <v>444584.20699999999</v>
      </c>
      <c r="E1656" s="2">
        <v>25000</v>
      </c>
      <c r="F1656" t="s">
        <v>30</v>
      </c>
      <c r="G1656" t="s">
        <v>31</v>
      </c>
      <c r="H1656">
        <v>4</v>
      </c>
      <c r="I1656">
        <v>2</v>
      </c>
      <c r="J1656">
        <v>1289</v>
      </c>
      <c r="K1656" s="5">
        <v>1.4223080000000001E-2</v>
      </c>
      <c r="L1656" t="s">
        <v>21</v>
      </c>
      <c r="M1656" s="4">
        <v>-419584.20699999999</v>
      </c>
      <c r="N1656" s="3">
        <v>19.3949</v>
      </c>
      <c r="O1656" t="s">
        <v>33</v>
      </c>
      <c r="P1656" t="s">
        <v>23</v>
      </c>
      <c r="Q1656" t="s">
        <v>24</v>
      </c>
      <c r="R1656" t="s">
        <v>44</v>
      </c>
      <c r="S1656">
        <v>3</v>
      </c>
    </row>
    <row r="1657" spans="1:19" x14ac:dyDescent="0.3">
      <c r="A1657" s="1">
        <v>43173</v>
      </c>
      <c r="B1657">
        <v>2018</v>
      </c>
      <c r="C1657" t="s">
        <v>26</v>
      </c>
      <c r="D1657" s="4">
        <v>411610</v>
      </c>
      <c r="E1657" s="2">
        <v>458792</v>
      </c>
      <c r="F1657" t="s">
        <v>19</v>
      </c>
      <c r="G1657" t="s">
        <v>20</v>
      </c>
      <c r="H1657">
        <v>3</v>
      </c>
      <c r="I1657">
        <v>2</v>
      </c>
      <c r="J1657">
        <v>1014</v>
      </c>
      <c r="K1657" s="5">
        <v>1.4223080000000001E-2</v>
      </c>
      <c r="L1657" t="s">
        <v>27</v>
      </c>
      <c r="M1657" s="4">
        <v>47182</v>
      </c>
      <c r="N1657" s="3">
        <v>452.45760000000001</v>
      </c>
      <c r="O1657" t="s">
        <v>22</v>
      </c>
      <c r="P1657" t="s">
        <v>24</v>
      </c>
      <c r="Q1657" t="s">
        <v>24</v>
      </c>
      <c r="R1657" t="s">
        <v>44</v>
      </c>
      <c r="S1657">
        <v>3</v>
      </c>
    </row>
    <row r="1658" spans="1:19" x14ac:dyDescent="0.3">
      <c r="A1658" s="1">
        <v>43175</v>
      </c>
      <c r="B1658">
        <v>2018</v>
      </c>
      <c r="C1658" t="s">
        <v>52</v>
      </c>
      <c r="D1658" s="4">
        <v>117250</v>
      </c>
      <c r="E1658" s="2">
        <v>160000</v>
      </c>
      <c r="F1658" t="s">
        <v>19</v>
      </c>
      <c r="G1658" t="s">
        <v>20</v>
      </c>
      <c r="H1658">
        <v>3</v>
      </c>
      <c r="I1658">
        <v>3</v>
      </c>
      <c r="J1658">
        <v>1068</v>
      </c>
      <c r="K1658" s="5">
        <v>1.4223080000000001E-2</v>
      </c>
      <c r="L1658" t="s">
        <v>27</v>
      </c>
      <c r="M1658" s="4">
        <v>42750</v>
      </c>
      <c r="N1658" s="3">
        <v>149.81270000000001</v>
      </c>
      <c r="O1658" t="s">
        <v>22</v>
      </c>
      <c r="P1658" t="s">
        <v>23</v>
      </c>
      <c r="Q1658" t="s">
        <v>24</v>
      </c>
      <c r="R1658" t="s">
        <v>44</v>
      </c>
      <c r="S1658">
        <v>3</v>
      </c>
    </row>
    <row r="1659" spans="1:19" x14ac:dyDescent="0.3">
      <c r="A1659" s="1">
        <v>43176</v>
      </c>
      <c r="B1659">
        <v>2018</v>
      </c>
      <c r="C1659" t="s">
        <v>26</v>
      </c>
      <c r="D1659" s="4">
        <v>249890</v>
      </c>
      <c r="E1659" s="2">
        <v>200000</v>
      </c>
      <c r="F1659" t="s">
        <v>19</v>
      </c>
      <c r="G1659" t="s">
        <v>20</v>
      </c>
      <c r="H1659">
        <v>3</v>
      </c>
      <c r="I1659">
        <v>2</v>
      </c>
      <c r="J1659">
        <v>1111.6589814177564</v>
      </c>
      <c r="K1659" s="5">
        <v>1.4223080000000001E-2</v>
      </c>
      <c r="L1659" t="s">
        <v>32</v>
      </c>
      <c r="M1659" s="4">
        <v>-49890</v>
      </c>
      <c r="N1659" s="3">
        <v>179.91130000000001</v>
      </c>
      <c r="O1659" t="s">
        <v>33</v>
      </c>
      <c r="P1659" t="s">
        <v>24</v>
      </c>
      <c r="Q1659" t="s">
        <v>24</v>
      </c>
      <c r="R1659" t="s">
        <v>44</v>
      </c>
      <c r="S1659">
        <v>3</v>
      </c>
    </row>
    <row r="1660" spans="1:19" x14ac:dyDescent="0.3">
      <c r="A1660" s="1">
        <v>43177</v>
      </c>
      <c r="B1660">
        <v>2018</v>
      </c>
      <c r="C1660" t="s">
        <v>40</v>
      </c>
      <c r="D1660" s="4">
        <v>270200</v>
      </c>
      <c r="E1660" s="2">
        <v>360000</v>
      </c>
      <c r="F1660" t="s">
        <v>19</v>
      </c>
      <c r="G1660" t="s">
        <v>20</v>
      </c>
      <c r="H1660">
        <v>3</v>
      </c>
      <c r="I1660">
        <v>3</v>
      </c>
      <c r="J1660">
        <v>987</v>
      </c>
      <c r="K1660" s="5">
        <v>1.4223080000000001E-2</v>
      </c>
      <c r="L1660" t="s">
        <v>38</v>
      </c>
      <c r="M1660" s="4">
        <v>89800</v>
      </c>
      <c r="N1660" s="3">
        <v>364.74160000000001</v>
      </c>
      <c r="O1660" t="s">
        <v>22</v>
      </c>
      <c r="P1660" t="s">
        <v>24</v>
      </c>
      <c r="Q1660" t="s">
        <v>24</v>
      </c>
      <c r="R1660" t="s">
        <v>44</v>
      </c>
      <c r="S1660">
        <v>3</v>
      </c>
    </row>
    <row r="1661" spans="1:19" x14ac:dyDescent="0.3">
      <c r="A1661" s="1">
        <v>43180</v>
      </c>
      <c r="B1661">
        <v>2018</v>
      </c>
      <c r="C1661" t="s">
        <v>40</v>
      </c>
      <c r="D1661" s="4">
        <v>190890</v>
      </c>
      <c r="E1661" s="2">
        <v>290000</v>
      </c>
      <c r="F1661" t="s">
        <v>19</v>
      </c>
      <c r="G1661" t="s">
        <v>20</v>
      </c>
      <c r="H1661">
        <v>3</v>
      </c>
      <c r="I1661">
        <v>2</v>
      </c>
      <c r="J1661">
        <v>1111.6589814177564</v>
      </c>
      <c r="K1661" s="5">
        <v>1.4223080000000001E-2</v>
      </c>
      <c r="L1661" t="s">
        <v>21</v>
      </c>
      <c r="M1661" s="4">
        <v>99110</v>
      </c>
      <c r="N1661" s="3">
        <v>260.87139999999999</v>
      </c>
      <c r="O1661" t="s">
        <v>22</v>
      </c>
      <c r="P1661" t="s">
        <v>24</v>
      </c>
      <c r="Q1661" t="s">
        <v>24</v>
      </c>
      <c r="R1661" t="s">
        <v>44</v>
      </c>
      <c r="S1661">
        <v>3</v>
      </c>
    </row>
    <row r="1662" spans="1:19" x14ac:dyDescent="0.3">
      <c r="A1662" s="1">
        <v>43183</v>
      </c>
      <c r="B1662">
        <v>2018</v>
      </c>
      <c r="C1662" t="s">
        <v>18</v>
      </c>
      <c r="D1662" s="4">
        <v>82350</v>
      </c>
      <c r="E1662" s="2">
        <v>45500</v>
      </c>
      <c r="F1662" t="s">
        <v>19</v>
      </c>
      <c r="G1662" t="s">
        <v>20</v>
      </c>
      <c r="H1662">
        <v>3</v>
      </c>
      <c r="I1662">
        <v>3</v>
      </c>
      <c r="J1662">
        <v>1085</v>
      </c>
      <c r="K1662" s="5">
        <v>1.4223080000000001E-2</v>
      </c>
      <c r="L1662" t="s">
        <v>21</v>
      </c>
      <c r="M1662" s="4">
        <v>-36850</v>
      </c>
      <c r="N1662" s="3">
        <v>41.935499999999998</v>
      </c>
      <c r="O1662" t="s">
        <v>33</v>
      </c>
      <c r="P1662" t="s">
        <v>23</v>
      </c>
      <c r="Q1662" t="s">
        <v>24</v>
      </c>
      <c r="R1662" t="s">
        <v>44</v>
      </c>
      <c r="S1662">
        <v>3</v>
      </c>
    </row>
    <row r="1663" spans="1:19" x14ac:dyDescent="0.3">
      <c r="A1663" s="1">
        <v>43187</v>
      </c>
      <c r="B1663">
        <v>2018</v>
      </c>
      <c r="C1663" t="s">
        <v>18</v>
      </c>
      <c r="D1663" s="4">
        <v>77640</v>
      </c>
      <c r="E1663" s="2">
        <v>45000</v>
      </c>
      <c r="F1663" t="s">
        <v>19</v>
      </c>
      <c r="G1663" t="s">
        <v>20</v>
      </c>
      <c r="H1663">
        <v>3</v>
      </c>
      <c r="I1663">
        <v>1</v>
      </c>
      <c r="J1663">
        <v>904</v>
      </c>
      <c r="K1663" s="5">
        <v>1.4223080000000001E-2</v>
      </c>
      <c r="L1663" t="s">
        <v>32</v>
      </c>
      <c r="M1663" s="4">
        <v>-32640</v>
      </c>
      <c r="N1663" s="3">
        <v>49.778799999999997</v>
      </c>
      <c r="O1663" t="s">
        <v>33</v>
      </c>
      <c r="P1663" t="s">
        <v>23</v>
      </c>
      <c r="Q1663" t="s">
        <v>24</v>
      </c>
      <c r="R1663" t="s">
        <v>44</v>
      </c>
      <c r="S1663">
        <v>3</v>
      </c>
    </row>
    <row r="1664" spans="1:19" x14ac:dyDescent="0.3">
      <c r="A1664" s="1">
        <v>43188</v>
      </c>
      <c r="B1664">
        <v>2018</v>
      </c>
      <c r="C1664" t="s">
        <v>52</v>
      </c>
      <c r="D1664" s="4">
        <v>210420</v>
      </c>
      <c r="E1664" s="2">
        <v>275000</v>
      </c>
      <c r="F1664" t="s">
        <v>19</v>
      </c>
      <c r="G1664" t="s">
        <v>20</v>
      </c>
      <c r="H1664">
        <v>3</v>
      </c>
      <c r="I1664">
        <v>1</v>
      </c>
      <c r="J1664">
        <v>909</v>
      </c>
      <c r="K1664" s="5">
        <v>1.4223080000000001E-2</v>
      </c>
      <c r="L1664" t="s">
        <v>32</v>
      </c>
      <c r="M1664" s="4">
        <v>64580</v>
      </c>
      <c r="N1664" s="3">
        <v>302.53030000000001</v>
      </c>
      <c r="O1664" t="s">
        <v>22</v>
      </c>
      <c r="P1664" t="s">
        <v>24</v>
      </c>
      <c r="Q1664" t="s">
        <v>24</v>
      </c>
      <c r="R1664" t="s">
        <v>44</v>
      </c>
      <c r="S1664">
        <v>3</v>
      </c>
    </row>
    <row r="1665" spans="1:19" x14ac:dyDescent="0.3">
      <c r="A1665" s="1">
        <v>43189</v>
      </c>
      <c r="B1665">
        <v>2018</v>
      </c>
      <c r="C1665" t="s">
        <v>56</v>
      </c>
      <c r="D1665" s="4">
        <v>173960</v>
      </c>
      <c r="E1665" s="2">
        <v>600000</v>
      </c>
      <c r="F1665" t="s">
        <v>36</v>
      </c>
      <c r="G1665" t="s">
        <v>37</v>
      </c>
      <c r="H1665">
        <v>6</v>
      </c>
      <c r="I1665">
        <v>6</v>
      </c>
      <c r="J1665">
        <v>2124</v>
      </c>
      <c r="K1665" s="5">
        <v>1.4223080000000001E-2</v>
      </c>
      <c r="L1665" t="s">
        <v>32</v>
      </c>
      <c r="M1665" s="4">
        <v>426040</v>
      </c>
      <c r="N1665" s="3">
        <v>282.48590000000002</v>
      </c>
      <c r="O1665" t="s">
        <v>22</v>
      </c>
      <c r="P1665" t="s">
        <v>28</v>
      </c>
      <c r="Q1665" t="s">
        <v>34</v>
      </c>
      <c r="R1665" t="s">
        <v>44</v>
      </c>
      <c r="S1665">
        <v>3</v>
      </c>
    </row>
    <row r="1666" spans="1:19" x14ac:dyDescent="0.3">
      <c r="A1666" s="1">
        <v>43191</v>
      </c>
      <c r="B1666">
        <v>2018</v>
      </c>
      <c r="C1666" t="s">
        <v>56</v>
      </c>
      <c r="D1666" s="4">
        <v>225380</v>
      </c>
      <c r="E1666" s="2">
        <v>90000</v>
      </c>
      <c r="F1666" t="s">
        <v>19</v>
      </c>
      <c r="G1666" t="s">
        <v>20</v>
      </c>
      <c r="H1666">
        <v>3</v>
      </c>
      <c r="I1666">
        <v>1</v>
      </c>
      <c r="J1666">
        <v>1111.6589814177564</v>
      </c>
      <c r="K1666" s="5">
        <v>1.4223080000000001E-2</v>
      </c>
      <c r="L1666" t="s">
        <v>38</v>
      </c>
      <c r="M1666" s="4">
        <v>-135380</v>
      </c>
      <c r="N1666" s="3">
        <v>80.960099999999997</v>
      </c>
      <c r="O1666" t="s">
        <v>33</v>
      </c>
      <c r="P1666" t="s">
        <v>23</v>
      </c>
      <c r="Q1666" t="s">
        <v>24</v>
      </c>
      <c r="R1666" t="s">
        <v>45</v>
      </c>
      <c r="S1666">
        <v>4</v>
      </c>
    </row>
    <row r="1667" spans="1:19" x14ac:dyDescent="0.3">
      <c r="A1667" s="1">
        <v>43194</v>
      </c>
      <c r="B1667">
        <v>2018</v>
      </c>
      <c r="C1667" t="s">
        <v>52</v>
      </c>
      <c r="D1667" s="4">
        <v>444584.20699999999</v>
      </c>
      <c r="E1667" s="2">
        <v>410000</v>
      </c>
      <c r="F1667" t="s">
        <v>19</v>
      </c>
      <c r="G1667" t="s">
        <v>20</v>
      </c>
      <c r="H1667">
        <v>3</v>
      </c>
      <c r="I1667">
        <v>2</v>
      </c>
      <c r="J1667">
        <v>1037</v>
      </c>
      <c r="K1667" s="5">
        <v>1.4223080000000001E-2</v>
      </c>
      <c r="L1667" t="s">
        <v>21</v>
      </c>
      <c r="M1667" s="4">
        <v>-34584.207000000002</v>
      </c>
      <c r="N1667" s="3">
        <v>395.37130000000002</v>
      </c>
      <c r="O1667" t="s">
        <v>33</v>
      </c>
      <c r="P1667" t="s">
        <v>24</v>
      </c>
      <c r="Q1667" t="s">
        <v>24</v>
      </c>
      <c r="R1667" t="s">
        <v>45</v>
      </c>
      <c r="S1667">
        <v>4</v>
      </c>
    </row>
    <row r="1668" spans="1:19" x14ac:dyDescent="0.3">
      <c r="A1668" s="1">
        <v>43196</v>
      </c>
      <c r="B1668">
        <v>2018</v>
      </c>
      <c r="C1668" t="s">
        <v>40</v>
      </c>
      <c r="D1668" s="4">
        <v>57610</v>
      </c>
      <c r="E1668" s="2">
        <v>76300</v>
      </c>
      <c r="F1668" t="s">
        <v>19</v>
      </c>
      <c r="G1668" t="s">
        <v>20</v>
      </c>
      <c r="H1668">
        <v>3</v>
      </c>
      <c r="I1668">
        <v>2</v>
      </c>
      <c r="J1668">
        <v>979</v>
      </c>
      <c r="K1668" s="5">
        <v>1.4223080000000001E-2</v>
      </c>
      <c r="L1668" t="s">
        <v>38</v>
      </c>
      <c r="M1668" s="4">
        <v>18690</v>
      </c>
      <c r="N1668" s="3">
        <v>77.936700000000002</v>
      </c>
      <c r="O1668" t="s">
        <v>22</v>
      </c>
      <c r="P1668" t="s">
        <v>23</v>
      </c>
      <c r="Q1668" t="s">
        <v>24</v>
      </c>
      <c r="R1668" t="s">
        <v>45</v>
      </c>
      <c r="S1668">
        <v>4</v>
      </c>
    </row>
    <row r="1669" spans="1:19" x14ac:dyDescent="0.3">
      <c r="A1669" s="1">
        <v>43198</v>
      </c>
      <c r="B1669">
        <v>2018</v>
      </c>
      <c r="C1669" t="s">
        <v>52</v>
      </c>
      <c r="D1669" s="4">
        <v>250880</v>
      </c>
      <c r="E1669" s="2">
        <v>367000</v>
      </c>
      <c r="F1669" t="s">
        <v>19</v>
      </c>
      <c r="G1669" t="s">
        <v>20</v>
      </c>
      <c r="H1669">
        <v>3</v>
      </c>
      <c r="I1669">
        <v>3</v>
      </c>
      <c r="J1669">
        <v>934</v>
      </c>
      <c r="K1669" s="5">
        <v>1.4223080000000001E-2</v>
      </c>
      <c r="L1669" t="s">
        <v>27</v>
      </c>
      <c r="M1669" s="4">
        <v>116120</v>
      </c>
      <c r="N1669" s="3">
        <v>392.93360000000001</v>
      </c>
      <c r="O1669" t="s">
        <v>22</v>
      </c>
      <c r="P1669" t="s">
        <v>24</v>
      </c>
      <c r="Q1669" t="s">
        <v>24</v>
      </c>
      <c r="R1669" t="s">
        <v>45</v>
      </c>
      <c r="S1669">
        <v>4</v>
      </c>
    </row>
    <row r="1670" spans="1:19" x14ac:dyDescent="0.3">
      <c r="A1670" s="1">
        <v>43201</v>
      </c>
      <c r="B1670">
        <v>2018</v>
      </c>
      <c r="C1670" t="s">
        <v>18</v>
      </c>
      <c r="D1670" s="4">
        <v>31410</v>
      </c>
      <c r="E1670" s="2">
        <v>12000</v>
      </c>
      <c r="F1670" t="s">
        <v>36</v>
      </c>
      <c r="G1670" t="s">
        <v>37</v>
      </c>
      <c r="H1670">
        <v>6</v>
      </c>
      <c r="I1670">
        <v>6</v>
      </c>
      <c r="J1670">
        <v>2086</v>
      </c>
      <c r="K1670" s="5">
        <v>1.4223080000000001E-2</v>
      </c>
      <c r="L1670" t="s">
        <v>38</v>
      </c>
      <c r="M1670" s="4">
        <v>-19410</v>
      </c>
      <c r="N1670" s="3">
        <v>5.7526000000000002</v>
      </c>
      <c r="O1670" t="s">
        <v>33</v>
      </c>
      <c r="P1670" t="s">
        <v>23</v>
      </c>
      <c r="Q1670" t="s">
        <v>34</v>
      </c>
      <c r="R1670" t="s">
        <v>45</v>
      </c>
      <c r="S1670">
        <v>4</v>
      </c>
    </row>
    <row r="1671" spans="1:19" x14ac:dyDescent="0.3">
      <c r="A1671" s="1">
        <v>43202</v>
      </c>
      <c r="B1671">
        <v>2018</v>
      </c>
      <c r="C1671" t="s">
        <v>52</v>
      </c>
      <c r="D1671" s="4">
        <v>174020</v>
      </c>
      <c r="E1671" s="2">
        <v>232000</v>
      </c>
      <c r="F1671" t="s">
        <v>19</v>
      </c>
      <c r="G1671" t="s">
        <v>20</v>
      </c>
      <c r="H1671">
        <v>3</v>
      </c>
      <c r="I1671">
        <v>1</v>
      </c>
      <c r="J1671">
        <v>958</v>
      </c>
      <c r="K1671" s="5">
        <v>1.4223080000000001E-2</v>
      </c>
      <c r="L1671" t="s">
        <v>38</v>
      </c>
      <c r="M1671" s="4">
        <v>57980</v>
      </c>
      <c r="N1671" s="3">
        <v>242.1712</v>
      </c>
      <c r="O1671" t="s">
        <v>22</v>
      </c>
      <c r="P1671" t="s">
        <v>24</v>
      </c>
      <c r="Q1671" t="s">
        <v>24</v>
      </c>
      <c r="R1671" t="s">
        <v>45</v>
      </c>
      <c r="S1671">
        <v>4</v>
      </c>
    </row>
    <row r="1672" spans="1:19" x14ac:dyDescent="0.3">
      <c r="A1672" s="1">
        <v>43203</v>
      </c>
      <c r="B1672">
        <v>2018</v>
      </c>
      <c r="C1672" t="s">
        <v>52</v>
      </c>
      <c r="D1672" s="4">
        <v>260750</v>
      </c>
      <c r="E1672" s="2">
        <v>405000</v>
      </c>
      <c r="F1672" t="s">
        <v>36</v>
      </c>
      <c r="G1672" t="s">
        <v>37</v>
      </c>
      <c r="H1672">
        <v>6</v>
      </c>
      <c r="I1672">
        <v>5</v>
      </c>
      <c r="J1672">
        <v>2116</v>
      </c>
      <c r="K1672" s="5">
        <v>1.4223080000000001E-2</v>
      </c>
      <c r="L1672" t="s">
        <v>21</v>
      </c>
      <c r="M1672" s="4">
        <v>144250</v>
      </c>
      <c r="N1672" s="3">
        <v>191.3989</v>
      </c>
      <c r="O1672" t="s">
        <v>22</v>
      </c>
      <c r="P1672" t="s">
        <v>24</v>
      </c>
      <c r="Q1672" t="s">
        <v>34</v>
      </c>
      <c r="R1672" t="s">
        <v>45</v>
      </c>
      <c r="S1672">
        <v>4</v>
      </c>
    </row>
    <row r="1673" spans="1:19" x14ac:dyDescent="0.3">
      <c r="A1673" s="1">
        <v>43204</v>
      </c>
      <c r="B1673">
        <v>2018</v>
      </c>
      <c r="C1673" t="s">
        <v>26</v>
      </c>
      <c r="D1673" s="4">
        <v>389620</v>
      </c>
      <c r="E1673" s="2">
        <v>510000</v>
      </c>
      <c r="F1673" t="s">
        <v>19</v>
      </c>
      <c r="G1673" t="s">
        <v>20</v>
      </c>
      <c r="H1673">
        <v>3</v>
      </c>
      <c r="I1673">
        <v>3</v>
      </c>
      <c r="J1673">
        <v>928</v>
      </c>
      <c r="K1673" s="5">
        <v>1.4223080000000001E-2</v>
      </c>
      <c r="L1673" t="s">
        <v>32</v>
      </c>
      <c r="M1673" s="4">
        <v>120380</v>
      </c>
      <c r="N1673" s="3">
        <v>549.56899999999996</v>
      </c>
      <c r="O1673" t="s">
        <v>22</v>
      </c>
      <c r="P1673" t="s">
        <v>24</v>
      </c>
      <c r="Q1673" t="s">
        <v>24</v>
      </c>
      <c r="R1673" t="s">
        <v>45</v>
      </c>
      <c r="S1673">
        <v>4</v>
      </c>
    </row>
    <row r="1674" spans="1:19" x14ac:dyDescent="0.3">
      <c r="A1674" s="1">
        <v>43208</v>
      </c>
      <c r="B1674">
        <v>2018</v>
      </c>
      <c r="C1674" t="s">
        <v>56</v>
      </c>
      <c r="D1674" s="4">
        <v>222690</v>
      </c>
      <c r="E1674" s="2">
        <v>325000</v>
      </c>
      <c r="F1674" t="s">
        <v>19</v>
      </c>
      <c r="G1674" t="s">
        <v>20</v>
      </c>
      <c r="H1674">
        <v>3</v>
      </c>
      <c r="I1674">
        <v>3</v>
      </c>
      <c r="J1674">
        <v>900</v>
      </c>
      <c r="K1674" s="5">
        <v>1.4223080000000001E-2</v>
      </c>
      <c r="L1674" t="s">
        <v>27</v>
      </c>
      <c r="M1674" s="4">
        <v>102310</v>
      </c>
      <c r="N1674" s="3">
        <v>361.11110000000002</v>
      </c>
      <c r="O1674" t="s">
        <v>22</v>
      </c>
      <c r="P1674" t="s">
        <v>24</v>
      </c>
      <c r="Q1674" t="s">
        <v>24</v>
      </c>
      <c r="R1674" t="s">
        <v>45</v>
      </c>
      <c r="S1674">
        <v>4</v>
      </c>
    </row>
    <row r="1675" spans="1:19" x14ac:dyDescent="0.3">
      <c r="A1675" s="1">
        <v>43209</v>
      </c>
      <c r="B1675">
        <v>2018</v>
      </c>
      <c r="C1675" t="s">
        <v>56</v>
      </c>
      <c r="D1675" s="4">
        <v>389210</v>
      </c>
      <c r="E1675" s="2">
        <v>575000</v>
      </c>
      <c r="F1675" t="s">
        <v>19</v>
      </c>
      <c r="G1675" t="s">
        <v>20</v>
      </c>
      <c r="H1675">
        <v>3</v>
      </c>
      <c r="I1675">
        <v>1</v>
      </c>
      <c r="J1675">
        <v>903</v>
      </c>
      <c r="K1675" s="5">
        <v>1.4223080000000001E-2</v>
      </c>
      <c r="L1675" t="s">
        <v>27</v>
      </c>
      <c r="M1675" s="4">
        <v>185790</v>
      </c>
      <c r="N1675" s="3">
        <v>636.7663</v>
      </c>
      <c r="O1675" t="s">
        <v>22</v>
      </c>
      <c r="P1675" t="s">
        <v>24</v>
      </c>
      <c r="Q1675" t="s">
        <v>24</v>
      </c>
      <c r="R1675" t="s">
        <v>45</v>
      </c>
      <c r="S1675">
        <v>4</v>
      </c>
    </row>
    <row r="1676" spans="1:19" x14ac:dyDescent="0.3">
      <c r="A1676" s="1">
        <v>43210</v>
      </c>
      <c r="B1676">
        <v>2018</v>
      </c>
      <c r="C1676" t="s">
        <v>40</v>
      </c>
      <c r="D1676" s="4">
        <v>80060</v>
      </c>
      <c r="E1676" s="2">
        <v>95000</v>
      </c>
      <c r="F1676" t="s">
        <v>19</v>
      </c>
      <c r="G1676" t="s">
        <v>20</v>
      </c>
      <c r="H1676">
        <v>3</v>
      </c>
      <c r="I1676">
        <v>2</v>
      </c>
      <c r="J1676">
        <v>919</v>
      </c>
      <c r="K1676" s="5">
        <v>1.4223080000000001E-2</v>
      </c>
      <c r="L1676" t="s">
        <v>27</v>
      </c>
      <c r="M1676" s="4">
        <v>14940</v>
      </c>
      <c r="N1676" s="3">
        <v>103.3732</v>
      </c>
      <c r="O1676" t="s">
        <v>22</v>
      </c>
      <c r="P1676" t="s">
        <v>23</v>
      </c>
      <c r="Q1676" t="s">
        <v>24</v>
      </c>
      <c r="R1676" t="s">
        <v>45</v>
      </c>
      <c r="S1676">
        <v>4</v>
      </c>
    </row>
    <row r="1677" spans="1:19" x14ac:dyDescent="0.3">
      <c r="A1677" s="1">
        <v>43211</v>
      </c>
      <c r="B1677">
        <v>2018</v>
      </c>
      <c r="C1677" t="s">
        <v>52</v>
      </c>
      <c r="D1677" s="4">
        <v>444584.20699999999</v>
      </c>
      <c r="E1677" s="2">
        <v>171000</v>
      </c>
      <c r="F1677" t="s">
        <v>19</v>
      </c>
      <c r="G1677" t="s">
        <v>20</v>
      </c>
      <c r="H1677">
        <v>3</v>
      </c>
      <c r="I1677">
        <v>3</v>
      </c>
      <c r="J1677">
        <v>909</v>
      </c>
      <c r="K1677" s="5">
        <v>1.4223080000000001E-2</v>
      </c>
      <c r="L1677" t="s">
        <v>21</v>
      </c>
      <c r="M1677" s="4">
        <v>-273584.20699999999</v>
      </c>
      <c r="N1677" s="3">
        <v>188.11879999999999</v>
      </c>
      <c r="O1677" t="s">
        <v>33</v>
      </c>
      <c r="P1677" t="s">
        <v>23</v>
      </c>
      <c r="Q1677" t="s">
        <v>24</v>
      </c>
      <c r="R1677" t="s">
        <v>45</v>
      </c>
      <c r="S1677">
        <v>4</v>
      </c>
    </row>
    <row r="1678" spans="1:19" x14ac:dyDescent="0.3">
      <c r="A1678" s="1">
        <v>43212</v>
      </c>
      <c r="B1678">
        <v>2018</v>
      </c>
      <c r="C1678" t="s">
        <v>18</v>
      </c>
      <c r="D1678" s="4">
        <v>444584.20699999999</v>
      </c>
      <c r="E1678" s="2">
        <v>68300</v>
      </c>
      <c r="F1678" t="s">
        <v>19</v>
      </c>
      <c r="G1678" t="s">
        <v>20</v>
      </c>
      <c r="H1678">
        <v>3</v>
      </c>
      <c r="I1678">
        <v>3</v>
      </c>
      <c r="J1678">
        <v>1021</v>
      </c>
      <c r="K1678" s="5">
        <v>1.4223080000000001E-2</v>
      </c>
      <c r="L1678" t="s">
        <v>38</v>
      </c>
      <c r="M1678" s="4">
        <v>-376284.20699999999</v>
      </c>
      <c r="N1678" s="3">
        <v>66.895200000000003</v>
      </c>
      <c r="O1678" t="s">
        <v>33</v>
      </c>
      <c r="P1678" t="s">
        <v>23</v>
      </c>
      <c r="Q1678" t="s">
        <v>24</v>
      </c>
      <c r="R1678" t="s">
        <v>45</v>
      </c>
      <c r="S1678">
        <v>4</v>
      </c>
    </row>
    <row r="1679" spans="1:19" x14ac:dyDescent="0.3">
      <c r="A1679" s="1">
        <v>43215</v>
      </c>
      <c r="B1679">
        <v>2018</v>
      </c>
      <c r="C1679" t="s">
        <v>52</v>
      </c>
      <c r="D1679" s="4">
        <v>182840</v>
      </c>
      <c r="E1679" s="2">
        <v>220000</v>
      </c>
      <c r="F1679" t="s">
        <v>36</v>
      </c>
      <c r="G1679" t="s">
        <v>37</v>
      </c>
      <c r="H1679">
        <v>6</v>
      </c>
      <c r="I1679">
        <v>6</v>
      </c>
      <c r="J1679">
        <v>1111.6589814177564</v>
      </c>
      <c r="K1679" s="5">
        <v>1.4223080000000001E-2</v>
      </c>
      <c r="L1679" t="s">
        <v>21</v>
      </c>
      <c r="M1679" s="4">
        <v>37160</v>
      </c>
      <c r="N1679" s="3">
        <v>197.9024</v>
      </c>
      <c r="O1679" t="s">
        <v>22</v>
      </c>
      <c r="P1679" t="s">
        <v>24</v>
      </c>
      <c r="Q1679" t="s">
        <v>24</v>
      </c>
      <c r="R1679" t="s">
        <v>45</v>
      </c>
      <c r="S1679">
        <v>4</v>
      </c>
    </row>
    <row r="1680" spans="1:19" x14ac:dyDescent="0.3">
      <c r="A1680" s="1">
        <v>43218</v>
      </c>
      <c r="B1680">
        <v>2018</v>
      </c>
      <c r="C1680" t="s">
        <v>56</v>
      </c>
      <c r="D1680" s="4">
        <v>231550</v>
      </c>
      <c r="E1680" s="2">
        <v>300000</v>
      </c>
      <c r="F1680" t="s">
        <v>19</v>
      </c>
      <c r="G1680" t="s">
        <v>20</v>
      </c>
      <c r="H1680">
        <v>3</v>
      </c>
      <c r="I1680">
        <v>2</v>
      </c>
      <c r="J1680">
        <v>1111.6589814177564</v>
      </c>
      <c r="K1680" s="5">
        <v>1.4223080000000001E-2</v>
      </c>
      <c r="L1680" t="s">
        <v>21</v>
      </c>
      <c r="M1680" s="4">
        <v>68450</v>
      </c>
      <c r="N1680" s="3">
        <v>269.86689999999999</v>
      </c>
      <c r="O1680" t="s">
        <v>22</v>
      </c>
      <c r="P1680" t="s">
        <v>24</v>
      </c>
      <c r="Q1680" t="s">
        <v>24</v>
      </c>
      <c r="R1680" t="s">
        <v>45</v>
      </c>
      <c r="S1680">
        <v>4</v>
      </c>
    </row>
    <row r="1681" spans="1:19" x14ac:dyDescent="0.3">
      <c r="A1681" s="1">
        <v>43219</v>
      </c>
      <c r="B1681">
        <v>2018</v>
      </c>
      <c r="C1681" t="s">
        <v>18</v>
      </c>
      <c r="D1681" s="4">
        <v>77040</v>
      </c>
      <c r="E1681" s="2">
        <v>85000</v>
      </c>
      <c r="F1681" t="s">
        <v>19</v>
      </c>
      <c r="G1681" t="s">
        <v>20</v>
      </c>
      <c r="H1681">
        <v>3</v>
      </c>
      <c r="I1681">
        <v>1</v>
      </c>
      <c r="J1681">
        <v>927</v>
      </c>
      <c r="K1681" s="5">
        <v>1.4223080000000001E-2</v>
      </c>
      <c r="L1681" t="s">
        <v>32</v>
      </c>
      <c r="M1681" s="4">
        <v>7960</v>
      </c>
      <c r="N1681" s="3">
        <v>91.693600000000004</v>
      </c>
      <c r="O1681" t="s">
        <v>22</v>
      </c>
      <c r="P1681" t="s">
        <v>23</v>
      </c>
      <c r="Q1681" t="s">
        <v>24</v>
      </c>
      <c r="R1681" t="s">
        <v>45</v>
      </c>
      <c r="S1681">
        <v>4</v>
      </c>
    </row>
    <row r="1682" spans="1:19" x14ac:dyDescent="0.3">
      <c r="A1682" s="1">
        <v>43222</v>
      </c>
      <c r="B1682">
        <v>2018</v>
      </c>
      <c r="C1682" t="s">
        <v>18</v>
      </c>
      <c r="D1682" s="4">
        <v>114060</v>
      </c>
      <c r="E1682" s="2">
        <v>145000</v>
      </c>
      <c r="F1682" t="s">
        <v>19</v>
      </c>
      <c r="G1682" t="s">
        <v>20</v>
      </c>
      <c r="H1682">
        <v>3</v>
      </c>
      <c r="I1682">
        <v>3</v>
      </c>
      <c r="J1682">
        <v>995</v>
      </c>
      <c r="K1682" s="5">
        <v>1.4223080000000001E-2</v>
      </c>
      <c r="L1682" t="s">
        <v>21</v>
      </c>
      <c r="M1682" s="4">
        <v>30940</v>
      </c>
      <c r="N1682" s="3">
        <v>145.7286</v>
      </c>
      <c r="O1682" t="s">
        <v>22</v>
      </c>
      <c r="P1682" t="s">
        <v>23</v>
      </c>
      <c r="Q1682" t="s">
        <v>24</v>
      </c>
      <c r="R1682" t="s">
        <v>47</v>
      </c>
      <c r="S1682">
        <v>5</v>
      </c>
    </row>
    <row r="1683" spans="1:19" x14ac:dyDescent="0.3">
      <c r="A1683" s="1">
        <v>43223</v>
      </c>
      <c r="B1683">
        <v>2018</v>
      </c>
      <c r="C1683" t="s">
        <v>56</v>
      </c>
      <c r="D1683" s="4">
        <v>444584.20699999999</v>
      </c>
      <c r="E1683" s="2">
        <v>1342541</v>
      </c>
      <c r="F1683" t="s">
        <v>19</v>
      </c>
      <c r="G1683" t="s">
        <v>20</v>
      </c>
      <c r="H1683">
        <v>3</v>
      </c>
      <c r="I1683">
        <v>2</v>
      </c>
      <c r="J1683">
        <v>955</v>
      </c>
      <c r="K1683" s="5">
        <v>1.4223080000000001E-2</v>
      </c>
      <c r="L1683" t="s">
        <v>27</v>
      </c>
      <c r="M1683" s="4">
        <v>897956.79299999995</v>
      </c>
      <c r="N1683" s="3">
        <v>1405.8021000000001</v>
      </c>
      <c r="O1683" t="s">
        <v>22</v>
      </c>
      <c r="P1683" t="s">
        <v>28</v>
      </c>
      <c r="Q1683" t="s">
        <v>24</v>
      </c>
      <c r="R1683" t="s">
        <v>47</v>
      </c>
      <c r="S1683">
        <v>5</v>
      </c>
    </row>
    <row r="1684" spans="1:19" x14ac:dyDescent="0.3">
      <c r="A1684" s="1">
        <v>43225</v>
      </c>
      <c r="B1684">
        <v>2018</v>
      </c>
      <c r="C1684" t="s">
        <v>26</v>
      </c>
      <c r="D1684" s="4">
        <v>291370</v>
      </c>
      <c r="E1684" s="2">
        <v>533750</v>
      </c>
      <c r="F1684" t="s">
        <v>19</v>
      </c>
      <c r="G1684" t="s">
        <v>20</v>
      </c>
      <c r="H1684">
        <v>3</v>
      </c>
      <c r="I1684">
        <v>1</v>
      </c>
      <c r="J1684">
        <v>1062</v>
      </c>
      <c r="K1684" s="5">
        <v>1.4223080000000001E-2</v>
      </c>
      <c r="L1684" t="s">
        <v>21</v>
      </c>
      <c r="M1684" s="4">
        <v>242380</v>
      </c>
      <c r="N1684" s="3">
        <v>502.58949999999999</v>
      </c>
      <c r="O1684" t="s">
        <v>22</v>
      </c>
      <c r="P1684" t="s">
        <v>24</v>
      </c>
      <c r="Q1684" t="s">
        <v>24</v>
      </c>
      <c r="R1684" t="s">
        <v>47</v>
      </c>
      <c r="S1684">
        <v>5</v>
      </c>
    </row>
    <row r="1685" spans="1:19" x14ac:dyDescent="0.3">
      <c r="A1685" s="1">
        <v>43226</v>
      </c>
      <c r="B1685">
        <v>2018</v>
      </c>
      <c r="C1685" t="s">
        <v>56</v>
      </c>
      <c r="D1685" s="4">
        <v>415070</v>
      </c>
      <c r="E1685" s="2">
        <v>668000</v>
      </c>
      <c r="F1685" t="s">
        <v>19</v>
      </c>
      <c r="G1685" t="s">
        <v>20</v>
      </c>
      <c r="H1685">
        <v>3</v>
      </c>
      <c r="I1685">
        <v>2</v>
      </c>
      <c r="J1685">
        <v>950</v>
      </c>
      <c r="K1685" s="5">
        <v>1.4223080000000001E-2</v>
      </c>
      <c r="L1685" t="s">
        <v>32</v>
      </c>
      <c r="M1685" s="4">
        <v>252930</v>
      </c>
      <c r="N1685" s="3">
        <v>703.15790000000004</v>
      </c>
      <c r="O1685" t="s">
        <v>22</v>
      </c>
      <c r="P1685" t="s">
        <v>28</v>
      </c>
      <c r="Q1685" t="s">
        <v>24</v>
      </c>
      <c r="R1685" t="s">
        <v>47</v>
      </c>
      <c r="S1685">
        <v>5</v>
      </c>
    </row>
    <row r="1686" spans="1:19" x14ac:dyDescent="0.3">
      <c r="A1686" s="1">
        <v>43229</v>
      </c>
      <c r="B1686">
        <v>2018</v>
      </c>
      <c r="C1686" t="s">
        <v>40</v>
      </c>
      <c r="D1686" s="4">
        <v>279300</v>
      </c>
      <c r="E1686" s="2">
        <v>465000</v>
      </c>
      <c r="F1686" t="s">
        <v>19</v>
      </c>
      <c r="G1686" t="s">
        <v>20</v>
      </c>
      <c r="H1686">
        <v>3</v>
      </c>
      <c r="I1686">
        <v>2</v>
      </c>
      <c r="J1686">
        <v>982</v>
      </c>
      <c r="K1686" s="5">
        <v>1.4223080000000001E-2</v>
      </c>
      <c r="L1686" t="s">
        <v>38</v>
      </c>
      <c r="M1686" s="4">
        <v>185700</v>
      </c>
      <c r="N1686" s="3">
        <v>473.52339999999998</v>
      </c>
      <c r="O1686" t="s">
        <v>22</v>
      </c>
      <c r="P1686" t="s">
        <v>24</v>
      </c>
      <c r="Q1686" t="s">
        <v>24</v>
      </c>
      <c r="R1686" t="s">
        <v>47</v>
      </c>
      <c r="S1686">
        <v>5</v>
      </c>
    </row>
    <row r="1687" spans="1:19" x14ac:dyDescent="0.3">
      <c r="A1687" s="1">
        <v>43232</v>
      </c>
      <c r="B1687">
        <v>2018</v>
      </c>
      <c r="C1687" t="s">
        <v>52</v>
      </c>
      <c r="D1687" s="4">
        <v>188930</v>
      </c>
      <c r="E1687" s="2">
        <v>302500</v>
      </c>
      <c r="F1687" t="s">
        <v>30</v>
      </c>
      <c r="G1687" t="s">
        <v>31</v>
      </c>
      <c r="H1687">
        <v>4</v>
      </c>
      <c r="I1687">
        <v>2</v>
      </c>
      <c r="J1687">
        <v>1434</v>
      </c>
      <c r="K1687" s="5">
        <v>1.4223080000000001E-2</v>
      </c>
      <c r="L1687" t="s">
        <v>32</v>
      </c>
      <c r="M1687" s="4">
        <v>113570</v>
      </c>
      <c r="N1687" s="3">
        <v>210.94839999999999</v>
      </c>
      <c r="O1687" t="s">
        <v>22</v>
      </c>
      <c r="P1687" t="s">
        <v>24</v>
      </c>
      <c r="Q1687" t="s">
        <v>34</v>
      </c>
      <c r="R1687" t="s">
        <v>47</v>
      </c>
      <c r="S1687">
        <v>5</v>
      </c>
    </row>
    <row r="1688" spans="1:19" x14ac:dyDescent="0.3">
      <c r="A1688" s="1">
        <v>43233</v>
      </c>
      <c r="B1688">
        <v>2018</v>
      </c>
      <c r="C1688" t="s">
        <v>26</v>
      </c>
      <c r="D1688" s="4">
        <v>644970</v>
      </c>
      <c r="E1688" s="2">
        <v>760000</v>
      </c>
      <c r="F1688" t="s">
        <v>19</v>
      </c>
      <c r="G1688" t="s">
        <v>20</v>
      </c>
      <c r="H1688">
        <v>3</v>
      </c>
      <c r="I1688">
        <v>2</v>
      </c>
      <c r="J1688">
        <v>1042</v>
      </c>
      <c r="K1688" s="5">
        <v>1.4223080000000001E-2</v>
      </c>
      <c r="L1688" t="s">
        <v>27</v>
      </c>
      <c r="M1688" s="4">
        <v>115030</v>
      </c>
      <c r="N1688" s="3">
        <v>729.36659999999995</v>
      </c>
      <c r="O1688" t="s">
        <v>22</v>
      </c>
      <c r="P1688" t="s">
        <v>28</v>
      </c>
      <c r="Q1688" t="s">
        <v>24</v>
      </c>
      <c r="R1688" t="s">
        <v>47</v>
      </c>
      <c r="S1688">
        <v>5</v>
      </c>
    </row>
    <row r="1689" spans="1:19" x14ac:dyDescent="0.3">
      <c r="A1689" s="1">
        <v>43237</v>
      </c>
      <c r="B1689">
        <v>2018</v>
      </c>
      <c r="C1689" t="s">
        <v>26</v>
      </c>
      <c r="D1689" s="4">
        <v>872170</v>
      </c>
      <c r="E1689" s="2">
        <v>1155000</v>
      </c>
      <c r="F1689" t="s">
        <v>19</v>
      </c>
      <c r="G1689" t="s">
        <v>20</v>
      </c>
      <c r="H1689">
        <v>3</v>
      </c>
      <c r="I1689">
        <v>2</v>
      </c>
      <c r="J1689">
        <v>1111.6589814177564</v>
      </c>
      <c r="K1689" s="5">
        <v>1.4223080000000001E-2</v>
      </c>
      <c r="L1689" t="s">
        <v>38</v>
      </c>
      <c r="M1689" s="4">
        <v>282830</v>
      </c>
      <c r="N1689" s="3">
        <v>1038.9876999999999</v>
      </c>
      <c r="O1689" t="s">
        <v>22</v>
      </c>
      <c r="P1689" t="s">
        <v>28</v>
      </c>
      <c r="Q1689" t="s">
        <v>24</v>
      </c>
      <c r="R1689" t="s">
        <v>47</v>
      </c>
      <c r="S1689">
        <v>5</v>
      </c>
    </row>
    <row r="1690" spans="1:19" x14ac:dyDescent="0.3">
      <c r="A1690" s="1">
        <v>43239</v>
      </c>
      <c r="B1690">
        <v>2018</v>
      </c>
      <c r="C1690" t="s">
        <v>26</v>
      </c>
      <c r="D1690" s="4">
        <v>602820</v>
      </c>
      <c r="E1690" s="2">
        <v>792000</v>
      </c>
      <c r="F1690" t="s">
        <v>19</v>
      </c>
      <c r="G1690" t="s">
        <v>20</v>
      </c>
      <c r="H1690">
        <v>3</v>
      </c>
      <c r="I1690">
        <v>3</v>
      </c>
      <c r="J1690">
        <v>915</v>
      </c>
      <c r="K1690" s="5">
        <v>1.4223080000000001E-2</v>
      </c>
      <c r="L1690" t="s">
        <v>38</v>
      </c>
      <c r="M1690" s="4">
        <v>189180</v>
      </c>
      <c r="N1690" s="3">
        <v>865.57380000000001</v>
      </c>
      <c r="O1690" t="s">
        <v>22</v>
      </c>
      <c r="P1690" t="s">
        <v>28</v>
      </c>
      <c r="Q1690" t="s">
        <v>24</v>
      </c>
      <c r="R1690" t="s">
        <v>47</v>
      </c>
      <c r="S1690">
        <v>5</v>
      </c>
    </row>
    <row r="1691" spans="1:19" x14ac:dyDescent="0.3">
      <c r="A1691" s="1">
        <v>43240</v>
      </c>
      <c r="B1691">
        <v>2018</v>
      </c>
      <c r="C1691" t="s">
        <v>18</v>
      </c>
      <c r="D1691" s="4">
        <v>85760</v>
      </c>
      <c r="E1691" s="2">
        <v>43000</v>
      </c>
      <c r="F1691" t="s">
        <v>19</v>
      </c>
      <c r="G1691" t="s">
        <v>20</v>
      </c>
      <c r="H1691">
        <v>3</v>
      </c>
      <c r="I1691">
        <v>1</v>
      </c>
      <c r="J1691">
        <v>920</v>
      </c>
      <c r="K1691" s="5">
        <v>1.4223080000000001E-2</v>
      </c>
      <c r="L1691" t="s">
        <v>38</v>
      </c>
      <c r="M1691" s="4">
        <v>-42760</v>
      </c>
      <c r="N1691" s="3">
        <v>46.739100000000001</v>
      </c>
      <c r="O1691" t="s">
        <v>33</v>
      </c>
      <c r="P1691" t="s">
        <v>23</v>
      </c>
      <c r="Q1691" t="s">
        <v>24</v>
      </c>
      <c r="R1691" t="s">
        <v>47</v>
      </c>
      <c r="S1691">
        <v>5</v>
      </c>
    </row>
    <row r="1692" spans="1:19" x14ac:dyDescent="0.3">
      <c r="A1692" s="1">
        <v>43243</v>
      </c>
      <c r="B1692">
        <v>2018</v>
      </c>
      <c r="C1692" t="s">
        <v>18</v>
      </c>
      <c r="D1692" s="4">
        <v>96480</v>
      </c>
      <c r="E1692" s="2">
        <v>160000</v>
      </c>
      <c r="F1692" t="s">
        <v>19</v>
      </c>
      <c r="G1692" t="s">
        <v>20</v>
      </c>
      <c r="H1692">
        <v>3</v>
      </c>
      <c r="I1692">
        <v>2</v>
      </c>
      <c r="J1692">
        <v>936</v>
      </c>
      <c r="K1692" s="5">
        <v>1.4223080000000001E-2</v>
      </c>
      <c r="L1692" t="s">
        <v>21</v>
      </c>
      <c r="M1692" s="4">
        <v>63520</v>
      </c>
      <c r="N1692" s="3">
        <v>170.9402</v>
      </c>
      <c r="O1692" t="s">
        <v>22</v>
      </c>
      <c r="P1692" t="s">
        <v>23</v>
      </c>
      <c r="Q1692" t="s">
        <v>24</v>
      </c>
      <c r="R1692" t="s">
        <v>47</v>
      </c>
      <c r="S1692">
        <v>5</v>
      </c>
    </row>
    <row r="1693" spans="1:19" x14ac:dyDescent="0.3">
      <c r="A1693" s="1">
        <v>43244</v>
      </c>
      <c r="B1693">
        <v>2018</v>
      </c>
      <c r="C1693" t="s">
        <v>52</v>
      </c>
      <c r="D1693" s="4">
        <v>210140</v>
      </c>
      <c r="E1693" s="2">
        <v>347500</v>
      </c>
      <c r="F1693" t="s">
        <v>19</v>
      </c>
      <c r="G1693" t="s">
        <v>20</v>
      </c>
      <c r="H1693">
        <v>3</v>
      </c>
      <c r="I1693">
        <v>2</v>
      </c>
      <c r="J1693">
        <v>965</v>
      </c>
      <c r="K1693" s="5">
        <v>1.4223080000000001E-2</v>
      </c>
      <c r="L1693" t="s">
        <v>27</v>
      </c>
      <c r="M1693" s="4">
        <v>137360</v>
      </c>
      <c r="N1693" s="3">
        <v>360.10359999999997</v>
      </c>
      <c r="O1693" t="s">
        <v>22</v>
      </c>
      <c r="P1693" t="s">
        <v>24</v>
      </c>
      <c r="Q1693" t="s">
        <v>24</v>
      </c>
      <c r="R1693" t="s">
        <v>47</v>
      </c>
      <c r="S1693">
        <v>5</v>
      </c>
    </row>
    <row r="1694" spans="1:19" x14ac:dyDescent="0.3">
      <c r="A1694" s="1">
        <v>43246</v>
      </c>
      <c r="B1694">
        <v>2018</v>
      </c>
      <c r="C1694" t="s">
        <v>52</v>
      </c>
      <c r="D1694" s="4">
        <v>121030</v>
      </c>
      <c r="E1694" s="2">
        <v>177000</v>
      </c>
      <c r="F1694" t="s">
        <v>19</v>
      </c>
      <c r="G1694" t="s">
        <v>20</v>
      </c>
      <c r="H1694">
        <v>3</v>
      </c>
      <c r="I1694">
        <v>3</v>
      </c>
      <c r="J1694">
        <v>1040</v>
      </c>
      <c r="K1694" s="5">
        <v>1.4223080000000001E-2</v>
      </c>
      <c r="L1694" t="s">
        <v>32</v>
      </c>
      <c r="M1694" s="4">
        <v>55970</v>
      </c>
      <c r="N1694" s="3">
        <v>170.19229999999999</v>
      </c>
      <c r="O1694" t="s">
        <v>22</v>
      </c>
      <c r="P1694" t="s">
        <v>23</v>
      </c>
      <c r="Q1694" t="s">
        <v>24</v>
      </c>
      <c r="R1694" t="s">
        <v>47</v>
      </c>
      <c r="S1694">
        <v>5</v>
      </c>
    </row>
    <row r="1695" spans="1:19" x14ac:dyDescent="0.3">
      <c r="A1695" s="1">
        <v>43251</v>
      </c>
      <c r="B1695">
        <v>2018</v>
      </c>
      <c r="C1695" t="s">
        <v>56</v>
      </c>
      <c r="D1695" s="4">
        <v>302920</v>
      </c>
      <c r="E1695" s="2">
        <v>581025</v>
      </c>
      <c r="F1695" t="s">
        <v>19</v>
      </c>
      <c r="G1695" t="s">
        <v>20</v>
      </c>
      <c r="H1695">
        <v>3</v>
      </c>
      <c r="I1695">
        <v>1</v>
      </c>
      <c r="J1695">
        <v>1022</v>
      </c>
      <c r="K1695" s="5">
        <v>1.4223080000000001E-2</v>
      </c>
      <c r="L1695" t="s">
        <v>38</v>
      </c>
      <c r="M1695" s="4">
        <v>278105</v>
      </c>
      <c r="N1695" s="3">
        <v>568.51760000000002</v>
      </c>
      <c r="O1695" t="s">
        <v>22</v>
      </c>
      <c r="P1695" t="s">
        <v>24</v>
      </c>
      <c r="Q1695" t="s">
        <v>24</v>
      </c>
      <c r="R1695" t="s">
        <v>47</v>
      </c>
      <c r="S1695">
        <v>5</v>
      </c>
    </row>
    <row r="1696" spans="1:19" x14ac:dyDescent="0.3">
      <c r="A1696" s="1">
        <v>43252</v>
      </c>
      <c r="B1696">
        <v>2018</v>
      </c>
      <c r="C1696" t="s">
        <v>56</v>
      </c>
      <c r="D1696" s="4">
        <v>444584.20699999999</v>
      </c>
      <c r="E1696" s="2">
        <v>410000</v>
      </c>
      <c r="F1696" t="s">
        <v>19</v>
      </c>
      <c r="G1696" t="s">
        <v>20</v>
      </c>
      <c r="H1696">
        <v>3</v>
      </c>
      <c r="I1696">
        <v>3</v>
      </c>
      <c r="J1696">
        <v>1031</v>
      </c>
      <c r="K1696" s="5">
        <v>1.4223080000000001E-2</v>
      </c>
      <c r="L1696" t="s">
        <v>21</v>
      </c>
      <c r="M1696" s="4">
        <v>-34584.207000000002</v>
      </c>
      <c r="N1696" s="3">
        <v>397.67219999999998</v>
      </c>
      <c r="O1696" t="s">
        <v>33</v>
      </c>
      <c r="P1696" t="s">
        <v>24</v>
      </c>
      <c r="Q1696" t="s">
        <v>24</v>
      </c>
      <c r="R1696" t="s">
        <v>48</v>
      </c>
      <c r="S1696">
        <v>6</v>
      </c>
    </row>
    <row r="1697" spans="1:19" x14ac:dyDescent="0.3">
      <c r="A1697" s="1">
        <v>43253</v>
      </c>
      <c r="B1697">
        <v>2018</v>
      </c>
      <c r="C1697" t="s">
        <v>52</v>
      </c>
      <c r="D1697" s="4">
        <v>299250</v>
      </c>
      <c r="E1697" s="2">
        <v>182500</v>
      </c>
      <c r="F1697" t="s">
        <v>19</v>
      </c>
      <c r="G1697" t="s">
        <v>20</v>
      </c>
      <c r="H1697">
        <v>3</v>
      </c>
      <c r="I1697">
        <v>2</v>
      </c>
      <c r="J1697">
        <v>1085</v>
      </c>
      <c r="K1697" s="5">
        <v>1.4223080000000001E-2</v>
      </c>
      <c r="L1697" t="s">
        <v>27</v>
      </c>
      <c r="M1697" s="4">
        <v>-116750</v>
      </c>
      <c r="N1697" s="3">
        <v>168.2028</v>
      </c>
      <c r="O1697" t="s">
        <v>33</v>
      </c>
      <c r="P1697" t="s">
        <v>23</v>
      </c>
      <c r="Q1697" t="s">
        <v>24</v>
      </c>
      <c r="R1697" t="s">
        <v>48</v>
      </c>
      <c r="S1697">
        <v>6</v>
      </c>
    </row>
    <row r="1698" spans="1:19" x14ac:dyDescent="0.3">
      <c r="A1698" s="1">
        <v>43254</v>
      </c>
      <c r="B1698">
        <v>2018</v>
      </c>
      <c r="C1698" t="s">
        <v>18</v>
      </c>
      <c r="D1698" s="4">
        <v>77640</v>
      </c>
      <c r="E1698" s="2">
        <v>59000</v>
      </c>
      <c r="F1698" t="s">
        <v>19</v>
      </c>
      <c r="G1698" t="s">
        <v>20</v>
      </c>
      <c r="H1698">
        <v>3</v>
      </c>
      <c r="I1698">
        <v>1</v>
      </c>
      <c r="J1698">
        <v>1011</v>
      </c>
      <c r="K1698" s="5">
        <v>1.4223080000000001E-2</v>
      </c>
      <c r="L1698" t="s">
        <v>38</v>
      </c>
      <c r="M1698" s="4">
        <v>-18640</v>
      </c>
      <c r="N1698" s="3">
        <v>58.3581</v>
      </c>
      <c r="O1698" t="s">
        <v>33</v>
      </c>
      <c r="P1698" t="s">
        <v>23</v>
      </c>
      <c r="Q1698" t="s">
        <v>24</v>
      </c>
      <c r="R1698" t="s">
        <v>48</v>
      </c>
      <c r="S1698">
        <v>6</v>
      </c>
    </row>
    <row r="1699" spans="1:19" x14ac:dyDescent="0.3">
      <c r="A1699" s="1">
        <v>43257</v>
      </c>
      <c r="B1699">
        <v>2018</v>
      </c>
      <c r="C1699" t="s">
        <v>18</v>
      </c>
      <c r="D1699" s="4">
        <v>118150</v>
      </c>
      <c r="E1699" s="2">
        <v>155000</v>
      </c>
      <c r="F1699" t="s">
        <v>19</v>
      </c>
      <c r="G1699" t="s">
        <v>20</v>
      </c>
      <c r="H1699">
        <v>3</v>
      </c>
      <c r="I1699">
        <v>2</v>
      </c>
      <c r="J1699">
        <v>910</v>
      </c>
      <c r="K1699" s="5">
        <v>1.4223080000000001E-2</v>
      </c>
      <c r="L1699" t="s">
        <v>32</v>
      </c>
      <c r="M1699" s="4">
        <v>36850</v>
      </c>
      <c r="N1699" s="3">
        <v>170.3297</v>
      </c>
      <c r="O1699" t="s">
        <v>22</v>
      </c>
      <c r="P1699" t="s">
        <v>23</v>
      </c>
      <c r="Q1699" t="s">
        <v>24</v>
      </c>
      <c r="R1699" t="s">
        <v>48</v>
      </c>
      <c r="S1699">
        <v>6</v>
      </c>
    </row>
    <row r="1700" spans="1:19" x14ac:dyDescent="0.3">
      <c r="A1700" s="1">
        <v>43258</v>
      </c>
      <c r="B1700">
        <v>2018</v>
      </c>
      <c r="C1700" t="s">
        <v>52</v>
      </c>
      <c r="D1700" s="4">
        <v>589680</v>
      </c>
      <c r="E1700" s="2">
        <v>855000</v>
      </c>
      <c r="F1700" t="s">
        <v>19</v>
      </c>
      <c r="G1700" t="s">
        <v>20</v>
      </c>
      <c r="H1700">
        <v>3</v>
      </c>
      <c r="I1700">
        <v>2</v>
      </c>
      <c r="J1700">
        <v>1111.6589814177564</v>
      </c>
      <c r="K1700" s="5">
        <v>1.4223080000000001E-2</v>
      </c>
      <c r="L1700" t="s">
        <v>38</v>
      </c>
      <c r="M1700" s="4">
        <v>265320</v>
      </c>
      <c r="N1700" s="3">
        <v>769.12080000000003</v>
      </c>
      <c r="O1700" t="s">
        <v>22</v>
      </c>
      <c r="P1700" t="s">
        <v>28</v>
      </c>
      <c r="Q1700" t="s">
        <v>24</v>
      </c>
      <c r="R1700" t="s">
        <v>48</v>
      </c>
      <c r="S1700">
        <v>6</v>
      </c>
    </row>
    <row r="1701" spans="1:19" x14ac:dyDescent="0.3">
      <c r="A1701" s="1">
        <v>43259</v>
      </c>
      <c r="B1701">
        <v>2018</v>
      </c>
      <c r="C1701" t="s">
        <v>26</v>
      </c>
      <c r="D1701" s="4">
        <v>196510</v>
      </c>
      <c r="E1701" s="2">
        <v>340500</v>
      </c>
      <c r="F1701" t="s">
        <v>19</v>
      </c>
      <c r="G1701" t="s">
        <v>20</v>
      </c>
      <c r="H1701">
        <v>3</v>
      </c>
      <c r="I1701">
        <v>3</v>
      </c>
      <c r="J1701">
        <v>1054</v>
      </c>
      <c r="K1701" s="5">
        <v>1.4223080000000001E-2</v>
      </c>
      <c r="L1701" t="s">
        <v>27</v>
      </c>
      <c r="M1701" s="4">
        <v>143990</v>
      </c>
      <c r="N1701" s="3">
        <v>323.05500000000001</v>
      </c>
      <c r="O1701" t="s">
        <v>22</v>
      </c>
      <c r="P1701" t="s">
        <v>24</v>
      </c>
      <c r="Q1701" t="s">
        <v>24</v>
      </c>
      <c r="R1701" t="s">
        <v>48</v>
      </c>
      <c r="S1701">
        <v>6</v>
      </c>
    </row>
    <row r="1702" spans="1:19" x14ac:dyDescent="0.3">
      <c r="A1702" s="1">
        <v>43260</v>
      </c>
      <c r="B1702">
        <v>2018</v>
      </c>
      <c r="C1702" t="s">
        <v>18</v>
      </c>
      <c r="D1702" s="4">
        <v>93310</v>
      </c>
      <c r="E1702" s="2">
        <v>159500</v>
      </c>
      <c r="F1702" t="s">
        <v>19</v>
      </c>
      <c r="G1702" t="s">
        <v>20</v>
      </c>
      <c r="H1702">
        <v>3</v>
      </c>
      <c r="I1702">
        <v>1</v>
      </c>
      <c r="J1702">
        <v>1009</v>
      </c>
      <c r="K1702" s="5">
        <v>1.4223080000000001E-2</v>
      </c>
      <c r="L1702" t="s">
        <v>32</v>
      </c>
      <c r="M1702" s="4">
        <v>66190</v>
      </c>
      <c r="N1702" s="3">
        <v>158.07730000000001</v>
      </c>
      <c r="O1702" t="s">
        <v>22</v>
      </c>
      <c r="P1702" t="s">
        <v>23</v>
      </c>
      <c r="Q1702" t="s">
        <v>24</v>
      </c>
      <c r="R1702" t="s">
        <v>48</v>
      </c>
      <c r="S1702">
        <v>6</v>
      </c>
    </row>
    <row r="1703" spans="1:19" x14ac:dyDescent="0.3">
      <c r="A1703" s="1">
        <v>43261</v>
      </c>
      <c r="B1703">
        <v>2018</v>
      </c>
      <c r="C1703" t="s">
        <v>40</v>
      </c>
      <c r="D1703" s="4">
        <v>454830</v>
      </c>
      <c r="E1703" s="2">
        <v>720000</v>
      </c>
      <c r="F1703" t="s">
        <v>19</v>
      </c>
      <c r="G1703" t="s">
        <v>20</v>
      </c>
      <c r="H1703">
        <v>3</v>
      </c>
      <c r="I1703">
        <v>3</v>
      </c>
      <c r="J1703">
        <v>1023</v>
      </c>
      <c r="K1703" s="5">
        <v>1.4223080000000001E-2</v>
      </c>
      <c r="L1703" t="s">
        <v>27</v>
      </c>
      <c r="M1703" s="4">
        <v>265170</v>
      </c>
      <c r="N1703" s="3">
        <v>703.81230000000005</v>
      </c>
      <c r="O1703" t="s">
        <v>22</v>
      </c>
      <c r="P1703" t="s">
        <v>28</v>
      </c>
      <c r="Q1703" t="s">
        <v>24</v>
      </c>
      <c r="R1703" t="s">
        <v>48</v>
      </c>
      <c r="S1703">
        <v>6</v>
      </c>
    </row>
    <row r="1704" spans="1:19" x14ac:dyDescent="0.3">
      <c r="A1704" s="1">
        <v>43264</v>
      </c>
      <c r="B1704">
        <v>2018</v>
      </c>
      <c r="C1704" t="s">
        <v>56</v>
      </c>
      <c r="D1704" s="4">
        <v>273130</v>
      </c>
      <c r="E1704" s="2">
        <v>465000</v>
      </c>
      <c r="F1704" t="s">
        <v>19</v>
      </c>
      <c r="G1704" t="s">
        <v>20</v>
      </c>
      <c r="H1704">
        <v>3</v>
      </c>
      <c r="I1704">
        <v>2</v>
      </c>
      <c r="J1704">
        <v>1001</v>
      </c>
      <c r="K1704" s="5">
        <v>1.4223080000000001E-2</v>
      </c>
      <c r="L1704" t="s">
        <v>27</v>
      </c>
      <c r="M1704" s="4">
        <v>191870</v>
      </c>
      <c r="N1704" s="3">
        <v>464.53550000000001</v>
      </c>
      <c r="O1704" t="s">
        <v>22</v>
      </c>
      <c r="P1704" t="s">
        <v>24</v>
      </c>
      <c r="Q1704" t="s">
        <v>24</v>
      </c>
      <c r="R1704" t="s">
        <v>48</v>
      </c>
      <c r="S1704">
        <v>6</v>
      </c>
    </row>
    <row r="1705" spans="1:19" x14ac:dyDescent="0.3">
      <c r="A1705" s="1">
        <v>43265</v>
      </c>
      <c r="B1705">
        <v>2018</v>
      </c>
      <c r="C1705" t="s">
        <v>18</v>
      </c>
      <c r="D1705" s="4">
        <v>31970</v>
      </c>
      <c r="E1705" s="2">
        <v>30000</v>
      </c>
      <c r="F1705" t="s">
        <v>30</v>
      </c>
      <c r="G1705" t="s">
        <v>31</v>
      </c>
      <c r="H1705">
        <v>4</v>
      </c>
      <c r="I1705">
        <v>4</v>
      </c>
      <c r="J1705">
        <v>1425</v>
      </c>
      <c r="K1705" s="5">
        <v>1.4223080000000001E-2</v>
      </c>
      <c r="L1705" t="s">
        <v>32</v>
      </c>
      <c r="M1705" s="4">
        <v>-1970</v>
      </c>
      <c r="N1705" s="3">
        <v>21.052600000000002</v>
      </c>
      <c r="O1705" t="s">
        <v>33</v>
      </c>
      <c r="P1705" t="s">
        <v>23</v>
      </c>
      <c r="Q1705" t="s">
        <v>34</v>
      </c>
      <c r="R1705" t="s">
        <v>48</v>
      </c>
      <c r="S1705">
        <v>6</v>
      </c>
    </row>
    <row r="1706" spans="1:19" x14ac:dyDescent="0.3">
      <c r="A1706" s="1">
        <v>43267</v>
      </c>
      <c r="B1706">
        <v>2018</v>
      </c>
      <c r="C1706" t="s">
        <v>56</v>
      </c>
      <c r="D1706" s="4">
        <v>193420</v>
      </c>
      <c r="E1706" s="2">
        <v>385000</v>
      </c>
      <c r="F1706" t="s">
        <v>30</v>
      </c>
      <c r="G1706" t="s">
        <v>31</v>
      </c>
      <c r="H1706">
        <v>4</v>
      </c>
      <c r="I1706">
        <v>3</v>
      </c>
      <c r="J1706">
        <v>1413</v>
      </c>
      <c r="K1706" s="5">
        <v>1.4223080000000001E-2</v>
      </c>
      <c r="L1706" t="s">
        <v>38</v>
      </c>
      <c r="M1706" s="4">
        <v>191580</v>
      </c>
      <c r="N1706" s="3">
        <v>272.4699</v>
      </c>
      <c r="O1706" t="s">
        <v>22</v>
      </c>
      <c r="P1706" t="s">
        <v>24</v>
      </c>
      <c r="Q1706" t="s">
        <v>34</v>
      </c>
      <c r="R1706" t="s">
        <v>48</v>
      </c>
      <c r="S1706">
        <v>6</v>
      </c>
    </row>
    <row r="1707" spans="1:19" x14ac:dyDescent="0.3">
      <c r="A1707" s="1">
        <v>43268</v>
      </c>
      <c r="B1707">
        <v>2018</v>
      </c>
      <c r="C1707" t="s">
        <v>56</v>
      </c>
      <c r="D1707" s="4">
        <v>277970</v>
      </c>
      <c r="E1707" s="2">
        <v>420000</v>
      </c>
      <c r="F1707" t="s">
        <v>19</v>
      </c>
      <c r="G1707" t="s">
        <v>20</v>
      </c>
      <c r="H1707">
        <v>3</v>
      </c>
      <c r="I1707">
        <v>3</v>
      </c>
      <c r="J1707">
        <v>1096</v>
      </c>
      <c r="K1707" s="5">
        <v>1.4223080000000001E-2</v>
      </c>
      <c r="L1707" t="s">
        <v>32</v>
      </c>
      <c r="M1707" s="4">
        <v>142030</v>
      </c>
      <c r="N1707" s="3">
        <v>383.21170000000001</v>
      </c>
      <c r="O1707" t="s">
        <v>22</v>
      </c>
      <c r="P1707" t="s">
        <v>24</v>
      </c>
      <c r="Q1707" t="s">
        <v>24</v>
      </c>
      <c r="R1707" t="s">
        <v>48</v>
      </c>
      <c r="S1707">
        <v>6</v>
      </c>
    </row>
    <row r="1708" spans="1:19" x14ac:dyDescent="0.3">
      <c r="A1708" s="1">
        <v>43271</v>
      </c>
      <c r="B1708">
        <v>2018</v>
      </c>
      <c r="C1708" t="s">
        <v>52</v>
      </c>
      <c r="D1708" s="4">
        <v>161700</v>
      </c>
      <c r="E1708" s="2">
        <v>273000</v>
      </c>
      <c r="F1708" t="s">
        <v>19</v>
      </c>
      <c r="G1708" t="s">
        <v>20</v>
      </c>
      <c r="H1708">
        <v>3</v>
      </c>
      <c r="I1708">
        <v>3</v>
      </c>
      <c r="J1708">
        <v>1111.6589814177564</v>
      </c>
      <c r="K1708" s="5">
        <v>1.4223080000000001E-2</v>
      </c>
      <c r="L1708" t="s">
        <v>38</v>
      </c>
      <c r="M1708" s="4">
        <v>111300</v>
      </c>
      <c r="N1708" s="3">
        <v>245.5789</v>
      </c>
      <c r="O1708" t="s">
        <v>22</v>
      </c>
      <c r="P1708" t="s">
        <v>24</v>
      </c>
      <c r="Q1708" t="s">
        <v>24</v>
      </c>
      <c r="R1708" t="s">
        <v>48</v>
      </c>
      <c r="S1708">
        <v>6</v>
      </c>
    </row>
    <row r="1709" spans="1:19" x14ac:dyDescent="0.3">
      <c r="A1709" s="1">
        <v>43272</v>
      </c>
      <c r="B1709">
        <v>2018</v>
      </c>
      <c r="C1709" t="s">
        <v>18</v>
      </c>
      <c r="D1709" s="4">
        <v>64310</v>
      </c>
      <c r="E1709" s="2">
        <v>138500</v>
      </c>
      <c r="F1709" t="s">
        <v>36</v>
      </c>
      <c r="G1709" t="s">
        <v>37</v>
      </c>
      <c r="H1709">
        <v>6</v>
      </c>
      <c r="I1709">
        <v>5</v>
      </c>
      <c r="J1709">
        <v>1925</v>
      </c>
      <c r="K1709" s="5">
        <v>1.4223080000000001E-2</v>
      </c>
      <c r="L1709" t="s">
        <v>21</v>
      </c>
      <c r="M1709" s="4">
        <v>74190</v>
      </c>
      <c r="N1709" s="3">
        <v>71.948099999999997</v>
      </c>
      <c r="O1709" t="s">
        <v>22</v>
      </c>
      <c r="P1709" t="s">
        <v>23</v>
      </c>
      <c r="Q1709" t="s">
        <v>34</v>
      </c>
      <c r="R1709" t="s">
        <v>48</v>
      </c>
      <c r="S1709">
        <v>6</v>
      </c>
    </row>
    <row r="1710" spans="1:19" x14ac:dyDescent="0.3">
      <c r="A1710" s="1">
        <v>43274</v>
      </c>
      <c r="B1710">
        <v>2018</v>
      </c>
      <c r="C1710" t="s">
        <v>56</v>
      </c>
      <c r="D1710" s="4">
        <v>268390</v>
      </c>
      <c r="E1710" s="2">
        <v>529000</v>
      </c>
      <c r="F1710" t="s">
        <v>19</v>
      </c>
      <c r="G1710" t="s">
        <v>20</v>
      </c>
      <c r="H1710">
        <v>3</v>
      </c>
      <c r="I1710">
        <v>2</v>
      </c>
      <c r="J1710">
        <v>934</v>
      </c>
      <c r="K1710" s="5">
        <v>1.4223080000000001E-2</v>
      </c>
      <c r="L1710" t="s">
        <v>32</v>
      </c>
      <c r="M1710" s="4">
        <v>260610</v>
      </c>
      <c r="N1710" s="3">
        <v>566.38120000000004</v>
      </c>
      <c r="O1710" t="s">
        <v>22</v>
      </c>
      <c r="P1710" t="s">
        <v>24</v>
      </c>
      <c r="Q1710" t="s">
        <v>24</v>
      </c>
      <c r="R1710" t="s">
        <v>48</v>
      </c>
      <c r="S1710">
        <v>6</v>
      </c>
    </row>
    <row r="1711" spans="1:19" x14ac:dyDescent="0.3">
      <c r="A1711" s="1">
        <v>43279</v>
      </c>
      <c r="B1711">
        <v>2018</v>
      </c>
      <c r="C1711" t="s">
        <v>52</v>
      </c>
      <c r="D1711" s="4">
        <v>388640</v>
      </c>
      <c r="E1711" s="2">
        <v>765000</v>
      </c>
      <c r="F1711" t="s">
        <v>19</v>
      </c>
      <c r="G1711" t="s">
        <v>20</v>
      </c>
      <c r="H1711">
        <v>3</v>
      </c>
      <c r="I1711">
        <v>1</v>
      </c>
      <c r="J1711">
        <v>907</v>
      </c>
      <c r="K1711" s="5">
        <v>1.4223080000000001E-2</v>
      </c>
      <c r="L1711" t="s">
        <v>38</v>
      </c>
      <c r="M1711" s="4">
        <v>376360</v>
      </c>
      <c r="N1711" s="3">
        <v>843.43989999999997</v>
      </c>
      <c r="O1711" t="s">
        <v>22</v>
      </c>
      <c r="P1711" t="s">
        <v>28</v>
      </c>
      <c r="Q1711" t="s">
        <v>24</v>
      </c>
      <c r="R1711" t="s">
        <v>48</v>
      </c>
      <c r="S1711">
        <v>6</v>
      </c>
    </row>
    <row r="1712" spans="1:19" x14ac:dyDescent="0.3">
      <c r="A1712" s="1">
        <v>43280</v>
      </c>
      <c r="B1712">
        <v>2018</v>
      </c>
      <c r="C1712" t="s">
        <v>26</v>
      </c>
      <c r="D1712" s="4">
        <v>323030</v>
      </c>
      <c r="E1712" s="2">
        <v>392000</v>
      </c>
      <c r="F1712" t="s">
        <v>19</v>
      </c>
      <c r="G1712" t="s">
        <v>20</v>
      </c>
      <c r="H1712">
        <v>3</v>
      </c>
      <c r="I1712">
        <v>3</v>
      </c>
      <c r="J1712">
        <v>1004</v>
      </c>
      <c r="K1712" s="5">
        <v>1.4223080000000001E-2</v>
      </c>
      <c r="L1712" t="s">
        <v>32</v>
      </c>
      <c r="M1712" s="4">
        <v>68970</v>
      </c>
      <c r="N1712" s="3">
        <v>390.43819999999999</v>
      </c>
      <c r="O1712" t="s">
        <v>22</v>
      </c>
      <c r="P1712" t="s">
        <v>24</v>
      </c>
      <c r="Q1712" t="s">
        <v>24</v>
      </c>
      <c r="R1712" t="s">
        <v>48</v>
      </c>
      <c r="S1712">
        <v>6</v>
      </c>
    </row>
    <row r="1713" spans="1:19" x14ac:dyDescent="0.3">
      <c r="A1713" s="1">
        <v>43281</v>
      </c>
      <c r="B1713">
        <v>2018</v>
      </c>
      <c r="C1713" t="s">
        <v>40</v>
      </c>
      <c r="D1713" s="4">
        <v>474380</v>
      </c>
      <c r="E1713" s="2">
        <v>575000</v>
      </c>
      <c r="F1713" t="s">
        <v>19</v>
      </c>
      <c r="G1713" t="s">
        <v>20</v>
      </c>
      <c r="H1713">
        <v>3</v>
      </c>
      <c r="I1713">
        <v>2</v>
      </c>
      <c r="J1713">
        <v>1050</v>
      </c>
      <c r="K1713" s="5">
        <v>1.4223080000000001E-2</v>
      </c>
      <c r="L1713" t="s">
        <v>38</v>
      </c>
      <c r="M1713" s="4">
        <v>100620</v>
      </c>
      <c r="N1713" s="3">
        <v>547.61900000000003</v>
      </c>
      <c r="O1713" t="s">
        <v>22</v>
      </c>
      <c r="P1713" t="s">
        <v>24</v>
      </c>
      <c r="Q1713" t="s">
        <v>24</v>
      </c>
      <c r="R1713" t="s">
        <v>48</v>
      </c>
      <c r="S1713">
        <v>6</v>
      </c>
    </row>
    <row r="1714" spans="1:19" x14ac:dyDescent="0.3">
      <c r="A1714" s="1">
        <v>43282</v>
      </c>
      <c r="B1714">
        <v>2018</v>
      </c>
      <c r="C1714" t="s">
        <v>26</v>
      </c>
      <c r="D1714" s="4">
        <v>213860</v>
      </c>
      <c r="E1714" s="2">
        <v>354000</v>
      </c>
      <c r="F1714" t="s">
        <v>19</v>
      </c>
      <c r="G1714" t="s">
        <v>20</v>
      </c>
      <c r="H1714">
        <v>3</v>
      </c>
      <c r="I1714">
        <v>2</v>
      </c>
      <c r="J1714">
        <v>1055</v>
      </c>
      <c r="K1714" s="5">
        <v>1.4223080000000001E-2</v>
      </c>
      <c r="L1714" t="s">
        <v>27</v>
      </c>
      <c r="M1714" s="4">
        <v>140140</v>
      </c>
      <c r="N1714" s="3">
        <v>335.54500000000002</v>
      </c>
      <c r="O1714" t="s">
        <v>22</v>
      </c>
      <c r="P1714" t="s">
        <v>24</v>
      </c>
      <c r="Q1714" t="s">
        <v>24</v>
      </c>
      <c r="R1714" t="s">
        <v>49</v>
      </c>
      <c r="S1714">
        <v>7</v>
      </c>
    </row>
    <row r="1715" spans="1:19" x14ac:dyDescent="0.3">
      <c r="A1715" s="1">
        <v>43286</v>
      </c>
      <c r="B1715">
        <v>2018</v>
      </c>
      <c r="C1715" t="s">
        <v>52</v>
      </c>
      <c r="D1715" s="4">
        <v>173460</v>
      </c>
      <c r="E1715" s="2">
        <v>150500</v>
      </c>
      <c r="F1715" t="s">
        <v>19</v>
      </c>
      <c r="G1715" t="s">
        <v>20</v>
      </c>
      <c r="H1715">
        <v>3</v>
      </c>
      <c r="I1715">
        <v>2</v>
      </c>
      <c r="J1715">
        <v>1063</v>
      </c>
      <c r="K1715" s="5">
        <v>1.4223080000000001E-2</v>
      </c>
      <c r="L1715" t="s">
        <v>32</v>
      </c>
      <c r="M1715" s="4">
        <v>-22960</v>
      </c>
      <c r="N1715" s="3">
        <v>141.5804</v>
      </c>
      <c r="O1715" t="s">
        <v>33</v>
      </c>
      <c r="P1715" t="s">
        <v>23</v>
      </c>
      <c r="Q1715" t="s">
        <v>24</v>
      </c>
      <c r="R1715" t="s">
        <v>49</v>
      </c>
      <c r="S1715">
        <v>7</v>
      </c>
    </row>
    <row r="1716" spans="1:19" x14ac:dyDescent="0.3">
      <c r="A1716" s="1">
        <v>43287</v>
      </c>
      <c r="B1716">
        <v>2018</v>
      </c>
      <c r="C1716" t="s">
        <v>18</v>
      </c>
      <c r="D1716" s="4">
        <v>86390</v>
      </c>
      <c r="E1716" s="2">
        <v>125000</v>
      </c>
      <c r="F1716" t="s">
        <v>36</v>
      </c>
      <c r="G1716" t="s">
        <v>37</v>
      </c>
      <c r="H1716">
        <v>6</v>
      </c>
      <c r="I1716">
        <v>6</v>
      </c>
      <c r="J1716">
        <v>2019</v>
      </c>
      <c r="K1716" s="5">
        <v>1.4223080000000001E-2</v>
      </c>
      <c r="L1716" t="s">
        <v>27</v>
      </c>
      <c r="M1716" s="4">
        <v>38610</v>
      </c>
      <c r="N1716" s="3">
        <v>61.911799999999999</v>
      </c>
      <c r="O1716" t="s">
        <v>22</v>
      </c>
      <c r="P1716" t="s">
        <v>23</v>
      </c>
      <c r="Q1716" t="s">
        <v>34</v>
      </c>
      <c r="R1716" t="s">
        <v>49</v>
      </c>
      <c r="S1716">
        <v>7</v>
      </c>
    </row>
    <row r="1717" spans="1:19" x14ac:dyDescent="0.3">
      <c r="A1717" s="1">
        <v>43288</v>
      </c>
      <c r="B1717">
        <v>2018</v>
      </c>
      <c r="C1717" t="s">
        <v>52</v>
      </c>
      <c r="D1717" s="4">
        <v>537600</v>
      </c>
      <c r="E1717" s="2">
        <v>910000</v>
      </c>
      <c r="F1717" t="s">
        <v>19</v>
      </c>
      <c r="G1717" t="s">
        <v>20</v>
      </c>
      <c r="H1717">
        <v>3</v>
      </c>
      <c r="I1717">
        <v>1</v>
      </c>
      <c r="J1717">
        <v>1008</v>
      </c>
      <c r="K1717" s="5">
        <v>1.4223080000000001E-2</v>
      </c>
      <c r="L1717" t="s">
        <v>21</v>
      </c>
      <c r="M1717" s="4">
        <v>372400</v>
      </c>
      <c r="N1717" s="3">
        <v>902.77779999999996</v>
      </c>
      <c r="O1717" t="s">
        <v>22</v>
      </c>
      <c r="P1717" t="s">
        <v>28</v>
      </c>
      <c r="Q1717" t="s">
        <v>24</v>
      </c>
      <c r="R1717" t="s">
        <v>49</v>
      </c>
      <c r="S1717">
        <v>7</v>
      </c>
    </row>
    <row r="1718" spans="1:19" x14ac:dyDescent="0.3">
      <c r="A1718" s="1">
        <v>43289</v>
      </c>
      <c r="B1718">
        <v>2018</v>
      </c>
      <c r="C1718" t="s">
        <v>18</v>
      </c>
      <c r="D1718" s="4">
        <v>95050</v>
      </c>
      <c r="E1718" s="2">
        <v>100000</v>
      </c>
      <c r="F1718" t="s">
        <v>19</v>
      </c>
      <c r="G1718" t="s">
        <v>20</v>
      </c>
      <c r="H1718">
        <v>3</v>
      </c>
      <c r="I1718">
        <v>3</v>
      </c>
      <c r="J1718">
        <v>1111.6589814177564</v>
      </c>
      <c r="K1718" s="5">
        <v>1.4223080000000001E-2</v>
      </c>
      <c r="L1718" t="s">
        <v>21</v>
      </c>
      <c r="M1718" s="4">
        <v>4950</v>
      </c>
      <c r="N1718" s="3">
        <v>89.955600000000004</v>
      </c>
      <c r="O1718" t="s">
        <v>22</v>
      </c>
      <c r="P1718" t="s">
        <v>23</v>
      </c>
      <c r="Q1718" t="s">
        <v>24</v>
      </c>
      <c r="R1718" t="s">
        <v>49</v>
      </c>
      <c r="S1718">
        <v>7</v>
      </c>
    </row>
    <row r="1719" spans="1:19" x14ac:dyDescent="0.3">
      <c r="A1719" s="1">
        <v>43292</v>
      </c>
      <c r="B1719">
        <v>2018</v>
      </c>
      <c r="C1719" t="s">
        <v>18</v>
      </c>
      <c r="D1719" s="4">
        <v>444584.20699999999</v>
      </c>
      <c r="E1719" s="2">
        <v>26550</v>
      </c>
      <c r="F1719" t="s">
        <v>19</v>
      </c>
      <c r="G1719" t="s">
        <v>20</v>
      </c>
      <c r="H1719">
        <v>3</v>
      </c>
      <c r="I1719">
        <v>2</v>
      </c>
      <c r="J1719">
        <v>970</v>
      </c>
      <c r="K1719" s="5">
        <v>1.4223080000000001E-2</v>
      </c>
      <c r="L1719" t="s">
        <v>38</v>
      </c>
      <c r="M1719" s="4">
        <v>-418034.20699999999</v>
      </c>
      <c r="N1719" s="3">
        <v>27.371099999999998</v>
      </c>
      <c r="O1719" t="s">
        <v>33</v>
      </c>
      <c r="P1719" t="s">
        <v>23</v>
      </c>
      <c r="Q1719" t="s">
        <v>24</v>
      </c>
      <c r="R1719" t="s">
        <v>49</v>
      </c>
      <c r="S1719">
        <v>7</v>
      </c>
    </row>
    <row r="1720" spans="1:19" x14ac:dyDescent="0.3">
      <c r="A1720" s="1">
        <v>43293</v>
      </c>
      <c r="B1720">
        <v>2018</v>
      </c>
      <c r="C1720" t="s">
        <v>52</v>
      </c>
      <c r="D1720" s="4">
        <v>278530</v>
      </c>
      <c r="E1720" s="2">
        <v>375000</v>
      </c>
      <c r="F1720" t="s">
        <v>19</v>
      </c>
      <c r="G1720" t="s">
        <v>20</v>
      </c>
      <c r="H1720">
        <v>3</v>
      </c>
      <c r="I1720">
        <v>1</v>
      </c>
      <c r="J1720">
        <v>994</v>
      </c>
      <c r="K1720" s="5">
        <v>1.4223080000000001E-2</v>
      </c>
      <c r="L1720" t="s">
        <v>21</v>
      </c>
      <c r="M1720" s="4">
        <v>96470</v>
      </c>
      <c r="N1720" s="3">
        <v>377.2636</v>
      </c>
      <c r="O1720" t="s">
        <v>22</v>
      </c>
      <c r="P1720" t="s">
        <v>24</v>
      </c>
      <c r="Q1720" t="s">
        <v>24</v>
      </c>
      <c r="R1720" t="s">
        <v>49</v>
      </c>
      <c r="S1720">
        <v>7</v>
      </c>
    </row>
    <row r="1721" spans="1:19" x14ac:dyDescent="0.3">
      <c r="A1721" s="1">
        <v>43294</v>
      </c>
      <c r="B1721">
        <v>2018</v>
      </c>
      <c r="C1721" t="s">
        <v>52</v>
      </c>
      <c r="D1721" s="4">
        <v>444584.20699999999</v>
      </c>
      <c r="E1721" s="2">
        <v>499000</v>
      </c>
      <c r="F1721" t="s">
        <v>19</v>
      </c>
      <c r="G1721" t="s">
        <v>20</v>
      </c>
      <c r="H1721">
        <v>3</v>
      </c>
      <c r="I1721">
        <v>3</v>
      </c>
      <c r="J1721">
        <v>1062</v>
      </c>
      <c r="K1721" s="5">
        <v>1.4223080000000001E-2</v>
      </c>
      <c r="L1721" t="s">
        <v>38</v>
      </c>
      <c r="M1721" s="4">
        <v>54415.792999999998</v>
      </c>
      <c r="N1721" s="3">
        <v>469.8682</v>
      </c>
      <c r="O1721" t="s">
        <v>22</v>
      </c>
      <c r="P1721" t="s">
        <v>24</v>
      </c>
      <c r="Q1721" t="s">
        <v>24</v>
      </c>
      <c r="R1721" t="s">
        <v>49</v>
      </c>
      <c r="S1721">
        <v>7</v>
      </c>
    </row>
    <row r="1722" spans="1:19" x14ac:dyDescent="0.3">
      <c r="A1722" s="1">
        <v>43295</v>
      </c>
      <c r="B1722">
        <v>2018</v>
      </c>
      <c r="C1722" t="s">
        <v>52</v>
      </c>
      <c r="D1722" s="4">
        <v>172900</v>
      </c>
      <c r="E1722" s="2">
        <v>230000</v>
      </c>
      <c r="F1722" t="s">
        <v>19</v>
      </c>
      <c r="G1722" t="s">
        <v>20</v>
      </c>
      <c r="H1722">
        <v>3</v>
      </c>
      <c r="I1722">
        <v>1</v>
      </c>
      <c r="J1722">
        <v>1049</v>
      </c>
      <c r="K1722" s="5">
        <v>1.4223080000000001E-2</v>
      </c>
      <c r="L1722" t="s">
        <v>27</v>
      </c>
      <c r="M1722" s="4">
        <v>57100</v>
      </c>
      <c r="N1722" s="3">
        <v>219.25640000000001</v>
      </c>
      <c r="O1722" t="s">
        <v>22</v>
      </c>
      <c r="P1722" t="s">
        <v>24</v>
      </c>
      <c r="Q1722" t="s">
        <v>24</v>
      </c>
      <c r="R1722" t="s">
        <v>49</v>
      </c>
      <c r="S1722">
        <v>7</v>
      </c>
    </row>
    <row r="1723" spans="1:19" x14ac:dyDescent="0.3">
      <c r="A1723" s="1">
        <v>43296</v>
      </c>
      <c r="B1723">
        <v>2018</v>
      </c>
      <c r="C1723" t="s">
        <v>18</v>
      </c>
      <c r="D1723" s="4">
        <v>62250</v>
      </c>
      <c r="E1723" s="2">
        <v>42387</v>
      </c>
      <c r="F1723" t="s">
        <v>19</v>
      </c>
      <c r="G1723" t="s">
        <v>20</v>
      </c>
      <c r="H1723">
        <v>3</v>
      </c>
      <c r="I1723">
        <v>1</v>
      </c>
      <c r="J1723">
        <v>1046</v>
      </c>
      <c r="K1723" s="5">
        <v>1.4223080000000001E-2</v>
      </c>
      <c r="L1723" t="s">
        <v>21</v>
      </c>
      <c r="M1723" s="4">
        <v>-19863</v>
      </c>
      <c r="N1723" s="3">
        <v>40.5229</v>
      </c>
      <c r="O1723" t="s">
        <v>33</v>
      </c>
      <c r="P1723" t="s">
        <v>23</v>
      </c>
      <c r="Q1723" t="s">
        <v>24</v>
      </c>
      <c r="R1723" t="s">
        <v>49</v>
      </c>
      <c r="S1723">
        <v>7</v>
      </c>
    </row>
    <row r="1724" spans="1:19" x14ac:dyDescent="0.3">
      <c r="A1724" s="1">
        <v>43299</v>
      </c>
      <c r="B1724">
        <v>2018</v>
      </c>
      <c r="C1724" t="s">
        <v>52</v>
      </c>
      <c r="D1724" s="4">
        <v>154770</v>
      </c>
      <c r="E1724" s="2">
        <v>237500</v>
      </c>
      <c r="F1724" t="s">
        <v>19</v>
      </c>
      <c r="G1724" t="s">
        <v>20</v>
      </c>
      <c r="H1724">
        <v>3</v>
      </c>
      <c r="I1724">
        <v>1</v>
      </c>
      <c r="J1724">
        <v>951</v>
      </c>
      <c r="K1724" s="5">
        <v>1.4223080000000001E-2</v>
      </c>
      <c r="L1724" t="s">
        <v>21</v>
      </c>
      <c r="M1724" s="4">
        <v>82730</v>
      </c>
      <c r="N1724" s="3">
        <v>249.7371</v>
      </c>
      <c r="O1724" t="s">
        <v>22</v>
      </c>
      <c r="P1724" t="s">
        <v>24</v>
      </c>
      <c r="Q1724" t="s">
        <v>24</v>
      </c>
      <c r="R1724" t="s">
        <v>49</v>
      </c>
      <c r="S1724">
        <v>7</v>
      </c>
    </row>
    <row r="1725" spans="1:19" x14ac:dyDescent="0.3">
      <c r="A1725" s="1">
        <v>43302</v>
      </c>
      <c r="B1725">
        <v>2018</v>
      </c>
      <c r="C1725" t="s">
        <v>52</v>
      </c>
      <c r="D1725" s="4">
        <v>56700</v>
      </c>
      <c r="E1725" s="2">
        <v>104000</v>
      </c>
      <c r="F1725" t="s">
        <v>19</v>
      </c>
      <c r="G1725" t="s">
        <v>20</v>
      </c>
      <c r="H1725">
        <v>3</v>
      </c>
      <c r="I1725">
        <v>2</v>
      </c>
      <c r="J1725">
        <v>908</v>
      </c>
      <c r="K1725" s="5">
        <v>1.4223080000000001E-2</v>
      </c>
      <c r="L1725" t="s">
        <v>27</v>
      </c>
      <c r="M1725" s="4">
        <v>47300</v>
      </c>
      <c r="N1725" s="3">
        <v>114.53740000000001</v>
      </c>
      <c r="O1725" t="s">
        <v>22</v>
      </c>
      <c r="P1725" t="s">
        <v>23</v>
      </c>
      <c r="Q1725" t="s">
        <v>24</v>
      </c>
      <c r="R1725" t="s">
        <v>49</v>
      </c>
      <c r="S1725">
        <v>7</v>
      </c>
    </row>
    <row r="1726" spans="1:19" x14ac:dyDescent="0.3">
      <c r="A1726" s="1">
        <v>43303</v>
      </c>
      <c r="B1726">
        <v>2018</v>
      </c>
      <c r="C1726" t="s">
        <v>26</v>
      </c>
      <c r="D1726" s="4">
        <v>203150</v>
      </c>
      <c r="E1726" s="2">
        <v>357000</v>
      </c>
      <c r="F1726" t="s">
        <v>19</v>
      </c>
      <c r="G1726" t="s">
        <v>20</v>
      </c>
      <c r="H1726">
        <v>3</v>
      </c>
      <c r="I1726">
        <v>2</v>
      </c>
      <c r="J1726">
        <v>999</v>
      </c>
      <c r="K1726" s="5">
        <v>1.4223080000000001E-2</v>
      </c>
      <c r="L1726" t="s">
        <v>27</v>
      </c>
      <c r="M1726" s="4">
        <v>153850</v>
      </c>
      <c r="N1726" s="3">
        <v>357.35739999999998</v>
      </c>
      <c r="O1726" t="s">
        <v>22</v>
      </c>
      <c r="P1726" t="s">
        <v>24</v>
      </c>
      <c r="Q1726" t="s">
        <v>24</v>
      </c>
      <c r="R1726" t="s">
        <v>49</v>
      </c>
      <c r="S1726">
        <v>7</v>
      </c>
    </row>
    <row r="1727" spans="1:19" x14ac:dyDescent="0.3">
      <c r="A1727" s="1">
        <v>43306</v>
      </c>
      <c r="B1727">
        <v>2018</v>
      </c>
      <c r="C1727" t="s">
        <v>52</v>
      </c>
      <c r="D1727" s="4">
        <v>218190</v>
      </c>
      <c r="E1727" s="2">
        <v>345000</v>
      </c>
      <c r="F1727" t="s">
        <v>19</v>
      </c>
      <c r="G1727" t="s">
        <v>20</v>
      </c>
      <c r="H1727">
        <v>3</v>
      </c>
      <c r="I1727">
        <v>3</v>
      </c>
      <c r="J1727">
        <v>1111.6589814177564</v>
      </c>
      <c r="K1727" s="5">
        <v>1.4223080000000001E-2</v>
      </c>
      <c r="L1727" t="s">
        <v>38</v>
      </c>
      <c r="M1727" s="4">
        <v>126810</v>
      </c>
      <c r="N1727" s="3">
        <v>310.34699999999998</v>
      </c>
      <c r="O1727" t="s">
        <v>22</v>
      </c>
      <c r="P1727" t="s">
        <v>24</v>
      </c>
      <c r="Q1727" t="s">
        <v>24</v>
      </c>
      <c r="R1727" t="s">
        <v>49</v>
      </c>
      <c r="S1727">
        <v>7</v>
      </c>
    </row>
    <row r="1728" spans="1:19" x14ac:dyDescent="0.3">
      <c r="A1728" s="1">
        <v>43308</v>
      </c>
      <c r="B1728">
        <v>2018</v>
      </c>
      <c r="C1728" t="s">
        <v>56</v>
      </c>
      <c r="D1728" s="4">
        <v>532770</v>
      </c>
      <c r="E1728" s="2">
        <v>700000</v>
      </c>
      <c r="F1728" t="s">
        <v>19</v>
      </c>
      <c r="G1728" t="s">
        <v>20</v>
      </c>
      <c r="H1728">
        <v>3</v>
      </c>
      <c r="I1728">
        <v>2</v>
      </c>
      <c r="J1728">
        <v>913</v>
      </c>
      <c r="K1728" s="5">
        <v>1.4223080000000001E-2</v>
      </c>
      <c r="L1728" t="s">
        <v>21</v>
      </c>
      <c r="M1728" s="4">
        <v>167230</v>
      </c>
      <c r="N1728" s="3">
        <v>766.70320000000004</v>
      </c>
      <c r="O1728" t="s">
        <v>22</v>
      </c>
      <c r="P1728" t="s">
        <v>28</v>
      </c>
      <c r="Q1728" t="s">
        <v>24</v>
      </c>
      <c r="R1728" t="s">
        <v>49</v>
      </c>
      <c r="S1728">
        <v>7</v>
      </c>
    </row>
    <row r="1729" spans="1:19" x14ac:dyDescent="0.3">
      <c r="A1729" s="1">
        <v>43309</v>
      </c>
      <c r="B1729">
        <v>2018</v>
      </c>
      <c r="C1729" t="s">
        <v>52</v>
      </c>
      <c r="D1729" s="4">
        <v>127960</v>
      </c>
      <c r="E1729" s="2">
        <v>160500</v>
      </c>
      <c r="F1729" t="s">
        <v>19</v>
      </c>
      <c r="G1729" t="s">
        <v>20</v>
      </c>
      <c r="H1729">
        <v>3</v>
      </c>
      <c r="I1729">
        <v>2</v>
      </c>
      <c r="J1729">
        <v>920</v>
      </c>
      <c r="K1729" s="5">
        <v>1.4223080000000001E-2</v>
      </c>
      <c r="L1729" t="s">
        <v>21</v>
      </c>
      <c r="M1729" s="4">
        <v>32540</v>
      </c>
      <c r="N1729" s="3">
        <v>174.45650000000001</v>
      </c>
      <c r="O1729" t="s">
        <v>22</v>
      </c>
      <c r="P1729" t="s">
        <v>23</v>
      </c>
      <c r="Q1729" t="s">
        <v>24</v>
      </c>
      <c r="R1729" t="s">
        <v>49</v>
      </c>
      <c r="S1729">
        <v>7</v>
      </c>
    </row>
    <row r="1730" spans="1:19" x14ac:dyDescent="0.3">
      <c r="A1730" s="1">
        <v>43310</v>
      </c>
      <c r="B1730">
        <v>2018</v>
      </c>
      <c r="C1730" t="s">
        <v>18</v>
      </c>
      <c r="D1730" s="4">
        <v>65860</v>
      </c>
      <c r="E1730" s="2">
        <v>56175</v>
      </c>
      <c r="F1730" t="s">
        <v>30</v>
      </c>
      <c r="G1730" t="s">
        <v>31</v>
      </c>
      <c r="H1730">
        <v>4</v>
      </c>
      <c r="I1730">
        <v>3</v>
      </c>
      <c r="J1730">
        <v>1344</v>
      </c>
      <c r="K1730" s="5">
        <v>1.4223080000000001E-2</v>
      </c>
      <c r="L1730" t="s">
        <v>32</v>
      </c>
      <c r="M1730" s="4">
        <v>-9685</v>
      </c>
      <c r="N1730" s="3">
        <v>41.796900000000001</v>
      </c>
      <c r="O1730" t="s">
        <v>33</v>
      </c>
      <c r="P1730" t="s">
        <v>23</v>
      </c>
      <c r="Q1730" t="s">
        <v>34</v>
      </c>
      <c r="R1730" t="s">
        <v>49</v>
      </c>
      <c r="S1730">
        <v>7</v>
      </c>
    </row>
    <row r="1731" spans="1:19" x14ac:dyDescent="0.3">
      <c r="A1731" s="1">
        <v>43313</v>
      </c>
      <c r="B1731">
        <v>2018</v>
      </c>
      <c r="C1731" t="s">
        <v>56</v>
      </c>
      <c r="D1731" s="4">
        <v>269350</v>
      </c>
      <c r="E1731" s="2">
        <v>428500</v>
      </c>
      <c r="F1731" t="s">
        <v>19</v>
      </c>
      <c r="G1731" t="s">
        <v>20</v>
      </c>
      <c r="H1731">
        <v>3</v>
      </c>
      <c r="I1731">
        <v>1</v>
      </c>
      <c r="J1731">
        <v>1015</v>
      </c>
      <c r="K1731" s="5">
        <v>1.4223080000000001E-2</v>
      </c>
      <c r="L1731" t="s">
        <v>38</v>
      </c>
      <c r="M1731" s="4">
        <v>159150</v>
      </c>
      <c r="N1731" s="3">
        <v>422.16750000000002</v>
      </c>
      <c r="O1731" t="s">
        <v>22</v>
      </c>
      <c r="P1731" t="s">
        <v>24</v>
      </c>
      <c r="Q1731" t="s">
        <v>24</v>
      </c>
      <c r="R1731" t="s">
        <v>50</v>
      </c>
      <c r="S1731">
        <v>8</v>
      </c>
    </row>
    <row r="1732" spans="1:19" x14ac:dyDescent="0.3">
      <c r="A1732" s="1">
        <v>43314</v>
      </c>
      <c r="B1732">
        <v>2018</v>
      </c>
      <c r="C1732" t="s">
        <v>18</v>
      </c>
      <c r="D1732" s="4">
        <v>113340</v>
      </c>
      <c r="E1732" s="2">
        <v>165800</v>
      </c>
      <c r="F1732" t="s">
        <v>19</v>
      </c>
      <c r="G1732" t="s">
        <v>20</v>
      </c>
      <c r="H1732">
        <v>3</v>
      </c>
      <c r="I1732">
        <v>3</v>
      </c>
      <c r="J1732">
        <v>1090</v>
      </c>
      <c r="K1732" s="5">
        <v>1.4223080000000001E-2</v>
      </c>
      <c r="L1732" t="s">
        <v>38</v>
      </c>
      <c r="M1732" s="4">
        <v>52460</v>
      </c>
      <c r="N1732" s="3">
        <v>152.11009999999999</v>
      </c>
      <c r="O1732" t="s">
        <v>22</v>
      </c>
      <c r="P1732" t="s">
        <v>23</v>
      </c>
      <c r="Q1732" t="s">
        <v>24</v>
      </c>
      <c r="R1732" t="s">
        <v>50</v>
      </c>
      <c r="S1732">
        <v>8</v>
      </c>
    </row>
    <row r="1733" spans="1:19" x14ac:dyDescent="0.3">
      <c r="A1733" s="1">
        <v>43315</v>
      </c>
      <c r="B1733">
        <v>2018</v>
      </c>
      <c r="C1733" t="s">
        <v>56</v>
      </c>
      <c r="D1733" s="4">
        <v>302360</v>
      </c>
      <c r="E1733" s="2">
        <v>538350</v>
      </c>
      <c r="F1733" t="s">
        <v>19</v>
      </c>
      <c r="G1733" t="s">
        <v>20</v>
      </c>
      <c r="H1733">
        <v>3</v>
      </c>
      <c r="I1733">
        <v>3</v>
      </c>
      <c r="J1733">
        <v>916</v>
      </c>
      <c r="K1733" s="5">
        <v>1.4223080000000001E-2</v>
      </c>
      <c r="L1733" t="s">
        <v>21</v>
      </c>
      <c r="M1733" s="4">
        <v>235990</v>
      </c>
      <c r="N1733" s="3">
        <v>587.7183</v>
      </c>
      <c r="O1733" t="s">
        <v>22</v>
      </c>
      <c r="P1733" t="s">
        <v>24</v>
      </c>
      <c r="Q1733" t="s">
        <v>24</v>
      </c>
      <c r="R1733" t="s">
        <v>50</v>
      </c>
      <c r="S1733">
        <v>8</v>
      </c>
    </row>
    <row r="1734" spans="1:19" x14ac:dyDescent="0.3">
      <c r="A1734" s="1">
        <v>43316</v>
      </c>
      <c r="B1734">
        <v>2018</v>
      </c>
      <c r="C1734" t="s">
        <v>56</v>
      </c>
      <c r="D1734" s="4">
        <v>614250</v>
      </c>
      <c r="E1734" s="2">
        <v>1065000</v>
      </c>
      <c r="F1734" t="s">
        <v>19</v>
      </c>
      <c r="G1734" t="s">
        <v>20</v>
      </c>
      <c r="H1734">
        <v>3</v>
      </c>
      <c r="I1734">
        <v>3</v>
      </c>
      <c r="J1734">
        <v>1096</v>
      </c>
      <c r="K1734" s="5">
        <v>1.4223080000000001E-2</v>
      </c>
      <c r="L1734" t="s">
        <v>38</v>
      </c>
      <c r="M1734" s="4">
        <v>450750</v>
      </c>
      <c r="N1734" s="3">
        <v>971.71529999999996</v>
      </c>
      <c r="O1734" t="s">
        <v>22</v>
      </c>
      <c r="P1734" t="s">
        <v>28</v>
      </c>
      <c r="Q1734" t="s">
        <v>24</v>
      </c>
      <c r="R1734" t="s">
        <v>50</v>
      </c>
      <c r="S1734">
        <v>8</v>
      </c>
    </row>
    <row r="1735" spans="1:19" x14ac:dyDescent="0.3">
      <c r="A1735" s="1">
        <v>43317</v>
      </c>
      <c r="B1735">
        <v>2018</v>
      </c>
      <c r="C1735" t="s">
        <v>18</v>
      </c>
      <c r="D1735" s="4">
        <v>25970</v>
      </c>
      <c r="E1735" s="2">
        <v>35000</v>
      </c>
      <c r="F1735" t="s">
        <v>36</v>
      </c>
      <c r="G1735" t="s">
        <v>37</v>
      </c>
      <c r="H1735">
        <v>6</v>
      </c>
      <c r="I1735">
        <v>6</v>
      </c>
      <c r="J1735">
        <v>1830</v>
      </c>
      <c r="K1735" s="5">
        <v>1.4223080000000001E-2</v>
      </c>
      <c r="L1735" t="s">
        <v>21</v>
      </c>
      <c r="M1735" s="4">
        <v>9030</v>
      </c>
      <c r="N1735" s="3">
        <v>19.125699999999998</v>
      </c>
      <c r="O1735" t="s">
        <v>22</v>
      </c>
      <c r="P1735" t="s">
        <v>23</v>
      </c>
      <c r="Q1735" t="s">
        <v>34</v>
      </c>
      <c r="R1735" t="s">
        <v>50</v>
      </c>
      <c r="S1735">
        <v>8</v>
      </c>
    </row>
    <row r="1736" spans="1:19" x14ac:dyDescent="0.3">
      <c r="A1736" s="1">
        <v>43320</v>
      </c>
      <c r="B1736">
        <v>2018</v>
      </c>
      <c r="C1736" t="s">
        <v>56</v>
      </c>
      <c r="D1736" s="4">
        <v>310610</v>
      </c>
      <c r="E1736" s="2">
        <v>456000</v>
      </c>
      <c r="F1736" t="s">
        <v>19</v>
      </c>
      <c r="G1736" t="s">
        <v>20</v>
      </c>
      <c r="H1736">
        <v>3</v>
      </c>
      <c r="I1736">
        <v>1</v>
      </c>
      <c r="J1736">
        <v>1092</v>
      </c>
      <c r="K1736" s="5">
        <v>1.4223080000000001E-2</v>
      </c>
      <c r="L1736" t="s">
        <v>21</v>
      </c>
      <c r="M1736" s="4">
        <v>145390</v>
      </c>
      <c r="N1736" s="3">
        <v>417.58240000000001</v>
      </c>
      <c r="O1736" t="s">
        <v>22</v>
      </c>
      <c r="P1736" t="s">
        <v>24</v>
      </c>
      <c r="Q1736" t="s">
        <v>24</v>
      </c>
      <c r="R1736" t="s">
        <v>50</v>
      </c>
      <c r="S1736">
        <v>8</v>
      </c>
    </row>
    <row r="1737" spans="1:19" x14ac:dyDescent="0.3">
      <c r="A1737" s="1">
        <v>43321</v>
      </c>
      <c r="B1737">
        <v>2018</v>
      </c>
      <c r="C1737" t="s">
        <v>56</v>
      </c>
      <c r="D1737" s="4">
        <v>1547280</v>
      </c>
      <c r="E1737" s="2">
        <v>2100000</v>
      </c>
      <c r="F1737" t="s">
        <v>19</v>
      </c>
      <c r="G1737" t="s">
        <v>20</v>
      </c>
      <c r="H1737">
        <v>3</v>
      </c>
      <c r="I1737">
        <v>3</v>
      </c>
      <c r="J1737">
        <v>1024</v>
      </c>
      <c r="K1737" s="5">
        <v>1.4223080000000001E-2</v>
      </c>
      <c r="L1737" t="s">
        <v>38</v>
      </c>
      <c r="M1737" s="4">
        <v>552720</v>
      </c>
      <c r="N1737" s="3">
        <v>2050.7811999999999</v>
      </c>
      <c r="O1737" t="s">
        <v>22</v>
      </c>
      <c r="P1737" t="s">
        <v>28</v>
      </c>
      <c r="Q1737" t="s">
        <v>24</v>
      </c>
      <c r="R1737" t="s">
        <v>50</v>
      </c>
      <c r="S1737">
        <v>8</v>
      </c>
    </row>
    <row r="1738" spans="1:19" x14ac:dyDescent="0.3">
      <c r="A1738" s="1">
        <v>43322</v>
      </c>
      <c r="B1738">
        <v>2018</v>
      </c>
      <c r="C1738" t="s">
        <v>26</v>
      </c>
      <c r="D1738" s="4">
        <v>350960</v>
      </c>
      <c r="E1738" s="2">
        <v>855000</v>
      </c>
      <c r="F1738" t="s">
        <v>19</v>
      </c>
      <c r="G1738" t="s">
        <v>20</v>
      </c>
      <c r="H1738">
        <v>3</v>
      </c>
      <c r="I1738">
        <v>3</v>
      </c>
      <c r="J1738">
        <v>904</v>
      </c>
      <c r="K1738" s="5">
        <v>1.4223080000000001E-2</v>
      </c>
      <c r="L1738" t="s">
        <v>27</v>
      </c>
      <c r="M1738" s="4">
        <v>504040</v>
      </c>
      <c r="N1738" s="3">
        <v>945.79650000000004</v>
      </c>
      <c r="O1738" t="s">
        <v>22</v>
      </c>
      <c r="P1738" t="s">
        <v>28</v>
      </c>
      <c r="Q1738" t="s">
        <v>24</v>
      </c>
      <c r="R1738" t="s">
        <v>50</v>
      </c>
      <c r="S1738">
        <v>8</v>
      </c>
    </row>
    <row r="1739" spans="1:19" x14ac:dyDescent="0.3">
      <c r="A1739" s="1">
        <v>43328</v>
      </c>
      <c r="B1739">
        <v>2018</v>
      </c>
      <c r="C1739" t="s">
        <v>18</v>
      </c>
      <c r="D1739" s="4">
        <v>94430</v>
      </c>
      <c r="E1739" s="2">
        <v>160000</v>
      </c>
      <c r="F1739" t="s">
        <v>42</v>
      </c>
      <c r="G1739" t="s">
        <v>43</v>
      </c>
      <c r="H1739">
        <v>8</v>
      </c>
      <c r="I1739">
        <v>8</v>
      </c>
      <c r="J1739">
        <v>2472</v>
      </c>
      <c r="K1739" s="5">
        <v>1.4223080000000001E-2</v>
      </c>
      <c r="L1739" t="s">
        <v>38</v>
      </c>
      <c r="M1739" s="4">
        <v>65570</v>
      </c>
      <c r="N1739" s="3">
        <v>64.724900000000005</v>
      </c>
      <c r="O1739" t="s">
        <v>22</v>
      </c>
      <c r="P1739" t="s">
        <v>23</v>
      </c>
      <c r="Q1739" t="s">
        <v>34</v>
      </c>
      <c r="R1739" t="s">
        <v>50</v>
      </c>
      <c r="S1739">
        <v>8</v>
      </c>
    </row>
    <row r="1740" spans="1:19" x14ac:dyDescent="0.3">
      <c r="A1740" s="1">
        <v>43329</v>
      </c>
      <c r="B1740">
        <v>2018</v>
      </c>
      <c r="C1740" t="s">
        <v>18</v>
      </c>
      <c r="D1740" s="4">
        <v>74490</v>
      </c>
      <c r="E1740" s="2">
        <v>31500</v>
      </c>
      <c r="F1740" t="s">
        <v>19</v>
      </c>
      <c r="G1740" t="s">
        <v>20</v>
      </c>
      <c r="H1740">
        <v>3</v>
      </c>
      <c r="I1740">
        <v>2</v>
      </c>
      <c r="J1740">
        <v>1024</v>
      </c>
      <c r="K1740" s="5">
        <v>1.4223080000000001E-2</v>
      </c>
      <c r="L1740" t="s">
        <v>21</v>
      </c>
      <c r="M1740" s="4">
        <v>-42990</v>
      </c>
      <c r="N1740" s="3">
        <v>30.761700000000001</v>
      </c>
      <c r="O1740" t="s">
        <v>33</v>
      </c>
      <c r="P1740" t="s">
        <v>23</v>
      </c>
      <c r="Q1740" t="s">
        <v>24</v>
      </c>
      <c r="R1740" t="s">
        <v>50</v>
      </c>
      <c r="S1740">
        <v>8</v>
      </c>
    </row>
    <row r="1741" spans="1:19" x14ac:dyDescent="0.3">
      <c r="A1741" s="1">
        <v>43330</v>
      </c>
      <c r="B1741">
        <v>2018</v>
      </c>
      <c r="C1741" t="s">
        <v>18</v>
      </c>
      <c r="D1741" s="4">
        <v>75760</v>
      </c>
      <c r="E1741" s="2">
        <v>55000</v>
      </c>
      <c r="F1741" t="s">
        <v>19</v>
      </c>
      <c r="G1741" t="s">
        <v>20</v>
      </c>
      <c r="H1741">
        <v>3</v>
      </c>
      <c r="I1741">
        <v>2</v>
      </c>
      <c r="J1741">
        <v>1096</v>
      </c>
      <c r="K1741" s="5">
        <v>1.4223080000000001E-2</v>
      </c>
      <c r="L1741" t="s">
        <v>21</v>
      </c>
      <c r="M1741" s="4">
        <v>-20760</v>
      </c>
      <c r="N1741" s="3">
        <v>50.182499999999997</v>
      </c>
      <c r="O1741" t="s">
        <v>33</v>
      </c>
      <c r="P1741" t="s">
        <v>23</v>
      </c>
      <c r="Q1741" t="s">
        <v>24</v>
      </c>
      <c r="R1741" t="s">
        <v>50</v>
      </c>
      <c r="S1741">
        <v>8</v>
      </c>
    </row>
    <row r="1742" spans="1:19" x14ac:dyDescent="0.3">
      <c r="A1742" s="1">
        <v>43334</v>
      </c>
      <c r="B1742">
        <v>2018</v>
      </c>
      <c r="C1742" t="s">
        <v>52</v>
      </c>
      <c r="D1742" s="4">
        <v>236040</v>
      </c>
      <c r="E1742" s="2">
        <v>385000</v>
      </c>
      <c r="F1742" t="s">
        <v>19</v>
      </c>
      <c r="G1742" t="s">
        <v>20</v>
      </c>
      <c r="H1742">
        <v>3</v>
      </c>
      <c r="I1742">
        <v>1</v>
      </c>
      <c r="J1742">
        <v>1111.6589814177564</v>
      </c>
      <c r="K1742" s="5">
        <v>1.4223080000000001E-2</v>
      </c>
      <c r="L1742" t="s">
        <v>27</v>
      </c>
      <c r="M1742" s="4">
        <v>148960</v>
      </c>
      <c r="N1742" s="3">
        <v>346.32920000000001</v>
      </c>
      <c r="O1742" t="s">
        <v>22</v>
      </c>
      <c r="P1742" t="s">
        <v>24</v>
      </c>
      <c r="Q1742" t="s">
        <v>24</v>
      </c>
      <c r="R1742" t="s">
        <v>50</v>
      </c>
      <c r="S1742">
        <v>8</v>
      </c>
    </row>
    <row r="1743" spans="1:19" x14ac:dyDescent="0.3">
      <c r="A1743" s="1">
        <v>43335</v>
      </c>
      <c r="B1743">
        <v>2018</v>
      </c>
      <c r="C1743" t="s">
        <v>52</v>
      </c>
      <c r="D1743" s="4">
        <v>159740</v>
      </c>
      <c r="E1743" s="2">
        <v>282000</v>
      </c>
      <c r="F1743" t="s">
        <v>19</v>
      </c>
      <c r="G1743" t="s">
        <v>20</v>
      </c>
      <c r="H1743">
        <v>3</v>
      </c>
      <c r="I1743">
        <v>3</v>
      </c>
      <c r="J1743">
        <v>973</v>
      </c>
      <c r="K1743" s="5">
        <v>1.4223080000000001E-2</v>
      </c>
      <c r="L1743" t="s">
        <v>27</v>
      </c>
      <c r="M1743" s="4">
        <v>122260</v>
      </c>
      <c r="N1743" s="3">
        <v>289.82530000000003</v>
      </c>
      <c r="O1743" t="s">
        <v>22</v>
      </c>
      <c r="P1743" t="s">
        <v>24</v>
      </c>
      <c r="Q1743" t="s">
        <v>24</v>
      </c>
      <c r="R1743" t="s">
        <v>50</v>
      </c>
      <c r="S1743">
        <v>8</v>
      </c>
    </row>
    <row r="1744" spans="1:19" x14ac:dyDescent="0.3">
      <c r="A1744" s="1">
        <v>43336</v>
      </c>
      <c r="B1744">
        <v>2018</v>
      </c>
      <c r="C1744" t="s">
        <v>52</v>
      </c>
      <c r="D1744" s="4">
        <v>444584.20699999999</v>
      </c>
      <c r="E1744" s="2">
        <v>290000</v>
      </c>
      <c r="F1744" t="s">
        <v>19</v>
      </c>
      <c r="G1744" t="s">
        <v>20</v>
      </c>
      <c r="H1744">
        <v>3</v>
      </c>
      <c r="I1744">
        <v>2</v>
      </c>
      <c r="J1744">
        <v>995</v>
      </c>
      <c r="K1744" s="5">
        <v>1.4223080000000001E-2</v>
      </c>
      <c r="L1744" t="s">
        <v>38</v>
      </c>
      <c r="M1744" s="4">
        <v>-154584.20699999999</v>
      </c>
      <c r="N1744" s="3">
        <v>291.45729999999998</v>
      </c>
      <c r="O1744" t="s">
        <v>33</v>
      </c>
      <c r="P1744" t="s">
        <v>24</v>
      </c>
      <c r="Q1744" t="s">
        <v>24</v>
      </c>
      <c r="R1744" t="s">
        <v>50</v>
      </c>
      <c r="S1744">
        <v>8</v>
      </c>
    </row>
    <row r="1745" spans="1:19" x14ac:dyDescent="0.3">
      <c r="A1745" s="1">
        <v>43337</v>
      </c>
      <c r="B1745">
        <v>2018</v>
      </c>
      <c r="C1745" t="s">
        <v>18</v>
      </c>
      <c r="D1745" s="4">
        <v>64140</v>
      </c>
      <c r="E1745" s="2">
        <v>50500</v>
      </c>
      <c r="F1745" t="s">
        <v>19</v>
      </c>
      <c r="G1745" t="s">
        <v>20</v>
      </c>
      <c r="H1745">
        <v>3</v>
      </c>
      <c r="I1745">
        <v>1</v>
      </c>
      <c r="J1745">
        <v>1096</v>
      </c>
      <c r="K1745" s="5">
        <v>1.4223080000000001E-2</v>
      </c>
      <c r="L1745" t="s">
        <v>27</v>
      </c>
      <c r="M1745" s="4">
        <v>-13640</v>
      </c>
      <c r="N1745" s="3">
        <v>46.076599999999999</v>
      </c>
      <c r="O1745" t="s">
        <v>33</v>
      </c>
      <c r="P1745" t="s">
        <v>23</v>
      </c>
      <c r="Q1745" t="s">
        <v>24</v>
      </c>
      <c r="R1745" t="s">
        <v>50</v>
      </c>
      <c r="S1745">
        <v>8</v>
      </c>
    </row>
    <row r="1746" spans="1:19" x14ac:dyDescent="0.3">
      <c r="A1746" s="1">
        <v>43338</v>
      </c>
      <c r="B1746">
        <v>2018</v>
      </c>
      <c r="C1746" t="s">
        <v>18</v>
      </c>
      <c r="D1746" s="4">
        <v>62720</v>
      </c>
      <c r="E1746" s="2">
        <v>45000</v>
      </c>
      <c r="F1746" t="s">
        <v>36</v>
      </c>
      <c r="G1746" t="s">
        <v>37</v>
      </c>
      <c r="H1746">
        <v>6</v>
      </c>
      <c r="I1746">
        <v>5</v>
      </c>
      <c r="J1746">
        <v>2027</v>
      </c>
      <c r="K1746" s="5">
        <v>1.4223080000000001E-2</v>
      </c>
      <c r="L1746" t="s">
        <v>38</v>
      </c>
      <c r="M1746" s="4">
        <v>-17720</v>
      </c>
      <c r="N1746" s="3">
        <v>22.200299999999999</v>
      </c>
      <c r="O1746" t="s">
        <v>33</v>
      </c>
      <c r="P1746" t="s">
        <v>23</v>
      </c>
      <c r="Q1746" t="s">
        <v>34</v>
      </c>
      <c r="R1746" t="s">
        <v>50</v>
      </c>
      <c r="S1746">
        <v>8</v>
      </c>
    </row>
    <row r="1747" spans="1:19" x14ac:dyDescent="0.3">
      <c r="A1747" s="1">
        <v>43341</v>
      </c>
      <c r="B1747">
        <v>2018</v>
      </c>
      <c r="C1747" t="s">
        <v>52</v>
      </c>
      <c r="D1747" s="4">
        <v>224420</v>
      </c>
      <c r="E1747" s="2">
        <v>335000</v>
      </c>
      <c r="F1747" t="s">
        <v>19</v>
      </c>
      <c r="G1747" t="s">
        <v>20</v>
      </c>
      <c r="H1747">
        <v>3</v>
      </c>
      <c r="I1747">
        <v>1</v>
      </c>
      <c r="J1747">
        <v>1036</v>
      </c>
      <c r="K1747" s="5">
        <v>1.4223080000000001E-2</v>
      </c>
      <c r="L1747" t="s">
        <v>38</v>
      </c>
      <c r="M1747" s="4">
        <v>110580</v>
      </c>
      <c r="N1747" s="3">
        <v>323.35910000000001</v>
      </c>
      <c r="O1747" t="s">
        <v>22</v>
      </c>
      <c r="P1747" t="s">
        <v>24</v>
      </c>
      <c r="Q1747" t="s">
        <v>24</v>
      </c>
      <c r="R1747" t="s">
        <v>50</v>
      </c>
      <c r="S1747">
        <v>8</v>
      </c>
    </row>
    <row r="1748" spans="1:19" x14ac:dyDescent="0.3">
      <c r="A1748" s="1">
        <v>43342</v>
      </c>
      <c r="B1748">
        <v>2018</v>
      </c>
      <c r="C1748" t="s">
        <v>56</v>
      </c>
      <c r="D1748" s="4">
        <v>232750</v>
      </c>
      <c r="E1748" s="2">
        <v>380000</v>
      </c>
      <c r="F1748" t="s">
        <v>19</v>
      </c>
      <c r="G1748" t="s">
        <v>20</v>
      </c>
      <c r="H1748">
        <v>3</v>
      </c>
      <c r="I1748">
        <v>1</v>
      </c>
      <c r="J1748">
        <v>1067</v>
      </c>
      <c r="K1748" s="5">
        <v>1.4223080000000001E-2</v>
      </c>
      <c r="L1748" t="s">
        <v>38</v>
      </c>
      <c r="M1748" s="4">
        <v>147250</v>
      </c>
      <c r="N1748" s="3">
        <v>356.13869999999997</v>
      </c>
      <c r="O1748" t="s">
        <v>22</v>
      </c>
      <c r="P1748" t="s">
        <v>24</v>
      </c>
      <c r="Q1748" t="s">
        <v>24</v>
      </c>
      <c r="R1748" t="s">
        <v>50</v>
      </c>
      <c r="S1748">
        <v>8</v>
      </c>
    </row>
    <row r="1749" spans="1:19" x14ac:dyDescent="0.3">
      <c r="A1749" s="1">
        <v>43343</v>
      </c>
      <c r="B1749">
        <v>2018</v>
      </c>
      <c r="C1749" t="s">
        <v>18</v>
      </c>
      <c r="D1749" s="4">
        <v>71400</v>
      </c>
      <c r="E1749" s="2">
        <v>81600</v>
      </c>
      <c r="F1749" t="s">
        <v>19</v>
      </c>
      <c r="G1749" t="s">
        <v>20</v>
      </c>
      <c r="H1749">
        <v>3</v>
      </c>
      <c r="I1749">
        <v>3</v>
      </c>
      <c r="J1749">
        <v>923</v>
      </c>
      <c r="K1749" s="5">
        <v>1.4223080000000001E-2</v>
      </c>
      <c r="L1749" t="s">
        <v>32</v>
      </c>
      <c r="M1749" s="4">
        <v>10200</v>
      </c>
      <c r="N1749" s="3">
        <v>88.407399999999996</v>
      </c>
      <c r="O1749" t="s">
        <v>22</v>
      </c>
      <c r="P1749" t="s">
        <v>23</v>
      </c>
      <c r="Q1749" t="s">
        <v>24</v>
      </c>
      <c r="R1749" t="s">
        <v>50</v>
      </c>
      <c r="S1749">
        <v>8</v>
      </c>
    </row>
    <row r="1750" spans="1:19" x14ac:dyDescent="0.3">
      <c r="A1750" s="1">
        <v>43344</v>
      </c>
      <c r="B1750">
        <v>2018</v>
      </c>
      <c r="C1750" t="s">
        <v>18</v>
      </c>
      <c r="D1750" s="4">
        <v>110510</v>
      </c>
      <c r="E1750" s="2">
        <v>50350</v>
      </c>
      <c r="F1750" t="s">
        <v>19</v>
      </c>
      <c r="G1750" t="s">
        <v>20</v>
      </c>
      <c r="H1750">
        <v>3</v>
      </c>
      <c r="I1750">
        <v>3</v>
      </c>
      <c r="J1750">
        <v>938</v>
      </c>
      <c r="K1750" s="5">
        <v>1.4223080000000001E-2</v>
      </c>
      <c r="L1750" t="s">
        <v>21</v>
      </c>
      <c r="M1750" s="4">
        <v>-60160</v>
      </c>
      <c r="N1750" s="3">
        <v>53.677999999999997</v>
      </c>
      <c r="O1750" t="s">
        <v>33</v>
      </c>
      <c r="P1750" t="s">
        <v>23</v>
      </c>
      <c r="Q1750" t="s">
        <v>24</v>
      </c>
      <c r="R1750" t="s">
        <v>51</v>
      </c>
      <c r="S1750">
        <v>9</v>
      </c>
    </row>
    <row r="1751" spans="1:19" x14ac:dyDescent="0.3">
      <c r="A1751" s="1">
        <v>43345</v>
      </c>
      <c r="B1751">
        <v>2018</v>
      </c>
      <c r="C1751" t="s">
        <v>52</v>
      </c>
      <c r="D1751" s="4">
        <v>502250</v>
      </c>
      <c r="E1751" s="2">
        <v>686000</v>
      </c>
      <c r="F1751" t="s">
        <v>19</v>
      </c>
      <c r="G1751" t="s">
        <v>20</v>
      </c>
      <c r="H1751">
        <v>3</v>
      </c>
      <c r="I1751">
        <v>1</v>
      </c>
      <c r="J1751">
        <v>954</v>
      </c>
      <c r="K1751" s="5">
        <v>1.4223080000000001E-2</v>
      </c>
      <c r="L1751" t="s">
        <v>21</v>
      </c>
      <c r="M1751" s="4">
        <v>183750</v>
      </c>
      <c r="N1751" s="3">
        <v>719.07759999999996</v>
      </c>
      <c r="O1751" t="s">
        <v>22</v>
      </c>
      <c r="P1751" t="s">
        <v>28</v>
      </c>
      <c r="Q1751" t="s">
        <v>24</v>
      </c>
      <c r="R1751" t="s">
        <v>51</v>
      </c>
      <c r="S1751">
        <v>9</v>
      </c>
    </row>
    <row r="1752" spans="1:19" x14ac:dyDescent="0.3">
      <c r="A1752" s="1">
        <v>43349</v>
      </c>
      <c r="B1752">
        <v>2018</v>
      </c>
      <c r="C1752" t="s">
        <v>56</v>
      </c>
      <c r="D1752" s="4">
        <v>191860</v>
      </c>
      <c r="E1752" s="2">
        <v>316000</v>
      </c>
      <c r="F1752" t="s">
        <v>19</v>
      </c>
      <c r="G1752" t="s">
        <v>20</v>
      </c>
      <c r="H1752">
        <v>3</v>
      </c>
      <c r="I1752">
        <v>3</v>
      </c>
      <c r="J1752">
        <v>1077</v>
      </c>
      <c r="K1752" s="5">
        <v>1.4223080000000001E-2</v>
      </c>
      <c r="L1752" t="s">
        <v>27</v>
      </c>
      <c r="M1752" s="4">
        <v>124140</v>
      </c>
      <c r="N1752" s="3">
        <v>293.4076</v>
      </c>
      <c r="O1752" t="s">
        <v>22</v>
      </c>
      <c r="P1752" t="s">
        <v>24</v>
      </c>
      <c r="Q1752" t="s">
        <v>24</v>
      </c>
      <c r="R1752" t="s">
        <v>51</v>
      </c>
      <c r="S1752">
        <v>9</v>
      </c>
    </row>
    <row r="1753" spans="1:19" x14ac:dyDescent="0.3">
      <c r="A1753" s="1">
        <v>43351</v>
      </c>
      <c r="B1753">
        <v>2018</v>
      </c>
      <c r="C1753" t="s">
        <v>18</v>
      </c>
      <c r="D1753" s="4">
        <v>444584.20699999999</v>
      </c>
      <c r="E1753" s="2">
        <v>54000</v>
      </c>
      <c r="F1753" t="s">
        <v>19</v>
      </c>
      <c r="G1753" t="s">
        <v>20</v>
      </c>
      <c r="H1753">
        <v>3</v>
      </c>
      <c r="I1753">
        <v>1</v>
      </c>
      <c r="J1753">
        <v>1111.6589814177564</v>
      </c>
      <c r="K1753" s="5">
        <v>1.4223080000000001E-2</v>
      </c>
      <c r="L1753" t="s">
        <v>27</v>
      </c>
      <c r="M1753" s="4">
        <v>-390584.20699999999</v>
      </c>
      <c r="N1753" s="3">
        <v>48.576000000000001</v>
      </c>
      <c r="O1753" t="s">
        <v>33</v>
      </c>
      <c r="P1753" t="s">
        <v>23</v>
      </c>
      <c r="Q1753" t="s">
        <v>24</v>
      </c>
      <c r="R1753" t="s">
        <v>51</v>
      </c>
      <c r="S1753">
        <v>9</v>
      </c>
    </row>
    <row r="1754" spans="1:19" x14ac:dyDescent="0.3">
      <c r="A1754" s="1">
        <v>43352</v>
      </c>
      <c r="B1754">
        <v>2018</v>
      </c>
      <c r="C1754" t="s">
        <v>18</v>
      </c>
      <c r="D1754" s="4">
        <v>59800</v>
      </c>
      <c r="E1754" s="2">
        <v>132500</v>
      </c>
      <c r="F1754" t="s">
        <v>19</v>
      </c>
      <c r="G1754" t="s">
        <v>20</v>
      </c>
      <c r="H1754">
        <v>3</v>
      </c>
      <c r="I1754">
        <v>2</v>
      </c>
      <c r="J1754">
        <v>1111.6589814177564</v>
      </c>
      <c r="K1754" s="5">
        <v>1.4223080000000001E-2</v>
      </c>
      <c r="L1754" t="s">
        <v>21</v>
      </c>
      <c r="M1754" s="4">
        <v>72700</v>
      </c>
      <c r="N1754" s="3">
        <v>119.19119999999999</v>
      </c>
      <c r="O1754" t="s">
        <v>22</v>
      </c>
      <c r="P1754" t="s">
        <v>23</v>
      </c>
      <c r="Q1754" t="s">
        <v>24</v>
      </c>
      <c r="R1754" t="s">
        <v>51</v>
      </c>
      <c r="S1754">
        <v>9</v>
      </c>
    </row>
    <row r="1755" spans="1:19" x14ac:dyDescent="0.3">
      <c r="A1755" s="1">
        <v>43355</v>
      </c>
      <c r="B1755">
        <v>2018</v>
      </c>
      <c r="C1755" t="s">
        <v>52</v>
      </c>
      <c r="D1755" s="4">
        <v>202230</v>
      </c>
      <c r="E1755" s="2">
        <v>445000</v>
      </c>
      <c r="F1755" t="s">
        <v>19</v>
      </c>
      <c r="G1755" t="s">
        <v>20</v>
      </c>
      <c r="H1755">
        <v>3</v>
      </c>
      <c r="I1755">
        <v>2</v>
      </c>
      <c r="J1755">
        <v>921</v>
      </c>
      <c r="K1755" s="5">
        <v>1.4223080000000001E-2</v>
      </c>
      <c r="L1755" t="s">
        <v>21</v>
      </c>
      <c r="M1755" s="4">
        <v>242770</v>
      </c>
      <c r="N1755" s="3">
        <v>483.1705</v>
      </c>
      <c r="O1755" t="s">
        <v>22</v>
      </c>
      <c r="P1755" t="s">
        <v>24</v>
      </c>
      <c r="Q1755" t="s">
        <v>24</v>
      </c>
      <c r="R1755" t="s">
        <v>51</v>
      </c>
      <c r="S1755">
        <v>9</v>
      </c>
    </row>
    <row r="1756" spans="1:19" x14ac:dyDescent="0.3">
      <c r="A1756" s="1">
        <v>43359</v>
      </c>
      <c r="B1756">
        <v>2018</v>
      </c>
      <c r="C1756" t="s">
        <v>18</v>
      </c>
      <c r="D1756" s="4">
        <v>444584.20699999999</v>
      </c>
      <c r="E1756" s="2">
        <v>125000</v>
      </c>
      <c r="F1756" t="s">
        <v>19</v>
      </c>
      <c r="G1756" t="s">
        <v>20</v>
      </c>
      <c r="H1756">
        <v>3</v>
      </c>
      <c r="I1756">
        <v>1</v>
      </c>
      <c r="J1756">
        <v>919</v>
      </c>
      <c r="K1756" s="5">
        <v>1.4223080000000001E-2</v>
      </c>
      <c r="L1756" t="s">
        <v>38</v>
      </c>
      <c r="M1756" s="4">
        <v>-319584.20699999999</v>
      </c>
      <c r="N1756" s="3">
        <v>136.01740000000001</v>
      </c>
      <c r="O1756" t="s">
        <v>33</v>
      </c>
      <c r="P1756" t="s">
        <v>23</v>
      </c>
      <c r="Q1756" t="s">
        <v>24</v>
      </c>
      <c r="R1756" t="s">
        <v>51</v>
      </c>
      <c r="S1756">
        <v>9</v>
      </c>
    </row>
    <row r="1757" spans="1:19" x14ac:dyDescent="0.3">
      <c r="A1757" s="1">
        <v>43362</v>
      </c>
      <c r="B1757">
        <v>2018</v>
      </c>
      <c r="C1757" t="s">
        <v>40</v>
      </c>
      <c r="D1757" s="4">
        <v>95610</v>
      </c>
      <c r="E1757" s="2">
        <v>134900</v>
      </c>
      <c r="F1757" t="s">
        <v>19</v>
      </c>
      <c r="G1757" t="s">
        <v>20</v>
      </c>
      <c r="H1757">
        <v>3</v>
      </c>
      <c r="I1757">
        <v>2</v>
      </c>
      <c r="J1757">
        <v>1033</v>
      </c>
      <c r="K1757" s="5">
        <v>1.4223080000000001E-2</v>
      </c>
      <c r="L1757" t="s">
        <v>21</v>
      </c>
      <c r="M1757" s="4">
        <v>39290</v>
      </c>
      <c r="N1757" s="3">
        <v>130.59049999999999</v>
      </c>
      <c r="O1757" t="s">
        <v>22</v>
      </c>
      <c r="P1757" t="s">
        <v>23</v>
      </c>
      <c r="Q1757" t="s">
        <v>24</v>
      </c>
      <c r="R1757" t="s">
        <v>51</v>
      </c>
      <c r="S1757">
        <v>9</v>
      </c>
    </row>
    <row r="1758" spans="1:19" x14ac:dyDescent="0.3">
      <c r="A1758" s="1">
        <v>43363</v>
      </c>
      <c r="B1758">
        <v>2018</v>
      </c>
      <c r="C1758" t="s">
        <v>52</v>
      </c>
      <c r="D1758" s="4">
        <v>444584.20699999999</v>
      </c>
      <c r="E1758" s="2">
        <v>207000</v>
      </c>
      <c r="F1758" t="s">
        <v>19</v>
      </c>
      <c r="G1758" t="s">
        <v>20</v>
      </c>
      <c r="H1758">
        <v>3</v>
      </c>
      <c r="I1758">
        <v>3</v>
      </c>
      <c r="J1758">
        <v>951</v>
      </c>
      <c r="K1758" s="5">
        <v>1.4223080000000001E-2</v>
      </c>
      <c r="L1758" t="s">
        <v>21</v>
      </c>
      <c r="M1758" s="4">
        <v>-237584.20699999999</v>
      </c>
      <c r="N1758" s="3">
        <v>217.66560000000001</v>
      </c>
      <c r="O1758" t="s">
        <v>33</v>
      </c>
      <c r="P1758" t="s">
        <v>24</v>
      </c>
      <c r="Q1758" t="s">
        <v>24</v>
      </c>
      <c r="R1758" t="s">
        <v>51</v>
      </c>
      <c r="S1758">
        <v>9</v>
      </c>
    </row>
    <row r="1759" spans="1:19" x14ac:dyDescent="0.3">
      <c r="A1759" s="1">
        <v>43364</v>
      </c>
      <c r="B1759">
        <v>2018</v>
      </c>
      <c r="C1759" t="s">
        <v>18</v>
      </c>
      <c r="D1759" s="4">
        <v>37670</v>
      </c>
      <c r="E1759" s="2">
        <v>30000</v>
      </c>
      <c r="F1759" t="s">
        <v>19</v>
      </c>
      <c r="G1759" t="s">
        <v>20</v>
      </c>
      <c r="H1759">
        <v>3</v>
      </c>
      <c r="I1759">
        <v>2</v>
      </c>
      <c r="J1759">
        <v>1064</v>
      </c>
      <c r="K1759" s="5">
        <v>1.4223080000000001E-2</v>
      </c>
      <c r="L1759" t="s">
        <v>32</v>
      </c>
      <c r="M1759" s="4">
        <v>-7670</v>
      </c>
      <c r="N1759" s="3">
        <v>28.195499999999999</v>
      </c>
      <c r="O1759" t="s">
        <v>33</v>
      </c>
      <c r="P1759" t="s">
        <v>23</v>
      </c>
      <c r="Q1759" t="s">
        <v>24</v>
      </c>
      <c r="R1759" t="s">
        <v>51</v>
      </c>
      <c r="S1759">
        <v>9</v>
      </c>
    </row>
    <row r="1760" spans="1:19" x14ac:dyDescent="0.3">
      <c r="A1760" s="1">
        <v>43366</v>
      </c>
      <c r="B1760">
        <v>2018</v>
      </c>
      <c r="C1760" t="s">
        <v>18</v>
      </c>
      <c r="D1760" s="4">
        <v>95520</v>
      </c>
      <c r="E1760" s="2">
        <v>236000</v>
      </c>
      <c r="F1760" t="s">
        <v>30</v>
      </c>
      <c r="G1760" t="s">
        <v>31</v>
      </c>
      <c r="H1760">
        <v>4</v>
      </c>
      <c r="I1760">
        <v>4</v>
      </c>
      <c r="J1760">
        <v>1215</v>
      </c>
      <c r="K1760" s="5">
        <v>1.4223080000000001E-2</v>
      </c>
      <c r="L1760" t="s">
        <v>32</v>
      </c>
      <c r="M1760" s="4">
        <v>140480</v>
      </c>
      <c r="N1760" s="3">
        <v>194.23869999999999</v>
      </c>
      <c r="O1760" t="s">
        <v>22</v>
      </c>
      <c r="P1760" t="s">
        <v>24</v>
      </c>
      <c r="Q1760" t="s">
        <v>24</v>
      </c>
      <c r="R1760" t="s">
        <v>51</v>
      </c>
      <c r="S1760">
        <v>9</v>
      </c>
    </row>
    <row r="1761" spans="1:19" x14ac:dyDescent="0.3">
      <c r="A1761" s="1">
        <v>43369</v>
      </c>
      <c r="B1761">
        <v>2018</v>
      </c>
      <c r="C1761" t="s">
        <v>18</v>
      </c>
      <c r="D1761" s="4">
        <v>66560</v>
      </c>
      <c r="E1761" s="2">
        <v>93000</v>
      </c>
      <c r="F1761" t="s">
        <v>19</v>
      </c>
      <c r="G1761" t="s">
        <v>20</v>
      </c>
      <c r="H1761">
        <v>3</v>
      </c>
      <c r="I1761">
        <v>1</v>
      </c>
      <c r="J1761">
        <v>980</v>
      </c>
      <c r="K1761" s="5">
        <v>1.4223080000000001E-2</v>
      </c>
      <c r="L1761" t="s">
        <v>27</v>
      </c>
      <c r="M1761" s="4">
        <v>26440</v>
      </c>
      <c r="N1761" s="3">
        <v>94.897999999999996</v>
      </c>
      <c r="O1761" t="s">
        <v>22</v>
      </c>
      <c r="P1761" t="s">
        <v>23</v>
      </c>
      <c r="Q1761" t="s">
        <v>24</v>
      </c>
      <c r="R1761" t="s">
        <v>51</v>
      </c>
      <c r="S1761">
        <v>9</v>
      </c>
    </row>
    <row r="1762" spans="1:19" x14ac:dyDescent="0.3">
      <c r="A1762" s="1">
        <v>43370</v>
      </c>
      <c r="B1762">
        <v>2018</v>
      </c>
      <c r="C1762" t="s">
        <v>40</v>
      </c>
      <c r="D1762" s="4">
        <v>107040</v>
      </c>
      <c r="E1762" s="2">
        <v>21000</v>
      </c>
      <c r="F1762" t="s">
        <v>36</v>
      </c>
      <c r="G1762" t="s">
        <v>37</v>
      </c>
      <c r="H1762">
        <v>6</v>
      </c>
      <c r="I1762">
        <v>5</v>
      </c>
      <c r="J1762">
        <v>1839</v>
      </c>
      <c r="K1762" s="5">
        <v>1.4223080000000001E-2</v>
      </c>
      <c r="L1762" t="s">
        <v>32</v>
      </c>
      <c r="M1762" s="4">
        <v>-86040</v>
      </c>
      <c r="N1762" s="3">
        <v>11.4192</v>
      </c>
      <c r="O1762" t="s">
        <v>33</v>
      </c>
      <c r="P1762" t="s">
        <v>23</v>
      </c>
      <c r="Q1762" t="s">
        <v>34</v>
      </c>
      <c r="R1762" t="s">
        <v>51</v>
      </c>
      <c r="S1762">
        <v>9</v>
      </c>
    </row>
    <row r="1763" spans="1:19" x14ac:dyDescent="0.3">
      <c r="A1763" s="1">
        <v>43371</v>
      </c>
      <c r="B1763">
        <v>2018</v>
      </c>
      <c r="C1763" t="s">
        <v>18</v>
      </c>
      <c r="D1763" s="4">
        <v>72410</v>
      </c>
      <c r="E1763" s="2">
        <v>90000</v>
      </c>
      <c r="F1763" t="s">
        <v>19</v>
      </c>
      <c r="G1763" t="s">
        <v>20</v>
      </c>
      <c r="H1763">
        <v>3</v>
      </c>
      <c r="I1763">
        <v>2</v>
      </c>
      <c r="J1763">
        <v>1111.6589814177564</v>
      </c>
      <c r="K1763" s="5">
        <v>1.4223080000000001E-2</v>
      </c>
      <c r="L1763" t="s">
        <v>38</v>
      </c>
      <c r="M1763" s="4">
        <v>17590</v>
      </c>
      <c r="N1763" s="3">
        <v>80.960099999999997</v>
      </c>
      <c r="O1763" t="s">
        <v>22</v>
      </c>
      <c r="P1763" t="s">
        <v>23</v>
      </c>
      <c r="Q1763" t="s">
        <v>24</v>
      </c>
      <c r="R1763" t="s">
        <v>51</v>
      </c>
      <c r="S1763">
        <v>9</v>
      </c>
    </row>
    <row r="1764" spans="1:19" x14ac:dyDescent="0.3">
      <c r="A1764" s="1">
        <v>43372</v>
      </c>
      <c r="B1764">
        <v>2018</v>
      </c>
      <c r="C1764" t="s">
        <v>18</v>
      </c>
      <c r="D1764" s="4">
        <v>103160</v>
      </c>
      <c r="E1764" s="2">
        <v>169000</v>
      </c>
      <c r="F1764" t="s">
        <v>19</v>
      </c>
      <c r="G1764" t="s">
        <v>20</v>
      </c>
      <c r="H1764">
        <v>3</v>
      </c>
      <c r="I1764">
        <v>1</v>
      </c>
      <c r="J1764">
        <v>1049</v>
      </c>
      <c r="K1764" s="5">
        <v>1.4223080000000001E-2</v>
      </c>
      <c r="L1764" t="s">
        <v>21</v>
      </c>
      <c r="M1764" s="4">
        <v>65840</v>
      </c>
      <c r="N1764" s="3">
        <v>161.10579999999999</v>
      </c>
      <c r="O1764" t="s">
        <v>22</v>
      </c>
      <c r="P1764" t="s">
        <v>23</v>
      </c>
      <c r="Q1764" t="s">
        <v>24</v>
      </c>
      <c r="R1764" t="s">
        <v>51</v>
      </c>
      <c r="S1764">
        <v>9</v>
      </c>
    </row>
    <row r="1765" spans="1:19" x14ac:dyDescent="0.3">
      <c r="A1765" s="1">
        <v>43373</v>
      </c>
      <c r="B1765">
        <v>2018</v>
      </c>
      <c r="C1765" t="s">
        <v>52</v>
      </c>
      <c r="D1765" s="4">
        <v>144830</v>
      </c>
      <c r="E1765" s="2">
        <v>189900</v>
      </c>
      <c r="F1765" t="s">
        <v>19</v>
      </c>
      <c r="G1765" t="s">
        <v>20</v>
      </c>
      <c r="H1765">
        <v>3</v>
      </c>
      <c r="I1765">
        <v>1</v>
      </c>
      <c r="J1765">
        <v>960</v>
      </c>
      <c r="K1765" s="5">
        <v>1.4223080000000001E-2</v>
      </c>
      <c r="L1765" t="s">
        <v>38</v>
      </c>
      <c r="M1765" s="4">
        <v>45070</v>
      </c>
      <c r="N1765" s="3">
        <v>197.8125</v>
      </c>
      <c r="O1765" t="s">
        <v>22</v>
      </c>
      <c r="P1765" t="s">
        <v>23</v>
      </c>
      <c r="Q1765" t="s">
        <v>24</v>
      </c>
      <c r="R1765" t="s">
        <v>51</v>
      </c>
      <c r="S1765">
        <v>9</v>
      </c>
    </row>
    <row r="1766" spans="1:19" x14ac:dyDescent="0.3">
      <c r="A1766" s="1">
        <v>43376</v>
      </c>
      <c r="B1766">
        <v>2018</v>
      </c>
      <c r="C1766" t="s">
        <v>56</v>
      </c>
      <c r="D1766" s="4">
        <v>746710</v>
      </c>
      <c r="E1766" s="2">
        <v>1085000</v>
      </c>
      <c r="F1766" t="s">
        <v>19</v>
      </c>
      <c r="G1766" t="s">
        <v>20</v>
      </c>
      <c r="H1766">
        <v>3</v>
      </c>
      <c r="I1766">
        <v>1</v>
      </c>
      <c r="J1766">
        <v>1079</v>
      </c>
      <c r="K1766" s="5">
        <v>1.4223080000000001E-2</v>
      </c>
      <c r="L1766" t="s">
        <v>38</v>
      </c>
      <c r="M1766" s="4">
        <v>338290</v>
      </c>
      <c r="N1766" s="3">
        <v>1005.5607</v>
      </c>
      <c r="O1766" t="s">
        <v>22</v>
      </c>
      <c r="P1766" t="s">
        <v>28</v>
      </c>
      <c r="Q1766" t="s">
        <v>24</v>
      </c>
      <c r="R1766" t="s">
        <v>53</v>
      </c>
      <c r="S1766">
        <v>10</v>
      </c>
    </row>
    <row r="1767" spans="1:19" x14ac:dyDescent="0.3">
      <c r="A1767" s="1">
        <v>43377</v>
      </c>
      <c r="B1767">
        <v>2018</v>
      </c>
      <c r="C1767" t="s">
        <v>35</v>
      </c>
      <c r="D1767" s="4">
        <v>986020</v>
      </c>
      <c r="E1767" s="2">
        <v>1715000</v>
      </c>
      <c r="F1767" t="s">
        <v>19</v>
      </c>
      <c r="G1767" t="s">
        <v>20</v>
      </c>
      <c r="H1767">
        <v>3</v>
      </c>
      <c r="I1767">
        <v>1</v>
      </c>
      <c r="J1767">
        <v>924</v>
      </c>
      <c r="K1767" s="5">
        <v>1.4223080000000001E-2</v>
      </c>
      <c r="L1767" t="s">
        <v>32</v>
      </c>
      <c r="M1767" s="4">
        <v>728980</v>
      </c>
      <c r="N1767" s="3">
        <v>1856.0606</v>
      </c>
      <c r="O1767" t="s">
        <v>22</v>
      </c>
      <c r="P1767" t="s">
        <v>28</v>
      </c>
      <c r="Q1767" t="s">
        <v>24</v>
      </c>
      <c r="R1767" t="s">
        <v>53</v>
      </c>
      <c r="S1767">
        <v>10</v>
      </c>
    </row>
    <row r="1768" spans="1:19" x14ac:dyDescent="0.3">
      <c r="A1768" s="1">
        <v>43378</v>
      </c>
      <c r="B1768">
        <v>2018</v>
      </c>
      <c r="C1768" t="s">
        <v>26</v>
      </c>
      <c r="D1768" s="4">
        <v>997440</v>
      </c>
      <c r="E1768" s="2">
        <v>1630000</v>
      </c>
      <c r="F1768" t="s">
        <v>19</v>
      </c>
      <c r="G1768" t="s">
        <v>20</v>
      </c>
      <c r="H1768">
        <v>3</v>
      </c>
      <c r="I1768">
        <v>3</v>
      </c>
      <c r="J1768">
        <v>951</v>
      </c>
      <c r="K1768" s="5">
        <v>1.4223080000000001E-2</v>
      </c>
      <c r="L1768" t="s">
        <v>38</v>
      </c>
      <c r="M1768" s="4">
        <v>632560</v>
      </c>
      <c r="N1768" s="3">
        <v>1713.9853000000001</v>
      </c>
      <c r="O1768" t="s">
        <v>22</v>
      </c>
      <c r="P1768" t="s">
        <v>28</v>
      </c>
      <c r="Q1768" t="s">
        <v>24</v>
      </c>
      <c r="R1768" t="s">
        <v>53</v>
      </c>
      <c r="S1768">
        <v>10</v>
      </c>
    </row>
    <row r="1769" spans="1:19" x14ac:dyDescent="0.3">
      <c r="A1769" s="1">
        <v>43379</v>
      </c>
      <c r="B1769">
        <v>2018</v>
      </c>
      <c r="C1769" t="s">
        <v>40</v>
      </c>
      <c r="D1769" s="4">
        <v>203220</v>
      </c>
      <c r="E1769" s="2">
        <v>300000</v>
      </c>
      <c r="F1769" t="s">
        <v>19</v>
      </c>
      <c r="G1769" t="s">
        <v>20</v>
      </c>
      <c r="H1769">
        <v>3</v>
      </c>
      <c r="I1769">
        <v>3</v>
      </c>
      <c r="J1769">
        <v>928</v>
      </c>
      <c r="K1769" s="5">
        <v>1.4223080000000001E-2</v>
      </c>
      <c r="L1769" t="s">
        <v>21</v>
      </c>
      <c r="M1769" s="4">
        <v>96780</v>
      </c>
      <c r="N1769" s="3">
        <v>323.27589999999998</v>
      </c>
      <c r="O1769" t="s">
        <v>22</v>
      </c>
      <c r="P1769" t="s">
        <v>24</v>
      </c>
      <c r="Q1769" t="s">
        <v>24</v>
      </c>
      <c r="R1769" t="s">
        <v>53</v>
      </c>
      <c r="S1769">
        <v>10</v>
      </c>
    </row>
    <row r="1770" spans="1:19" x14ac:dyDescent="0.3">
      <c r="A1770" s="1">
        <v>43380</v>
      </c>
      <c r="B1770">
        <v>2018</v>
      </c>
      <c r="C1770" t="s">
        <v>18</v>
      </c>
      <c r="D1770" s="4">
        <v>444584.20699999999</v>
      </c>
      <c r="E1770" s="2">
        <v>173500</v>
      </c>
      <c r="F1770" t="s">
        <v>19</v>
      </c>
      <c r="G1770" t="s">
        <v>20</v>
      </c>
      <c r="H1770">
        <v>3</v>
      </c>
      <c r="I1770">
        <v>2</v>
      </c>
      <c r="J1770">
        <v>924</v>
      </c>
      <c r="K1770" s="5">
        <v>1.4223080000000001E-2</v>
      </c>
      <c r="L1770" t="s">
        <v>21</v>
      </c>
      <c r="M1770" s="4">
        <v>-271084.20699999999</v>
      </c>
      <c r="N1770" s="3">
        <v>187.7706</v>
      </c>
      <c r="O1770" t="s">
        <v>33</v>
      </c>
      <c r="P1770" t="s">
        <v>23</v>
      </c>
      <c r="Q1770" t="s">
        <v>24</v>
      </c>
      <c r="R1770" t="s">
        <v>53</v>
      </c>
      <c r="S1770">
        <v>10</v>
      </c>
    </row>
    <row r="1771" spans="1:19" x14ac:dyDescent="0.3">
      <c r="A1771" s="1">
        <v>43385</v>
      </c>
      <c r="B1771">
        <v>2018</v>
      </c>
      <c r="C1771" t="s">
        <v>56</v>
      </c>
      <c r="D1771" s="4">
        <v>317150</v>
      </c>
      <c r="E1771" s="2">
        <v>558125</v>
      </c>
      <c r="F1771" t="s">
        <v>19</v>
      </c>
      <c r="G1771" t="s">
        <v>20</v>
      </c>
      <c r="H1771">
        <v>3</v>
      </c>
      <c r="I1771">
        <v>1</v>
      </c>
      <c r="J1771">
        <v>926</v>
      </c>
      <c r="K1771" s="5">
        <v>1.4223080000000001E-2</v>
      </c>
      <c r="L1771" t="s">
        <v>21</v>
      </c>
      <c r="M1771" s="4">
        <v>240975</v>
      </c>
      <c r="N1771" s="3">
        <v>602.72680000000003</v>
      </c>
      <c r="O1771" t="s">
        <v>22</v>
      </c>
      <c r="P1771" t="s">
        <v>24</v>
      </c>
      <c r="Q1771" t="s">
        <v>24</v>
      </c>
      <c r="R1771" t="s">
        <v>53</v>
      </c>
      <c r="S1771">
        <v>10</v>
      </c>
    </row>
    <row r="1772" spans="1:19" x14ac:dyDescent="0.3">
      <c r="A1772" s="1">
        <v>43386</v>
      </c>
      <c r="B1772">
        <v>2018</v>
      </c>
      <c r="C1772" t="s">
        <v>26</v>
      </c>
      <c r="D1772" s="4">
        <v>264360</v>
      </c>
      <c r="E1772" s="2">
        <v>285000</v>
      </c>
      <c r="F1772" t="s">
        <v>19</v>
      </c>
      <c r="G1772" t="s">
        <v>20</v>
      </c>
      <c r="H1772">
        <v>3</v>
      </c>
      <c r="I1772">
        <v>1</v>
      </c>
      <c r="J1772">
        <v>917</v>
      </c>
      <c r="K1772" s="5">
        <v>1.4223080000000001E-2</v>
      </c>
      <c r="L1772" t="s">
        <v>32</v>
      </c>
      <c r="M1772" s="4">
        <v>20640</v>
      </c>
      <c r="N1772" s="3">
        <v>310.79610000000002</v>
      </c>
      <c r="O1772" t="s">
        <v>22</v>
      </c>
      <c r="P1772" t="s">
        <v>24</v>
      </c>
      <c r="Q1772" t="s">
        <v>24</v>
      </c>
      <c r="R1772" t="s">
        <v>53</v>
      </c>
      <c r="S1772">
        <v>10</v>
      </c>
    </row>
    <row r="1773" spans="1:19" x14ac:dyDescent="0.3">
      <c r="A1773" s="1">
        <v>43387</v>
      </c>
      <c r="B1773">
        <v>2018</v>
      </c>
      <c r="C1773" t="s">
        <v>35</v>
      </c>
      <c r="D1773" s="4">
        <v>2948050</v>
      </c>
      <c r="E1773" s="2">
        <v>4350000</v>
      </c>
      <c r="F1773" t="s">
        <v>19</v>
      </c>
      <c r="G1773" t="s">
        <v>20</v>
      </c>
      <c r="H1773">
        <v>3</v>
      </c>
      <c r="I1773">
        <v>2</v>
      </c>
      <c r="J1773">
        <v>939</v>
      </c>
      <c r="K1773" s="5">
        <v>1.4223080000000001E-2</v>
      </c>
      <c r="L1773" t="s">
        <v>21</v>
      </c>
      <c r="M1773" s="4">
        <v>1401950</v>
      </c>
      <c r="N1773" s="3">
        <v>4632.5879000000004</v>
      </c>
      <c r="O1773" t="s">
        <v>22</v>
      </c>
      <c r="P1773" t="s">
        <v>28</v>
      </c>
      <c r="Q1773" t="s">
        <v>24</v>
      </c>
      <c r="R1773" t="s">
        <v>53</v>
      </c>
      <c r="S1773">
        <v>10</v>
      </c>
    </row>
    <row r="1774" spans="1:19" x14ac:dyDescent="0.3">
      <c r="A1774" s="1">
        <v>43389</v>
      </c>
      <c r="B1774">
        <v>2018</v>
      </c>
      <c r="C1774" t="s">
        <v>39</v>
      </c>
      <c r="D1774" s="4">
        <v>268520</v>
      </c>
      <c r="E1774" s="2">
        <v>266000</v>
      </c>
      <c r="F1774" t="s">
        <v>19</v>
      </c>
      <c r="G1774" t="s">
        <v>20</v>
      </c>
      <c r="H1774">
        <v>3</v>
      </c>
      <c r="I1774">
        <v>1</v>
      </c>
      <c r="J1774">
        <v>975</v>
      </c>
      <c r="K1774" s="5">
        <v>1.4223080000000001E-2</v>
      </c>
      <c r="L1774" t="s">
        <v>27</v>
      </c>
      <c r="M1774" s="4">
        <v>-2520</v>
      </c>
      <c r="N1774" s="3">
        <v>272.82049999999998</v>
      </c>
      <c r="O1774" t="s">
        <v>33</v>
      </c>
      <c r="P1774" t="s">
        <v>24</v>
      </c>
      <c r="Q1774" t="s">
        <v>24</v>
      </c>
      <c r="R1774" t="s">
        <v>53</v>
      </c>
      <c r="S1774">
        <v>10</v>
      </c>
    </row>
    <row r="1775" spans="1:19" x14ac:dyDescent="0.3">
      <c r="A1775" s="1">
        <v>43390</v>
      </c>
      <c r="B1775">
        <v>2018</v>
      </c>
      <c r="C1775" t="s">
        <v>29</v>
      </c>
      <c r="D1775" s="4">
        <v>97440</v>
      </c>
      <c r="E1775" s="2">
        <v>44000</v>
      </c>
      <c r="F1775" t="s">
        <v>19</v>
      </c>
      <c r="G1775" t="s">
        <v>20</v>
      </c>
      <c r="H1775">
        <v>3</v>
      </c>
      <c r="I1775">
        <v>2</v>
      </c>
      <c r="J1775">
        <v>1018</v>
      </c>
      <c r="K1775" s="5">
        <v>1.4223080000000001E-2</v>
      </c>
      <c r="L1775" t="s">
        <v>27</v>
      </c>
      <c r="M1775" s="4">
        <v>-53440</v>
      </c>
      <c r="N1775" s="3">
        <v>43.222000000000001</v>
      </c>
      <c r="O1775" t="s">
        <v>33</v>
      </c>
      <c r="P1775" t="s">
        <v>23</v>
      </c>
      <c r="Q1775" t="s">
        <v>24</v>
      </c>
      <c r="R1775" t="s">
        <v>53</v>
      </c>
      <c r="S1775">
        <v>10</v>
      </c>
    </row>
    <row r="1776" spans="1:19" x14ac:dyDescent="0.3">
      <c r="A1776" s="1">
        <v>43391</v>
      </c>
      <c r="B1776">
        <v>2018</v>
      </c>
      <c r="C1776" t="s">
        <v>29</v>
      </c>
      <c r="D1776" s="4">
        <v>94870</v>
      </c>
      <c r="E1776" s="2">
        <v>160000</v>
      </c>
      <c r="F1776" t="s">
        <v>19</v>
      </c>
      <c r="G1776" t="s">
        <v>20</v>
      </c>
      <c r="H1776">
        <v>3</v>
      </c>
      <c r="I1776">
        <v>1</v>
      </c>
      <c r="J1776">
        <v>901</v>
      </c>
      <c r="K1776" s="5">
        <v>1.4223080000000001E-2</v>
      </c>
      <c r="L1776" t="s">
        <v>21</v>
      </c>
      <c r="M1776" s="4">
        <v>65130</v>
      </c>
      <c r="N1776" s="3">
        <v>177.5805</v>
      </c>
      <c r="O1776" t="s">
        <v>22</v>
      </c>
      <c r="P1776" t="s">
        <v>23</v>
      </c>
      <c r="Q1776" t="s">
        <v>24</v>
      </c>
      <c r="R1776" t="s">
        <v>53</v>
      </c>
      <c r="S1776">
        <v>10</v>
      </c>
    </row>
    <row r="1777" spans="1:19" x14ac:dyDescent="0.3">
      <c r="A1777" s="1">
        <v>43392</v>
      </c>
      <c r="B1777">
        <v>2018</v>
      </c>
      <c r="C1777" t="s">
        <v>18</v>
      </c>
      <c r="D1777" s="4">
        <v>73230</v>
      </c>
      <c r="E1777" s="2">
        <v>83660</v>
      </c>
      <c r="F1777" t="s">
        <v>19</v>
      </c>
      <c r="G1777" t="s">
        <v>20</v>
      </c>
      <c r="H1777">
        <v>3</v>
      </c>
      <c r="I1777">
        <v>1</v>
      </c>
      <c r="J1777">
        <v>1086</v>
      </c>
      <c r="K1777" s="5">
        <v>1.4223080000000001E-2</v>
      </c>
      <c r="L1777" t="s">
        <v>21</v>
      </c>
      <c r="M1777" s="4">
        <v>10430</v>
      </c>
      <c r="N1777" s="3">
        <v>77.034999999999997</v>
      </c>
      <c r="O1777" t="s">
        <v>22</v>
      </c>
      <c r="P1777" t="s">
        <v>23</v>
      </c>
      <c r="Q1777" t="s">
        <v>24</v>
      </c>
      <c r="R1777" t="s">
        <v>53</v>
      </c>
      <c r="S1777">
        <v>10</v>
      </c>
    </row>
    <row r="1778" spans="1:19" x14ac:dyDescent="0.3">
      <c r="A1778" s="1">
        <v>43394</v>
      </c>
      <c r="B1778">
        <v>2018</v>
      </c>
      <c r="C1778" t="s">
        <v>18</v>
      </c>
      <c r="D1778" s="4">
        <v>84020</v>
      </c>
      <c r="E1778" s="2">
        <v>170000</v>
      </c>
      <c r="F1778" t="s">
        <v>19</v>
      </c>
      <c r="G1778" t="s">
        <v>20</v>
      </c>
      <c r="H1778">
        <v>3</v>
      </c>
      <c r="I1778">
        <v>2</v>
      </c>
      <c r="J1778">
        <v>1076</v>
      </c>
      <c r="K1778" s="5">
        <v>1.4223080000000001E-2</v>
      </c>
      <c r="L1778" t="s">
        <v>32</v>
      </c>
      <c r="M1778" s="4">
        <v>85980</v>
      </c>
      <c r="N1778" s="3">
        <v>157.99260000000001</v>
      </c>
      <c r="O1778" t="s">
        <v>22</v>
      </c>
      <c r="P1778" t="s">
        <v>23</v>
      </c>
      <c r="Q1778" t="s">
        <v>24</v>
      </c>
      <c r="R1778" t="s">
        <v>53</v>
      </c>
      <c r="S1778">
        <v>10</v>
      </c>
    </row>
    <row r="1779" spans="1:19" x14ac:dyDescent="0.3">
      <c r="A1779" s="1">
        <v>43399</v>
      </c>
      <c r="B1779">
        <v>2018</v>
      </c>
      <c r="C1779" t="s">
        <v>40</v>
      </c>
      <c r="D1779" s="4">
        <v>444584.20699999999</v>
      </c>
      <c r="E1779" s="2">
        <v>268000</v>
      </c>
      <c r="F1779" t="s">
        <v>19</v>
      </c>
      <c r="G1779" t="s">
        <v>20</v>
      </c>
      <c r="H1779">
        <v>3</v>
      </c>
      <c r="I1779">
        <v>3</v>
      </c>
      <c r="J1779">
        <v>981</v>
      </c>
      <c r="K1779" s="5">
        <v>1.4223080000000001E-2</v>
      </c>
      <c r="L1779" t="s">
        <v>21</v>
      </c>
      <c r="M1779" s="4">
        <v>-176584.20699999999</v>
      </c>
      <c r="N1779" s="3">
        <v>273.19060000000002</v>
      </c>
      <c r="O1779" t="s">
        <v>33</v>
      </c>
      <c r="P1779" t="s">
        <v>24</v>
      </c>
      <c r="Q1779" t="s">
        <v>24</v>
      </c>
      <c r="R1779" t="s">
        <v>53</v>
      </c>
      <c r="S1779">
        <v>10</v>
      </c>
    </row>
    <row r="1780" spans="1:19" x14ac:dyDescent="0.3">
      <c r="A1780" s="1">
        <v>43400</v>
      </c>
      <c r="B1780">
        <v>2018</v>
      </c>
      <c r="C1780" t="s">
        <v>18</v>
      </c>
      <c r="D1780" s="4">
        <v>108766</v>
      </c>
      <c r="E1780" s="2">
        <v>90000</v>
      </c>
      <c r="F1780" t="s">
        <v>30</v>
      </c>
      <c r="G1780" t="s">
        <v>31</v>
      </c>
      <c r="H1780">
        <v>4</v>
      </c>
      <c r="I1780">
        <v>3</v>
      </c>
      <c r="J1780">
        <v>1306</v>
      </c>
      <c r="K1780" s="5">
        <v>1.4223080000000001E-2</v>
      </c>
      <c r="L1780" t="s">
        <v>32</v>
      </c>
      <c r="M1780" s="4">
        <v>-18766</v>
      </c>
      <c r="N1780" s="3">
        <v>68.912700000000001</v>
      </c>
      <c r="O1780" t="s">
        <v>33</v>
      </c>
      <c r="P1780" t="s">
        <v>23</v>
      </c>
      <c r="Q1780" t="s">
        <v>34</v>
      </c>
      <c r="R1780" t="s">
        <v>53</v>
      </c>
      <c r="S1780">
        <v>10</v>
      </c>
    </row>
    <row r="1781" spans="1:19" x14ac:dyDescent="0.3">
      <c r="A1781" s="1">
        <v>43401</v>
      </c>
      <c r="B1781">
        <v>2018</v>
      </c>
      <c r="C1781" t="s">
        <v>56</v>
      </c>
      <c r="D1781" s="4">
        <v>677420</v>
      </c>
      <c r="E1781" s="2">
        <v>975500</v>
      </c>
      <c r="F1781" t="s">
        <v>19</v>
      </c>
      <c r="G1781" t="s">
        <v>20</v>
      </c>
      <c r="H1781">
        <v>3</v>
      </c>
      <c r="I1781">
        <v>1</v>
      </c>
      <c r="J1781">
        <v>1017</v>
      </c>
      <c r="K1781" s="5">
        <v>1.4223080000000001E-2</v>
      </c>
      <c r="L1781" t="s">
        <v>38</v>
      </c>
      <c r="M1781" s="4">
        <v>298080</v>
      </c>
      <c r="N1781" s="3">
        <v>959.19370000000004</v>
      </c>
      <c r="O1781" t="s">
        <v>22</v>
      </c>
      <c r="P1781" t="s">
        <v>28</v>
      </c>
      <c r="Q1781" t="s">
        <v>24</v>
      </c>
      <c r="R1781" t="s">
        <v>53</v>
      </c>
      <c r="S1781">
        <v>10</v>
      </c>
    </row>
    <row r="1782" spans="1:19" x14ac:dyDescent="0.3">
      <c r="A1782" s="1">
        <v>43404</v>
      </c>
      <c r="B1782">
        <v>2018</v>
      </c>
      <c r="C1782" t="s">
        <v>26</v>
      </c>
      <c r="D1782" s="4">
        <v>424830</v>
      </c>
      <c r="E1782" s="2">
        <v>715000</v>
      </c>
      <c r="F1782" t="s">
        <v>19</v>
      </c>
      <c r="G1782" t="s">
        <v>20</v>
      </c>
      <c r="H1782">
        <v>3</v>
      </c>
      <c r="I1782">
        <v>3</v>
      </c>
      <c r="J1782">
        <v>1063</v>
      </c>
      <c r="K1782" s="5">
        <v>1.4223080000000001E-2</v>
      </c>
      <c r="L1782" t="s">
        <v>21</v>
      </c>
      <c r="M1782" s="4">
        <v>290170</v>
      </c>
      <c r="N1782" s="3">
        <v>672.62459999999999</v>
      </c>
      <c r="O1782" t="s">
        <v>22</v>
      </c>
      <c r="P1782" t="s">
        <v>28</v>
      </c>
      <c r="Q1782" t="s">
        <v>24</v>
      </c>
      <c r="R1782" t="s">
        <v>53</v>
      </c>
      <c r="S1782">
        <v>10</v>
      </c>
    </row>
    <row r="1783" spans="1:19" x14ac:dyDescent="0.3">
      <c r="A1783" s="1">
        <v>43405</v>
      </c>
      <c r="B1783">
        <v>2018</v>
      </c>
      <c r="C1783" t="s">
        <v>56</v>
      </c>
      <c r="D1783" s="4">
        <v>503120</v>
      </c>
      <c r="E1783" s="2">
        <v>764000</v>
      </c>
      <c r="F1783" t="s">
        <v>19</v>
      </c>
      <c r="G1783" t="s">
        <v>20</v>
      </c>
      <c r="H1783">
        <v>3</v>
      </c>
      <c r="I1783">
        <v>1</v>
      </c>
      <c r="J1783">
        <v>926</v>
      </c>
      <c r="K1783" s="5">
        <v>1.4223080000000001E-2</v>
      </c>
      <c r="L1783" t="s">
        <v>32</v>
      </c>
      <c r="M1783" s="4">
        <v>260880</v>
      </c>
      <c r="N1783" s="3">
        <v>825.05399999999997</v>
      </c>
      <c r="O1783" t="s">
        <v>22</v>
      </c>
      <c r="P1783" t="s">
        <v>28</v>
      </c>
      <c r="Q1783" t="s">
        <v>24</v>
      </c>
      <c r="R1783" t="s">
        <v>54</v>
      </c>
      <c r="S1783">
        <v>11</v>
      </c>
    </row>
    <row r="1784" spans="1:19" x14ac:dyDescent="0.3">
      <c r="A1784" s="1">
        <v>43406</v>
      </c>
      <c r="B1784">
        <v>2018</v>
      </c>
      <c r="C1784" t="s">
        <v>26</v>
      </c>
      <c r="D1784" s="4">
        <v>189120</v>
      </c>
      <c r="E1784" s="2">
        <v>254000</v>
      </c>
      <c r="F1784" t="s">
        <v>19</v>
      </c>
      <c r="G1784" t="s">
        <v>20</v>
      </c>
      <c r="H1784">
        <v>3</v>
      </c>
      <c r="I1784">
        <v>1</v>
      </c>
      <c r="J1784">
        <v>1111.6589814177564</v>
      </c>
      <c r="K1784" s="5">
        <v>1.4223080000000001E-2</v>
      </c>
      <c r="L1784" t="s">
        <v>32</v>
      </c>
      <c r="M1784" s="4">
        <v>64880</v>
      </c>
      <c r="N1784" s="3">
        <v>228.4873</v>
      </c>
      <c r="O1784" t="s">
        <v>22</v>
      </c>
      <c r="P1784" t="s">
        <v>24</v>
      </c>
      <c r="Q1784" t="s">
        <v>24</v>
      </c>
      <c r="R1784" t="s">
        <v>54</v>
      </c>
      <c r="S1784">
        <v>11</v>
      </c>
    </row>
    <row r="1785" spans="1:19" x14ac:dyDescent="0.3">
      <c r="A1785" s="1">
        <v>43407</v>
      </c>
      <c r="B1785">
        <v>2018</v>
      </c>
      <c r="C1785" t="s">
        <v>56</v>
      </c>
      <c r="D1785" s="4">
        <v>266830</v>
      </c>
      <c r="E1785" s="2">
        <v>275000</v>
      </c>
      <c r="F1785" t="s">
        <v>19</v>
      </c>
      <c r="G1785" t="s">
        <v>20</v>
      </c>
      <c r="H1785">
        <v>3</v>
      </c>
      <c r="I1785">
        <v>1</v>
      </c>
      <c r="J1785">
        <v>1111.6589814177564</v>
      </c>
      <c r="K1785" s="5">
        <v>1.4223080000000001E-2</v>
      </c>
      <c r="L1785" t="s">
        <v>27</v>
      </c>
      <c r="M1785" s="4">
        <v>8170</v>
      </c>
      <c r="N1785" s="3">
        <v>247.37799999999999</v>
      </c>
      <c r="O1785" t="s">
        <v>22</v>
      </c>
      <c r="P1785" t="s">
        <v>24</v>
      </c>
      <c r="Q1785" t="s">
        <v>24</v>
      </c>
      <c r="R1785" t="s">
        <v>54</v>
      </c>
      <c r="S1785">
        <v>11</v>
      </c>
    </row>
    <row r="1786" spans="1:19" x14ac:dyDescent="0.3">
      <c r="A1786" s="1">
        <v>43408</v>
      </c>
      <c r="B1786">
        <v>2018</v>
      </c>
      <c r="C1786" t="s">
        <v>40</v>
      </c>
      <c r="D1786" s="4">
        <v>388870</v>
      </c>
      <c r="E1786" s="2">
        <v>585000</v>
      </c>
      <c r="F1786" t="s">
        <v>19</v>
      </c>
      <c r="G1786" t="s">
        <v>20</v>
      </c>
      <c r="H1786">
        <v>3</v>
      </c>
      <c r="I1786">
        <v>2</v>
      </c>
      <c r="J1786">
        <v>1065</v>
      </c>
      <c r="K1786" s="5">
        <v>1.4223080000000001E-2</v>
      </c>
      <c r="L1786" t="s">
        <v>32</v>
      </c>
      <c r="M1786" s="4">
        <v>196130</v>
      </c>
      <c r="N1786" s="3">
        <v>549.29579999999999</v>
      </c>
      <c r="O1786" t="s">
        <v>22</v>
      </c>
      <c r="P1786" t="s">
        <v>24</v>
      </c>
      <c r="Q1786" t="s">
        <v>24</v>
      </c>
      <c r="R1786" t="s">
        <v>54</v>
      </c>
      <c r="S1786">
        <v>11</v>
      </c>
    </row>
    <row r="1787" spans="1:19" x14ac:dyDescent="0.3">
      <c r="A1787" s="1">
        <v>43411</v>
      </c>
      <c r="B1787">
        <v>2018</v>
      </c>
      <c r="C1787" t="s">
        <v>18</v>
      </c>
      <c r="D1787" s="4">
        <v>444584.20699999999</v>
      </c>
      <c r="E1787" s="2">
        <v>30000</v>
      </c>
      <c r="F1787" t="s">
        <v>36</v>
      </c>
      <c r="G1787" t="s">
        <v>37</v>
      </c>
      <c r="H1787">
        <v>6</v>
      </c>
      <c r="I1787">
        <v>4</v>
      </c>
      <c r="J1787">
        <v>2128</v>
      </c>
      <c r="K1787" s="5">
        <v>1.4223080000000001E-2</v>
      </c>
      <c r="L1787" t="s">
        <v>21</v>
      </c>
      <c r="M1787" s="4">
        <v>-414584.20699999999</v>
      </c>
      <c r="N1787" s="3">
        <v>14.0977</v>
      </c>
      <c r="O1787" t="s">
        <v>33</v>
      </c>
      <c r="P1787" t="s">
        <v>23</v>
      </c>
      <c r="Q1787" t="s">
        <v>34</v>
      </c>
      <c r="R1787" t="s">
        <v>54</v>
      </c>
      <c r="S1787">
        <v>11</v>
      </c>
    </row>
    <row r="1788" spans="1:19" x14ac:dyDescent="0.3">
      <c r="A1788" s="1">
        <v>43413</v>
      </c>
      <c r="B1788">
        <v>2018</v>
      </c>
      <c r="C1788" t="s">
        <v>29</v>
      </c>
      <c r="D1788" s="4">
        <v>108140</v>
      </c>
      <c r="E1788" s="2">
        <v>190100</v>
      </c>
      <c r="F1788" t="s">
        <v>19</v>
      </c>
      <c r="G1788" t="s">
        <v>20</v>
      </c>
      <c r="H1788">
        <v>3</v>
      </c>
      <c r="I1788">
        <v>2</v>
      </c>
      <c r="J1788">
        <v>1111.6589814177564</v>
      </c>
      <c r="K1788" s="5">
        <v>1.4223080000000001E-2</v>
      </c>
      <c r="L1788" t="s">
        <v>21</v>
      </c>
      <c r="M1788" s="4">
        <v>81960</v>
      </c>
      <c r="N1788" s="3">
        <v>171.00569999999999</v>
      </c>
      <c r="O1788" t="s">
        <v>22</v>
      </c>
      <c r="P1788" t="s">
        <v>23</v>
      </c>
      <c r="Q1788" t="s">
        <v>24</v>
      </c>
      <c r="R1788" t="s">
        <v>54</v>
      </c>
      <c r="S1788">
        <v>11</v>
      </c>
    </row>
    <row r="1789" spans="1:19" x14ac:dyDescent="0.3">
      <c r="A1789" s="1">
        <v>43414</v>
      </c>
      <c r="B1789">
        <v>2018</v>
      </c>
      <c r="C1789" t="s">
        <v>35</v>
      </c>
      <c r="D1789" s="4">
        <v>840000</v>
      </c>
      <c r="E1789" s="2">
        <v>1000000</v>
      </c>
      <c r="F1789" t="s">
        <v>19</v>
      </c>
      <c r="G1789" t="s">
        <v>20</v>
      </c>
      <c r="H1789">
        <v>3</v>
      </c>
      <c r="I1789">
        <v>1</v>
      </c>
      <c r="J1789">
        <v>1111.6589814177564</v>
      </c>
      <c r="K1789" s="5">
        <v>1.4223080000000001E-2</v>
      </c>
      <c r="L1789" t="s">
        <v>27</v>
      </c>
      <c r="M1789" s="4">
        <v>160000</v>
      </c>
      <c r="N1789" s="3">
        <v>899.55640000000005</v>
      </c>
      <c r="O1789" t="s">
        <v>22</v>
      </c>
      <c r="P1789" t="s">
        <v>28</v>
      </c>
      <c r="Q1789" t="s">
        <v>24</v>
      </c>
      <c r="R1789" t="s">
        <v>54</v>
      </c>
      <c r="S1789">
        <v>11</v>
      </c>
    </row>
    <row r="1790" spans="1:19" x14ac:dyDescent="0.3">
      <c r="A1790" s="1">
        <v>43418</v>
      </c>
      <c r="B1790">
        <v>2018</v>
      </c>
      <c r="C1790" t="s">
        <v>40</v>
      </c>
      <c r="D1790" s="4">
        <v>381090</v>
      </c>
      <c r="E1790" s="2">
        <v>480000</v>
      </c>
      <c r="F1790" t="s">
        <v>19</v>
      </c>
      <c r="G1790" t="s">
        <v>20</v>
      </c>
      <c r="H1790">
        <v>3</v>
      </c>
      <c r="I1790">
        <v>1</v>
      </c>
      <c r="J1790">
        <v>1029</v>
      </c>
      <c r="K1790" s="5">
        <v>1.4223080000000001E-2</v>
      </c>
      <c r="L1790" t="s">
        <v>38</v>
      </c>
      <c r="M1790" s="4">
        <v>98910</v>
      </c>
      <c r="N1790" s="3">
        <v>466.47230000000002</v>
      </c>
      <c r="O1790" t="s">
        <v>22</v>
      </c>
      <c r="P1790" t="s">
        <v>24</v>
      </c>
      <c r="Q1790" t="s">
        <v>24</v>
      </c>
      <c r="R1790" t="s">
        <v>54</v>
      </c>
      <c r="S1790">
        <v>11</v>
      </c>
    </row>
    <row r="1791" spans="1:19" x14ac:dyDescent="0.3">
      <c r="A1791" s="1">
        <v>43419</v>
      </c>
      <c r="B1791">
        <v>2018</v>
      </c>
      <c r="C1791" t="s">
        <v>39</v>
      </c>
      <c r="D1791" s="4">
        <v>615720</v>
      </c>
      <c r="E1791" s="2">
        <v>737500</v>
      </c>
      <c r="F1791" t="s">
        <v>19</v>
      </c>
      <c r="G1791" t="s">
        <v>20</v>
      </c>
      <c r="H1791">
        <v>3</v>
      </c>
      <c r="I1791">
        <v>1</v>
      </c>
      <c r="J1791">
        <v>1027</v>
      </c>
      <c r="K1791" s="5">
        <v>1.4223080000000001E-2</v>
      </c>
      <c r="L1791" t="s">
        <v>21</v>
      </c>
      <c r="M1791" s="4">
        <v>121780</v>
      </c>
      <c r="N1791" s="3">
        <v>718.11099999999999</v>
      </c>
      <c r="O1791" t="s">
        <v>22</v>
      </c>
      <c r="P1791" t="s">
        <v>28</v>
      </c>
      <c r="Q1791" t="s">
        <v>24</v>
      </c>
      <c r="R1791" t="s">
        <v>54</v>
      </c>
      <c r="S1791">
        <v>11</v>
      </c>
    </row>
    <row r="1792" spans="1:19" x14ac:dyDescent="0.3">
      <c r="A1792" s="1">
        <v>43420</v>
      </c>
      <c r="B1792">
        <v>2018</v>
      </c>
      <c r="C1792" t="s">
        <v>40</v>
      </c>
      <c r="D1792" s="4">
        <v>261120</v>
      </c>
      <c r="E1792" s="2">
        <v>330000</v>
      </c>
      <c r="F1792" t="s">
        <v>19</v>
      </c>
      <c r="G1792" t="s">
        <v>20</v>
      </c>
      <c r="H1792">
        <v>3</v>
      </c>
      <c r="I1792">
        <v>1</v>
      </c>
      <c r="J1792">
        <v>981</v>
      </c>
      <c r="K1792" s="5">
        <v>1.4223080000000001E-2</v>
      </c>
      <c r="L1792" t="s">
        <v>38</v>
      </c>
      <c r="M1792" s="4">
        <v>68880</v>
      </c>
      <c r="N1792" s="3">
        <v>336.39139999999998</v>
      </c>
      <c r="O1792" t="s">
        <v>22</v>
      </c>
      <c r="P1792" t="s">
        <v>24</v>
      </c>
      <c r="Q1792" t="s">
        <v>24</v>
      </c>
      <c r="R1792" t="s">
        <v>54</v>
      </c>
      <c r="S1792">
        <v>11</v>
      </c>
    </row>
    <row r="1793" spans="1:19" x14ac:dyDescent="0.3">
      <c r="A1793" s="1">
        <v>43421</v>
      </c>
      <c r="B1793">
        <v>2018</v>
      </c>
      <c r="C1793" t="s">
        <v>39</v>
      </c>
      <c r="D1793" s="4">
        <v>550340</v>
      </c>
      <c r="E1793" s="2">
        <v>600000</v>
      </c>
      <c r="F1793" t="s">
        <v>19</v>
      </c>
      <c r="G1793" t="s">
        <v>20</v>
      </c>
      <c r="H1793">
        <v>3</v>
      </c>
      <c r="I1793">
        <v>3</v>
      </c>
      <c r="J1793">
        <v>1111.6589814177564</v>
      </c>
      <c r="K1793" s="5">
        <v>1.4223080000000001E-2</v>
      </c>
      <c r="L1793" t="s">
        <v>32</v>
      </c>
      <c r="M1793" s="4">
        <v>49660</v>
      </c>
      <c r="N1793" s="3">
        <v>539.73389999999995</v>
      </c>
      <c r="O1793" t="s">
        <v>22</v>
      </c>
      <c r="P1793" t="s">
        <v>28</v>
      </c>
      <c r="Q1793" t="s">
        <v>24</v>
      </c>
      <c r="R1793" t="s">
        <v>54</v>
      </c>
      <c r="S1793">
        <v>11</v>
      </c>
    </row>
    <row r="1794" spans="1:19" x14ac:dyDescent="0.3">
      <c r="A1794" s="1">
        <v>43422</v>
      </c>
      <c r="B1794">
        <v>2018</v>
      </c>
      <c r="C1794" t="s">
        <v>29</v>
      </c>
      <c r="D1794" s="4">
        <v>118330</v>
      </c>
      <c r="E1794" s="2">
        <v>150000</v>
      </c>
      <c r="F1794" t="s">
        <v>36</v>
      </c>
      <c r="G1794" t="s">
        <v>37</v>
      </c>
      <c r="H1794">
        <v>6</v>
      </c>
      <c r="I1794">
        <v>6</v>
      </c>
      <c r="J1794">
        <v>2068</v>
      </c>
      <c r="K1794" s="5">
        <v>1.4223080000000001E-2</v>
      </c>
      <c r="L1794" t="s">
        <v>27</v>
      </c>
      <c r="M1794" s="4">
        <v>31670</v>
      </c>
      <c r="N1794" s="3">
        <v>72.533799999999999</v>
      </c>
      <c r="O1794" t="s">
        <v>22</v>
      </c>
      <c r="P1794" t="s">
        <v>23</v>
      </c>
      <c r="Q1794" t="s">
        <v>34</v>
      </c>
      <c r="R1794" t="s">
        <v>54</v>
      </c>
      <c r="S1794">
        <v>11</v>
      </c>
    </row>
    <row r="1795" spans="1:19" x14ac:dyDescent="0.3">
      <c r="A1795" s="1">
        <v>43425</v>
      </c>
      <c r="B1795">
        <v>2018</v>
      </c>
      <c r="C1795" t="s">
        <v>18</v>
      </c>
      <c r="D1795" s="4">
        <v>156320</v>
      </c>
      <c r="E1795" s="2">
        <v>100000</v>
      </c>
      <c r="F1795" t="s">
        <v>19</v>
      </c>
      <c r="G1795" t="s">
        <v>20</v>
      </c>
      <c r="H1795">
        <v>3</v>
      </c>
      <c r="I1795">
        <v>2</v>
      </c>
      <c r="J1795">
        <v>934</v>
      </c>
      <c r="K1795" s="5">
        <v>1.4223080000000001E-2</v>
      </c>
      <c r="L1795" t="s">
        <v>27</v>
      </c>
      <c r="M1795" s="4">
        <v>-56320</v>
      </c>
      <c r="N1795" s="3">
        <v>107.0664</v>
      </c>
      <c r="O1795" t="s">
        <v>33</v>
      </c>
      <c r="P1795" t="s">
        <v>23</v>
      </c>
      <c r="Q1795" t="s">
        <v>24</v>
      </c>
      <c r="R1795" t="s">
        <v>54</v>
      </c>
      <c r="S1795">
        <v>11</v>
      </c>
    </row>
    <row r="1796" spans="1:19" x14ac:dyDescent="0.3">
      <c r="A1796" s="1">
        <v>43427</v>
      </c>
      <c r="B1796">
        <v>2018</v>
      </c>
      <c r="C1796" t="s">
        <v>40</v>
      </c>
      <c r="D1796" s="4">
        <v>178980</v>
      </c>
      <c r="E1796" s="2">
        <v>369000</v>
      </c>
      <c r="F1796" t="s">
        <v>19</v>
      </c>
      <c r="G1796" t="s">
        <v>20</v>
      </c>
      <c r="H1796">
        <v>3</v>
      </c>
      <c r="I1796">
        <v>1</v>
      </c>
      <c r="J1796">
        <v>1034</v>
      </c>
      <c r="K1796" s="5">
        <v>1.4223080000000001E-2</v>
      </c>
      <c r="L1796" t="s">
        <v>32</v>
      </c>
      <c r="M1796" s="4">
        <v>190020</v>
      </c>
      <c r="N1796" s="3">
        <v>356.86649999999997</v>
      </c>
      <c r="O1796" t="s">
        <v>22</v>
      </c>
      <c r="P1796" t="s">
        <v>24</v>
      </c>
      <c r="Q1796" t="s">
        <v>24</v>
      </c>
      <c r="R1796" t="s">
        <v>54</v>
      </c>
      <c r="S1796">
        <v>11</v>
      </c>
    </row>
    <row r="1797" spans="1:19" x14ac:dyDescent="0.3">
      <c r="A1797" s="1">
        <v>43432</v>
      </c>
      <c r="B1797">
        <v>2018</v>
      </c>
      <c r="C1797" t="s">
        <v>40</v>
      </c>
      <c r="D1797" s="4">
        <v>93530</v>
      </c>
      <c r="E1797" s="2">
        <v>108000</v>
      </c>
      <c r="F1797" t="s">
        <v>19</v>
      </c>
      <c r="G1797" t="s">
        <v>20</v>
      </c>
      <c r="H1797">
        <v>3</v>
      </c>
      <c r="I1797">
        <v>2</v>
      </c>
      <c r="J1797">
        <v>912</v>
      </c>
      <c r="K1797" s="5">
        <v>1.4223080000000001E-2</v>
      </c>
      <c r="L1797" t="s">
        <v>32</v>
      </c>
      <c r="M1797" s="4">
        <v>14470</v>
      </c>
      <c r="N1797" s="3">
        <v>118.4211</v>
      </c>
      <c r="O1797" t="s">
        <v>22</v>
      </c>
      <c r="P1797" t="s">
        <v>23</v>
      </c>
      <c r="Q1797" t="s">
        <v>24</v>
      </c>
      <c r="R1797" t="s">
        <v>54</v>
      </c>
      <c r="S1797">
        <v>11</v>
      </c>
    </row>
    <row r="1798" spans="1:19" x14ac:dyDescent="0.3">
      <c r="A1798" s="1">
        <v>43433</v>
      </c>
      <c r="B1798">
        <v>2018</v>
      </c>
      <c r="C1798" t="s">
        <v>40</v>
      </c>
      <c r="D1798" s="4">
        <v>118460</v>
      </c>
      <c r="E1798" s="2">
        <v>240000</v>
      </c>
      <c r="F1798" t="s">
        <v>30</v>
      </c>
      <c r="G1798" t="s">
        <v>31</v>
      </c>
      <c r="H1798">
        <v>4</v>
      </c>
      <c r="I1798">
        <v>4</v>
      </c>
      <c r="J1798">
        <v>1305</v>
      </c>
      <c r="K1798" s="5">
        <v>1.4223080000000001E-2</v>
      </c>
      <c r="L1798" t="s">
        <v>21</v>
      </c>
      <c r="M1798" s="4">
        <v>121540</v>
      </c>
      <c r="N1798" s="3">
        <v>183.90799999999999</v>
      </c>
      <c r="O1798" t="s">
        <v>22</v>
      </c>
      <c r="P1798" t="s">
        <v>24</v>
      </c>
      <c r="Q1798" t="s">
        <v>34</v>
      </c>
      <c r="R1798" t="s">
        <v>54</v>
      </c>
      <c r="S1798">
        <v>11</v>
      </c>
    </row>
    <row r="1799" spans="1:19" x14ac:dyDescent="0.3">
      <c r="A1799" s="1">
        <v>43434</v>
      </c>
      <c r="B1799">
        <v>2018</v>
      </c>
      <c r="C1799" t="s">
        <v>56</v>
      </c>
      <c r="D1799" s="4">
        <v>600760</v>
      </c>
      <c r="E1799" s="2">
        <v>955000</v>
      </c>
      <c r="F1799" t="s">
        <v>19</v>
      </c>
      <c r="G1799" t="s">
        <v>20</v>
      </c>
      <c r="H1799">
        <v>3</v>
      </c>
      <c r="I1799">
        <v>1</v>
      </c>
      <c r="J1799">
        <v>1111.6589814177564</v>
      </c>
      <c r="K1799" s="5">
        <v>1.4223080000000001E-2</v>
      </c>
      <c r="L1799" t="s">
        <v>21</v>
      </c>
      <c r="M1799" s="4">
        <v>354240</v>
      </c>
      <c r="N1799" s="3">
        <v>859.07640000000004</v>
      </c>
      <c r="O1799" t="s">
        <v>22</v>
      </c>
      <c r="P1799" t="s">
        <v>28</v>
      </c>
      <c r="Q1799" t="s">
        <v>24</v>
      </c>
      <c r="R1799" t="s">
        <v>54</v>
      </c>
      <c r="S1799">
        <v>11</v>
      </c>
    </row>
    <row r="1800" spans="1:19" x14ac:dyDescent="0.3">
      <c r="A1800" s="1">
        <v>43435</v>
      </c>
      <c r="B1800">
        <v>2018</v>
      </c>
      <c r="C1800" t="s">
        <v>35</v>
      </c>
      <c r="D1800" s="4">
        <v>943040</v>
      </c>
      <c r="E1800" s="2">
        <v>1900000</v>
      </c>
      <c r="F1800" t="s">
        <v>19</v>
      </c>
      <c r="G1800" t="s">
        <v>20</v>
      </c>
      <c r="H1800">
        <v>3</v>
      </c>
      <c r="I1800">
        <v>2</v>
      </c>
      <c r="J1800">
        <v>949</v>
      </c>
      <c r="K1800" s="5">
        <v>1.4223080000000001E-2</v>
      </c>
      <c r="L1800" t="s">
        <v>38</v>
      </c>
      <c r="M1800" s="4">
        <v>956960</v>
      </c>
      <c r="N1800" s="3">
        <v>2002.1075000000001</v>
      </c>
      <c r="O1800" t="s">
        <v>22</v>
      </c>
      <c r="P1800" t="s">
        <v>28</v>
      </c>
      <c r="Q1800" t="s">
        <v>24</v>
      </c>
      <c r="R1800" t="s">
        <v>55</v>
      </c>
      <c r="S1800">
        <v>12</v>
      </c>
    </row>
    <row r="1801" spans="1:19" x14ac:dyDescent="0.3">
      <c r="A1801" s="1">
        <v>43439</v>
      </c>
      <c r="B1801">
        <v>2018</v>
      </c>
      <c r="C1801" t="s">
        <v>39</v>
      </c>
      <c r="D1801" s="4">
        <v>237370</v>
      </c>
      <c r="E1801" s="2">
        <v>335000</v>
      </c>
      <c r="F1801" t="s">
        <v>19</v>
      </c>
      <c r="G1801" t="s">
        <v>20</v>
      </c>
      <c r="H1801">
        <v>3</v>
      </c>
      <c r="I1801">
        <v>1</v>
      </c>
      <c r="J1801">
        <v>990</v>
      </c>
      <c r="K1801" s="5">
        <v>1.4223080000000001E-2</v>
      </c>
      <c r="L1801" t="s">
        <v>21</v>
      </c>
      <c r="M1801" s="4">
        <v>97630</v>
      </c>
      <c r="N1801" s="3">
        <v>338.38380000000001</v>
      </c>
      <c r="O1801" t="s">
        <v>22</v>
      </c>
      <c r="P1801" t="s">
        <v>24</v>
      </c>
      <c r="Q1801" t="s">
        <v>24</v>
      </c>
      <c r="R1801" t="s">
        <v>55</v>
      </c>
      <c r="S1801">
        <v>12</v>
      </c>
    </row>
    <row r="1802" spans="1:19" x14ac:dyDescent="0.3">
      <c r="A1802" s="1">
        <v>43440</v>
      </c>
      <c r="B1802">
        <v>2018</v>
      </c>
      <c r="C1802" t="s">
        <v>40</v>
      </c>
      <c r="D1802" s="4">
        <v>69500</v>
      </c>
      <c r="E1802" s="2">
        <v>106500</v>
      </c>
      <c r="F1802" t="s">
        <v>19</v>
      </c>
      <c r="G1802" t="s">
        <v>20</v>
      </c>
      <c r="H1802">
        <v>3</v>
      </c>
      <c r="I1802">
        <v>2</v>
      </c>
      <c r="J1802">
        <v>935</v>
      </c>
      <c r="K1802" s="5">
        <v>1.4223080000000001E-2</v>
      </c>
      <c r="L1802" t="s">
        <v>21</v>
      </c>
      <c r="M1802" s="4">
        <v>37000</v>
      </c>
      <c r="N1802" s="3">
        <v>113.9037</v>
      </c>
      <c r="O1802" t="s">
        <v>22</v>
      </c>
      <c r="P1802" t="s">
        <v>23</v>
      </c>
      <c r="Q1802" t="s">
        <v>24</v>
      </c>
      <c r="R1802" t="s">
        <v>55</v>
      </c>
      <c r="S1802">
        <v>12</v>
      </c>
    </row>
    <row r="1803" spans="1:19" x14ac:dyDescent="0.3">
      <c r="A1803" s="1">
        <v>43441</v>
      </c>
      <c r="B1803">
        <v>2018</v>
      </c>
      <c r="C1803" t="s">
        <v>18</v>
      </c>
      <c r="D1803" s="4">
        <v>256710</v>
      </c>
      <c r="E1803" s="2">
        <v>317000</v>
      </c>
      <c r="F1803" t="s">
        <v>36</v>
      </c>
      <c r="G1803" t="s">
        <v>37</v>
      </c>
      <c r="H1803">
        <v>6</v>
      </c>
      <c r="I1803">
        <v>5</v>
      </c>
      <c r="J1803">
        <v>1823</v>
      </c>
      <c r="K1803" s="5">
        <v>1.4223080000000001E-2</v>
      </c>
      <c r="L1803" t="s">
        <v>38</v>
      </c>
      <c r="M1803" s="4">
        <v>60290</v>
      </c>
      <c r="N1803" s="3">
        <v>173.88919999999999</v>
      </c>
      <c r="O1803" t="s">
        <v>22</v>
      </c>
      <c r="P1803" t="s">
        <v>24</v>
      </c>
      <c r="Q1803" t="s">
        <v>34</v>
      </c>
      <c r="R1803" t="s">
        <v>55</v>
      </c>
      <c r="S1803">
        <v>12</v>
      </c>
    </row>
    <row r="1804" spans="1:19" x14ac:dyDescent="0.3">
      <c r="A1804" s="1">
        <v>43442</v>
      </c>
      <c r="B1804">
        <v>2018</v>
      </c>
      <c r="C1804" t="s">
        <v>40</v>
      </c>
      <c r="D1804" s="4">
        <v>870870</v>
      </c>
      <c r="E1804" s="2">
        <v>1500000</v>
      </c>
      <c r="F1804" t="s">
        <v>19</v>
      </c>
      <c r="G1804" t="s">
        <v>20</v>
      </c>
      <c r="H1804">
        <v>3</v>
      </c>
      <c r="I1804">
        <v>2</v>
      </c>
      <c r="J1804">
        <v>958</v>
      </c>
      <c r="K1804" s="5">
        <v>1.4223080000000001E-2</v>
      </c>
      <c r="L1804" t="s">
        <v>38</v>
      </c>
      <c r="M1804" s="4">
        <v>629130</v>
      </c>
      <c r="N1804" s="3">
        <v>1565.7619999999999</v>
      </c>
      <c r="O1804" t="s">
        <v>22</v>
      </c>
      <c r="P1804" t="s">
        <v>28</v>
      </c>
      <c r="Q1804" t="s">
        <v>24</v>
      </c>
      <c r="R1804" t="s">
        <v>55</v>
      </c>
      <c r="S1804">
        <v>12</v>
      </c>
    </row>
    <row r="1805" spans="1:19" x14ac:dyDescent="0.3">
      <c r="A1805" s="1">
        <v>43443</v>
      </c>
      <c r="B1805">
        <v>2018</v>
      </c>
      <c r="C1805" t="s">
        <v>18</v>
      </c>
      <c r="D1805" s="4">
        <v>444584.20699999999</v>
      </c>
      <c r="E1805" s="2">
        <v>110000</v>
      </c>
      <c r="F1805" t="s">
        <v>19</v>
      </c>
      <c r="G1805" t="s">
        <v>20</v>
      </c>
      <c r="H1805">
        <v>3</v>
      </c>
      <c r="I1805">
        <v>3</v>
      </c>
      <c r="J1805">
        <v>932</v>
      </c>
      <c r="K1805" s="5">
        <v>1.4223080000000001E-2</v>
      </c>
      <c r="L1805" t="s">
        <v>38</v>
      </c>
      <c r="M1805" s="4">
        <v>-334584.20699999999</v>
      </c>
      <c r="N1805" s="3">
        <v>118.0258</v>
      </c>
      <c r="O1805" t="s">
        <v>33</v>
      </c>
      <c r="P1805" t="s">
        <v>23</v>
      </c>
      <c r="Q1805" t="s">
        <v>24</v>
      </c>
      <c r="R1805" t="s">
        <v>55</v>
      </c>
      <c r="S1805">
        <v>12</v>
      </c>
    </row>
    <row r="1806" spans="1:19" x14ac:dyDescent="0.3">
      <c r="A1806" s="1">
        <v>43447</v>
      </c>
      <c r="B1806">
        <v>2018</v>
      </c>
      <c r="C1806" t="s">
        <v>40</v>
      </c>
      <c r="D1806" s="4">
        <v>299950</v>
      </c>
      <c r="E1806" s="2">
        <v>480000</v>
      </c>
      <c r="F1806" t="s">
        <v>19</v>
      </c>
      <c r="G1806" t="s">
        <v>20</v>
      </c>
      <c r="H1806">
        <v>3</v>
      </c>
      <c r="I1806">
        <v>3</v>
      </c>
      <c r="J1806">
        <v>1042</v>
      </c>
      <c r="K1806" s="5">
        <v>1.4223080000000001E-2</v>
      </c>
      <c r="L1806" t="s">
        <v>27</v>
      </c>
      <c r="M1806" s="4">
        <v>180050</v>
      </c>
      <c r="N1806" s="3">
        <v>460.65260000000001</v>
      </c>
      <c r="O1806" t="s">
        <v>22</v>
      </c>
      <c r="P1806" t="s">
        <v>24</v>
      </c>
      <c r="Q1806" t="s">
        <v>24</v>
      </c>
      <c r="R1806" t="s">
        <v>55</v>
      </c>
      <c r="S1806">
        <v>12</v>
      </c>
    </row>
    <row r="1807" spans="1:19" x14ac:dyDescent="0.3">
      <c r="A1807" s="1">
        <v>43448</v>
      </c>
      <c r="B1807">
        <v>2018</v>
      </c>
      <c r="C1807" t="s">
        <v>35</v>
      </c>
      <c r="D1807" s="4">
        <v>3285940</v>
      </c>
      <c r="E1807" s="2">
        <v>3000000</v>
      </c>
      <c r="F1807" t="s">
        <v>19</v>
      </c>
      <c r="G1807" t="s">
        <v>20</v>
      </c>
      <c r="H1807">
        <v>3</v>
      </c>
      <c r="I1807">
        <v>1</v>
      </c>
      <c r="J1807">
        <v>935</v>
      </c>
      <c r="K1807" s="5">
        <v>1.4223080000000001E-2</v>
      </c>
      <c r="L1807" t="s">
        <v>27</v>
      </c>
      <c r="M1807" s="4">
        <v>-285940</v>
      </c>
      <c r="N1807" s="3">
        <v>3208.5560999999998</v>
      </c>
      <c r="O1807" t="s">
        <v>33</v>
      </c>
      <c r="P1807" t="s">
        <v>28</v>
      </c>
      <c r="Q1807" t="s">
        <v>24</v>
      </c>
      <c r="R1807" t="s">
        <v>55</v>
      </c>
      <c r="S1807">
        <v>12</v>
      </c>
    </row>
    <row r="1808" spans="1:19" x14ac:dyDescent="0.3">
      <c r="A1808" s="1">
        <v>43449</v>
      </c>
      <c r="B1808">
        <v>2018</v>
      </c>
      <c r="C1808" t="s">
        <v>39</v>
      </c>
      <c r="D1808" s="4">
        <v>725130</v>
      </c>
      <c r="E1808" s="2">
        <v>1065000</v>
      </c>
      <c r="F1808" t="s">
        <v>19</v>
      </c>
      <c r="G1808" t="s">
        <v>20</v>
      </c>
      <c r="H1808">
        <v>3</v>
      </c>
      <c r="I1808">
        <v>2</v>
      </c>
      <c r="J1808">
        <v>1015</v>
      </c>
      <c r="K1808" s="5">
        <v>1.4223080000000001E-2</v>
      </c>
      <c r="L1808" t="s">
        <v>38</v>
      </c>
      <c r="M1808" s="4">
        <v>339870</v>
      </c>
      <c r="N1808" s="3">
        <v>1049.2610999999999</v>
      </c>
      <c r="O1808" t="s">
        <v>22</v>
      </c>
      <c r="P1808" t="s">
        <v>28</v>
      </c>
      <c r="Q1808" t="s">
        <v>24</v>
      </c>
      <c r="R1808" t="s">
        <v>55</v>
      </c>
      <c r="S1808">
        <v>12</v>
      </c>
    </row>
    <row r="1809" spans="1:19" x14ac:dyDescent="0.3">
      <c r="A1809" s="1">
        <v>43450</v>
      </c>
      <c r="B1809">
        <v>2018</v>
      </c>
      <c r="C1809" t="s">
        <v>39</v>
      </c>
      <c r="D1809" s="4">
        <v>867510</v>
      </c>
      <c r="E1809" s="2">
        <v>1580000</v>
      </c>
      <c r="F1809" t="s">
        <v>19</v>
      </c>
      <c r="G1809" t="s">
        <v>20</v>
      </c>
      <c r="H1809">
        <v>3</v>
      </c>
      <c r="I1809">
        <v>1</v>
      </c>
      <c r="J1809">
        <v>928</v>
      </c>
      <c r="K1809" s="5">
        <v>1.4223080000000001E-2</v>
      </c>
      <c r="L1809" t="s">
        <v>32</v>
      </c>
      <c r="M1809" s="4">
        <v>712490</v>
      </c>
      <c r="N1809" s="3">
        <v>1702.5862</v>
      </c>
      <c r="O1809" t="s">
        <v>22</v>
      </c>
      <c r="P1809" t="s">
        <v>28</v>
      </c>
      <c r="Q1809" t="s">
        <v>24</v>
      </c>
      <c r="R1809" t="s">
        <v>55</v>
      </c>
      <c r="S1809">
        <v>12</v>
      </c>
    </row>
    <row r="1810" spans="1:19" x14ac:dyDescent="0.3">
      <c r="A1810" s="1">
        <v>43454</v>
      </c>
      <c r="B1810">
        <v>2018</v>
      </c>
      <c r="C1810" t="s">
        <v>40</v>
      </c>
      <c r="D1810" s="4">
        <v>947310</v>
      </c>
      <c r="E1810" s="2">
        <v>1995000</v>
      </c>
      <c r="F1810" t="s">
        <v>19</v>
      </c>
      <c r="G1810" t="s">
        <v>20</v>
      </c>
      <c r="H1810">
        <v>3</v>
      </c>
      <c r="I1810">
        <v>2</v>
      </c>
      <c r="J1810">
        <v>910</v>
      </c>
      <c r="K1810" s="5">
        <v>1.4223080000000001E-2</v>
      </c>
      <c r="L1810" t="s">
        <v>32</v>
      </c>
      <c r="M1810" s="4">
        <v>1047690</v>
      </c>
      <c r="N1810" s="3">
        <v>2192.3076999999998</v>
      </c>
      <c r="O1810" t="s">
        <v>22</v>
      </c>
      <c r="P1810" t="s">
        <v>28</v>
      </c>
      <c r="Q1810" t="s">
        <v>24</v>
      </c>
      <c r="R1810" t="s">
        <v>55</v>
      </c>
      <c r="S1810">
        <v>12</v>
      </c>
    </row>
    <row r="1811" spans="1:19" x14ac:dyDescent="0.3">
      <c r="A1811" s="1">
        <v>43455</v>
      </c>
      <c r="B1811">
        <v>2018</v>
      </c>
      <c r="C1811" t="s">
        <v>40</v>
      </c>
      <c r="D1811" s="4">
        <v>172740</v>
      </c>
      <c r="E1811" s="2">
        <v>35000</v>
      </c>
      <c r="F1811" t="s">
        <v>42</v>
      </c>
      <c r="G1811" t="s">
        <v>43</v>
      </c>
      <c r="H1811">
        <v>8</v>
      </c>
      <c r="I1811">
        <v>6</v>
      </c>
      <c r="J1811">
        <v>2513</v>
      </c>
      <c r="K1811" s="5">
        <v>1.4223080000000001E-2</v>
      </c>
      <c r="L1811" t="s">
        <v>27</v>
      </c>
      <c r="M1811" s="4">
        <v>-137740</v>
      </c>
      <c r="N1811" s="3">
        <v>13.9276</v>
      </c>
      <c r="O1811" t="s">
        <v>33</v>
      </c>
      <c r="P1811" t="s">
        <v>23</v>
      </c>
      <c r="Q1811" t="s">
        <v>34</v>
      </c>
      <c r="R1811" t="s">
        <v>55</v>
      </c>
      <c r="S1811">
        <v>12</v>
      </c>
    </row>
    <row r="1812" spans="1:19" x14ac:dyDescent="0.3">
      <c r="A1812" s="1">
        <v>43457</v>
      </c>
      <c r="B1812">
        <v>2018</v>
      </c>
      <c r="C1812" t="s">
        <v>39</v>
      </c>
      <c r="D1812" s="4">
        <v>791350</v>
      </c>
      <c r="E1812" s="2">
        <v>1360000</v>
      </c>
      <c r="F1812" t="s">
        <v>19</v>
      </c>
      <c r="G1812" t="s">
        <v>20</v>
      </c>
      <c r="H1812">
        <v>3</v>
      </c>
      <c r="I1812">
        <v>2</v>
      </c>
      <c r="J1812">
        <v>953</v>
      </c>
      <c r="K1812" s="5">
        <v>1.4223080000000001E-2</v>
      </c>
      <c r="L1812" t="s">
        <v>32</v>
      </c>
      <c r="M1812" s="4">
        <v>568650</v>
      </c>
      <c r="N1812" s="3">
        <v>1427.0724</v>
      </c>
      <c r="O1812" t="s">
        <v>22</v>
      </c>
      <c r="P1812" t="s">
        <v>28</v>
      </c>
      <c r="Q1812" t="s">
        <v>24</v>
      </c>
      <c r="R1812" t="s">
        <v>55</v>
      </c>
      <c r="S1812">
        <v>12</v>
      </c>
    </row>
    <row r="1813" spans="1:19" x14ac:dyDescent="0.3">
      <c r="A1813" s="1">
        <v>43461</v>
      </c>
      <c r="B1813">
        <v>2018</v>
      </c>
      <c r="C1813" t="s">
        <v>26</v>
      </c>
      <c r="D1813" s="4">
        <v>213130</v>
      </c>
      <c r="E1813" s="2">
        <v>307000</v>
      </c>
      <c r="F1813" t="s">
        <v>19</v>
      </c>
      <c r="G1813" t="s">
        <v>20</v>
      </c>
      <c r="H1813">
        <v>3</v>
      </c>
      <c r="I1813">
        <v>1</v>
      </c>
      <c r="J1813">
        <v>1061</v>
      </c>
      <c r="K1813" s="5">
        <v>1.4223080000000001E-2</v>
      </c>
      <c r="L1813" t="s">
        <v>27</v>
      </c>
      <c r="M1813" s="4">
        <v>93870</v>
      </c>
      <c r="N1813" s="3">
        <v>289.34969999999998</v>
      </c>
      <c r="O1813" t="s">
        <v>22</v>
      </c>
      <c r="P1813" t="s">
        <v>24</v>
      </c>
      <c r="Q1813" t="s">
        <v>24</v>
      </c>
      <c r="R1813" t="s">
        <v>55</v>
      </c>
      <c r="S1813">
        <v>12</v>
      </c>
    </row>
    <row r="1814" spans="1:19" x14ac:dyDescent="0.3">
      <c r="A1814" s="1">
        <v>43463</v>
      </c>
      <c r="B1814">
        <v>2018</v>
      </c>
      <c r="C1814" t="s">
        <v>39</v>
      </c>
      <c r="D1814" s="4">
        <v>427700</v>
      </c>
      <c r="E1814" s="2">
        <v>515000</v>
      </c>
      <c r="F1814" t="s">
        <v>19</v>
      </c>
      <c r="G1814" t="s">
        <v>20</v>
      </c>
      <c r="H1814">
        <v>3</v>
      </c>
      <c r="I1814">
        <v>2</v>
      </c>
      <c r="J1814">
        <v>1111.6589814177564</v>
      </c>
      <c r="K1814" s="5">
        <v>1.4223080000000001E-2</v>
      </c>
      <c r="L1814" t="s">
        <v>38</v>
      </c>
      <c r="M1814" s="4">
        <v>87300</v>
      </c>
      <c r="N1814" s="3">
        <v>463.27159999999998</v>
      </c>
      <c r="O1814" t="s">
        <v>22</v>
      </c>
      <c r="P1814" t="s">
        <v>24</v>
      </c>
      <c r="Q1814" t="s">
        <v>24</v>
      </c>
      <c r="R1814" t="s">
        <v>55</v>
      </c>
      <c r="S1814">
        <v>12</v>
      </c>
    </row>
    <row r="1815" spans="1:19" x14ac:dyDescent="0.3">
      <c r="A1815" s="1">
        <v>43464</v>
      </c>
      <c r="B1815">
        <v>2018</v>
      </c>
      <c r="C1815" t="s">
        <v>39</v>
      </c>
      <c r="D1815" s="4">
        <v>551250</v>
      </c>
      <c r="E1815" s="2">
        <v>589000</v>
      </c>
      <c r="F1815" t="s">
        <v>19</v>
      </c>
      <c r="G1815" t="s">
        <v>20</v>
      </c>
      <c r="H1815">
        <v>3</v>
      </c>
      <c r="I1815">
        <v>2</v>
      </c>
      <c r="J1815">
        <v>1082</v>
      </c>
      <c r="K1815" s="5">
        <v>1.4223080000000001E-2</v>
      </c>
      <c r="L1815" t="s">
        <v>38</v>
      </c>
      <c r="M1815" s="4">
        <v>37750</v>
      </c>
      <c r="N1815" s="3">
        <v>544.3623</v>
      </c>
      <c r="O1815" t="s">
        <v>22</v>
      </c>
      <c r="P1815" t="s">
        <v>24</v>
      </c>
      <c r="Q1815" t="s">
        <v>24</v>
      </c>
      <c r="R1815" t="s">
        <v>55</v>
      </c>
      <c r="S1815">
        <v>12</v>
      </c>
    </row>
    <row r="1816" spans="1:19" x14ac:dyDescent="0.3">
      <c r="A1816" s="1">
        <v>43469</v>
      </c>
      <c r="B1816">
        <v>2019</v>
      </c>
      <c r="C1816" t="s">
        <v>29</v>
      </c>
      <c r="D1816" s="4">
        <v>95810</v>
      </c>
      <c r="E1816" s="2">
        <v>80500</v>
      </c>
      <c r="F1816" t="s">
        <v>19</v>
      </c>
      <c r="G1816" t="s">
        <v>20</v>
      </c>
      <c r="H1816">
        <v>3</v>
      </c>
      <c r="I1816">
        <v>1</v>
      </c>
      <c r="J1816">
        <v>1053</v>
      </c>
      <c r="K1816" s="5">
        <v>1.0258995E-2</v>
      </c>
      <c r="L1816" t="s">
        <v>38</v>
      </c>
      <c r="M1816" s="4">
        <v>-15310</v>
      </c>
      <c r="N1816" s="3">
        <v>76.4482</v>
      </c>
      <c r="O1816" t="s">
        <v>33</v>
      </c>
      <c r="P1816" t="s">
        <v>23</v>
      </c>
      <c r="Q1816" t="s">
        <v>24</v>
      </c>
      <c r="R1816" t="s">
        <v>25</v>
      </c>
      <c r="S1816">
        <v>1</v>
      </c>
    </row>
    <row r="1817" spans="1:19" x14ac:dyDescent="0.3">
      <c r="A1817" s="1">
        <v>43470</v>
      </c>
      <c r="B1817">
        <v>2019</v>
      </c>
      <c r="C1817" t="s">
        <v>26</v>
      </c>
      <c r="D1817" s="4">
        <v>444584.20699999999</v>
      </c>
      <c r="E1817" s="2">
        <v>250000</v>
      </c>
      <c r="F1817" t="s">
        <v>19</v>
      </c>
      <c r="G1817" t="s">
        <v>20</v>
      </c>
      <c r="H1817">
        <v>3</v>
      </c>
      <c r="I1817">
        <v>2</v>
      </c>
      <c r="J1817">
        <v>914</v>
      </c>
      <c r="K1817" s="5">
        <v>1.0258995E-2</v>
      </c>
      <c r="L1817" t="s">
        <v>21</v>
      </c>
      <c r="M1817" s="4">
        <v>-194584.20699999999</v>
      </c>
      <c r="N1817" s="3">
        <v>273.52300000000002</v>
      </c>
      <c r="O1817" t="s">
        <v>33</v>
      </c>
      <c r="P1817" t="s">
        <v>24</v>
      </c>
      <c r="Q1817" t="s">
        <v>24</v>
      </c>
      <c r="R1817" t="s">
        <v>25</v>
      </c>
      <c r="S1817">
        <v>1</v>
      </c>
    </row>
    <row r="1818" spans="1:19" x14ac:dyDescent="0.3">
      <c r="A1818" s="1">
        <v>43471</v>
      </c>
      <c r="B1818">
        <v>2019</v>
      </c>
      <c r="C1818" t="s">
        <v>26</v>
      </c>
      <c r="D1818" s="4">
        <v>273020</v>
      </c>
      <c r="E1818" s="2">
        <v>395000</v>
      </c>
      <c r="F1818" t="s">
        <v>19</v>
      </c>
      <c r="G1818" t="s">
        <v>20</v>
      </c>
      <c r="H1818">
        <v>3</v>
      </c>
      <c r="I1818">
        <v>3</v>
      </c>
      <c r="J1818">
        <v>994</v>
      </c>
      <c r="K1818" s="5">
        <v>1.0258995E-2</v>
      </c>
      <c r="L1818" t="s">
        <v>32</v>
      </c>
      <c r="M1818" s="4">
        <v>121980</v>
      </c>
      <c r="N1818" s="3">
        <v>397.3843</v>
      </c>
      <c r="O1818" t="s">
        <v>22</v>
      </c>
      <c r="P1818" t="s">
        <v>24</v>
      </c>
      <c r="Q1818" t="s">
        <v>24</v>
      </c>
      <c r="R1818" t="s">
        <v>25</v>
      </c>
      <c r="S1818">
        <v>1</v>
      </c>
    </row>
    <row r="1819" spans="1:19" x14ac:dyDescent="0.3">
      <c r="A1819" s="1">
        <v>43474</v>
      </c>
      <c r="B1819">
        <v>2019</v>
      </c>
      <c r="C1819" t="s">
        <v>26</v>
      </c>
      <c r="D1819" s="4">
        <v>464820</v>
      </c>
      <c r="E1819" s="2">
        <v>140000</v>
      </c>
      <c r="F1819" t="s">
        <v>19</v>
      </c>
      <c r="G1819" t="s">
        <v>20</v>
      </c>
      <c r="H1819">
        <v>3</v>
      </c>
      <c r="I1819">
        <v>2</v>
      </c>
      <c r="J1819">
        <v>1049</v>
      </c>
      <c r="K1819" s="5">
        <v>1.0258995E-2</v>
      </c>
      <c r="L1819" t="s">
        <v>38</v>
      </c>
      <c r="M1819" s="4">
        <v>-324820</v>
      </c>
      <c r="N1819" s="3">
        <v>133.46039999999999</v>
      </c>
      <c r="O1819" t="s">
        <v>33</v>
      </c>
      <c r="P1819" t="s">
        <v>23</v>
      </c>
      <c r="Q1819" t="s">
        <v>24</v>
      </c>
      <c r="R1819" t="s">
        <v>25</v>
      </c>
      <c r="S1819">
        <v>1</v>
      </c>
    </row>
    <row r="1820" spans="1:19" x14ac:dyDescent="0.3">
      <c r="A1820" s="1">
        <v>43475</v>
      </c>
      <c r="B1820">
        <v>2019</v>
      </c>
      <c r="C1820" t="s">
        <v>26</v>
      </c>
      <c r="D1820" s="4">
        <v>327840</v>
      </c>
      <c r="E1820" s="2">
        <v>390000</v>
      </c>
      <c r="F1820" t="s">
        <v>19</v>
      </c>
      <c r="G1820" t="s">
        <v>20</v>
      </c>
      <c r="H1820">
        <v>3</v>
      </c>
      <c r="I1820">
        <v>2</v>
      </c>
      <c r="J1820">
        <v>922</v>
      </c>
      <c r="K1820" s="5">
        <v>1.0258995E-2</v>
      </c>
      <c r="L1820" t="s">
        <v>27</v>
      </c>
      <c r="M1820" s="4">
        <v>62160</v>
      </c>
      <c r="N1820" s="3">
        <v>422.99349999999998</v>
      </c>
      <c r="O1820" t="s">
        <v>22</v>
      </c>
      <c r="P1820" t="s">
        <v>24</v>
      </c>
      <c r="Q1820" t="s">
        <v>24</v>
      </c>
      <c r="R1820" t="s">
        <v>25</v>
      </c>
      <c r="S1820">
        <v>1</v>
      </c>
    </row>
    <row r="1821" spans="1:19" x14ac:dyDescent="0.3">
      <c r="A1821" s="1">
        <v>43476</v>
      </c>
      <c r="B1821">
        <v>2019</v>
      </c>
      <c r="C1821" t="s">
        <v>26</v>
      </c>
      <c r="D1821" s="4">
        <v>532670</v>
      </c>
      <c r="E1821" s="2">
        <v>634000</v>
      </c>
      <c r="F1821" t="s">
        <v>19</v>
      </c>
      <c r="G1821" t="s">
        <v>20</v>
      </c>
      <c r="H1821">
        <v>3</v>
      </c>
      <c r="I1821">
        <v>3</v>
      </c>
      <c r="J1821">
        <v>1111.6589814177564</v>
      </c>
      <c r="K1821" s="5">
        <v>1.0258995E-2</v>
      </c>
      <c r="L1821" t="s">
        <v>38</v>
      </c>
      <c r="M1821" s="4">
        <v>101330</v>
      </c>
      <c r="N1821" s="3">
        <v>570.31880000000001</v>
      </c>
      <c r="O1821" t="s">
        <v>22</v>
      </c>
      <c r="P1821" t="s">
        <v>28</v>
      </c>
      <c r="Q1821" t="s">
        <v>24</v>
      </c>
      <c r="R1821" t="s">
        <v>25</v>
      </c>
      <c r="S1821">
        <v>1</v>
      </c>
    </row>
    <row r="1822" spans="1:19" x14ac:dyDescent="0.3">
      <c r="A1822" s="1">
        <v>43477</v>
      </c>
      <c r="B1822">
        <v>2019</v>
      </c>
      <c r="C1822" t="s">
        <v>56</v>
      </c>
      <c r="D1822" s="4">
        <v>453700</v>
      </c>
      <c r="E1822" s="2">
        <v>765000</v>
      </c>
      <c r="F1822" t="s">
        <v>19</v>
      </c>
      <c r="G1822" t="s">
        <v>20</v>
      </c>
      <c r="H1822">
        <v>3</v>
      </c>
      <c r="I1822">
        <v>3</v>
      </c>
      <c r="J1822">
        <v>1011</v>
      </c>
      <c r="K1822" s="5">
        <v>1.0258995E-2</v>
      </c>
      <c r="L1822" t="s">
        <v>32</v>
      </c>
      <c r="M1822" s="4">
        <v>311300</v>
      </c>
      <c r="N1822" s="3">
        <v>756.67660000000001</v>
      </c>
      <c r="O1822" t="s">
        <v>22</v>
      </c>
      <c r="P1822" t="s">
        <v>28</v>
      </c>
      <c r="Q1822" t="s">
        <v>24</v>
      </c>
      <c r="R1822" t="s">
        <v>25</v>
      </c>
      <c r="S1822">
        <v>1</v>
      </c>
    </row>
    <row r="1823" spans="1:19" x14ac:dyDescent="0.3">
      <c r="A1823" s="1">
        <v>43478</v>
      </c>
      <c r="B1823">
        <v>2019</v>
      </c>
      <c r="C1823" t="s">
        <v>18</v>
      </c>
      <c r="D1823" s="4">
        <v>82400</v>
      </c>
      <c r="E1823" s="2">
        <v>137500</v>
      </c>
      <c r="F1823" t="s">
        <v>19</v>
      </c>
      <c r="G1823" t="s">
        <v>20</v>
      </c>
      <c r="H1823">
        <v>3</v>
      </c>
      <c r="I1823">
        <v>3</v>
      </c>
      <c r="J1823">
        <v>928</v>
      </c>
      <c r="K1823" s="5">
        <v>1.0258995E-2</v>
      </c>
      <c r="L1823" t="s">
        <v>21</v>
      </c>
      <c r="M1823" s="4">
        <v>55100</v>
      </c>
      <c r="N1823" s="3">
        <v>148.16810000000001</v>
      </c>
      <c r="O1823" t="s">
        <v>22</v>
      </c>
      <c r="P1823" t="s">
        <v>23</v>
      </c>
      <c r="Q1823" t="s">
        <v>24</v>
      </c>
      <c r="R1823" t="s">
        <v>25</v>
      </c>
      <c r="S1823">
        <v>1</v>
      </c>
    </row>
    <row r="1824" spans="1:19" x14ac:dyDescent="0.3">
      <c r="A1824" s="1">
        <v>43482</v>
      </c>
      <c r="B1824">
        <v>2019</v>
      </c>
      <c r="C1824" t="s">
        <v>39</v>
      </c>
      <c r="D1824" s="4">
        <v>366310</v>
      </c>
      <c r="E1824" s="2">
        <v>475000</v>
      </c>
      <c r="F1824" t="s">
        <v>19</v>
      </c>
      <c r="G1824" t="s">
        <v>20</v>
      </c>
      <c r="H1824">
        <v>3</v>
      </c>
      <c r="I1824">
        <v>3</v>
      </c>
      <c r="J1824">
        <v>1058</v>
      </c>
      <c r="K1824" s="5">
        <v>1.0258995E-2</v>
      </c>
      <c r="L1824" t="s">
        <v>27</v>
      </c>
      <c r="M1824" s="4">
        <v>108690</v>
      </c>
      <c r="N1824" s="3">
        <v>448.96030000000002</v>
      </c>
      <c r="O1824" t="s">
        <v>22</v>
      </c>
      <c r="P1824" t="s">
        <v>24</v>
      </c>
      <c r="Q1824" t="s">
        <v>24</v>
      </c>
      <c r="R1824" t="s">
        <v>25</v>
      </c>
      <c r="S1824">
        <v>1</v>
      </c>
    </row>
    <row r="1825" spans="1:19" x14ac:dyDescent="0.3">
      <c r="A1825" s="1">
        <v>43483</v>
      </c>
      <c r="B1825">
        <v>2019</v>
      </c>
      <c r="C1825" t="s">
        <v>35</v>
      </c>
      <c r="D1825" s="4">
        <v>553630</v>
      </c>
      <c r="E1825" s="2">
        <v>755000</v>
      </c>
      <c r="F1825" t="s">
        <v>19</v>
      </c>
      <c r="G1825" t="s">
        <v>20</v>
      </c>
      <c r="H1825">
        <v>3</v>
      </c>
      <c r="I1825">
        <v>1</v>
      </c>
      <c r="J1825">
        <v>1040</v>
      </c>
      <c r="K1825" s="5">
        <v>1.0258995E-2</v>
      </c>
      <c r="L1825" t="s">
        <v>27</v>
      </c>
      <c r="M1825" s="4">
        <v>201370</v>
      </c>
      <c r="N1825" s="3">
        <v>725.9615</v>
      </c>
      <c r="O1825" t="s">
        <v>22</v>
      </c>
      <c r="P1825" t="s">
        <v>28</v>
      </c>
      <c r="Q1825" t="s">
        <v>24</v>
      </c>
      <c r="R1825" t="s">
        <v>25</v>
      </c>
      <c r="S1825">
        <v>1</v>
      </c>
    </row>
    <row r="1826" spans="1:19" x14ac:dyDescent="0.3">
      <c r="A1826" s="1">
        <v>43485</v>
      </c>
      <c r="B1826">
        <v>2019</v>
      </c>
      <c r="C1826" t="s">
        <v>40</v>
      </c>
      <c r="D1826" s="4">
        <v>575260</v>
      </c>
      <c r="E1826" s="2">
        <v>750000</v>
      </c>
      <c r="F1826" t="s">
        <v>19</v>
      </c>
      <c r="G1826" t="s">
        <v>20</v>
      </c>
      <c r="H1826">
        <v>3</v>
      </c>
      <c r="I1826">
        <v>2</v>
      </c>
      <c r="J1826">
        <v>1076</v>
      </c>
      <c r="K1826" s="5">
        <v>1.0258995E-2</v>
      </c>
      <c r="L1826" t="s">
        <v>27</v>
      </c>
      <c r="M1826" s="4">
        <v>174740</v>
      </c>
      <c r="N1826" s="3">
        <v>697.02599999999995</v>
      </c>
      <c r="O1826" t="s">
        <v>22</v>
      </c>
      <c r="P1826" t="s">
        <v>28</v>
      </c>
      <c r="Q1826" t="s">
        <v>24</v>
      </c>
      <c r="R1826" t="s">
        <v>25</v>
      </c>
      <c r="S1826">
        <v>1</v>
      </c>
    </row>
    <row r="1827" spans="1:19" x14ac:dyDescent="0.3">
      <c r="A1827" s="1">
        <v>43488</v>
      </c>
      <c r="B1827">
        <v>2019</v>
      </c>
      <c r="C1827" t="s">
        <v>29</v>
      </c>
      <c r="D1827" s="4">
        <v>164050</v>
      </c>
      <c r="E1827" s="2">
        <v>248000</v>
      </c>
      <c r="F1827" t="s">
        <v>36</v>
      </c>
      <c r="G1827" t="s">
        <v>37</v>
      </c>
      <c r="H1827">
        <v>6</v>
      </c>
      <c r="I1827">
        <v>5</v>
      </c>
      <c r="J1827">
        <v>1904</v>
      </c>
      <c r="K1827" s="5">
        <v>1.0258995E-2</v>
      </c>
      <c r="L1827" t="s">
        <v>27</v>
      </c>
      <c r="M1827" s="4">
        <v>83950</v>
      </c>
      <c r="N1827" s="3">
        <v>130.25210000000001</v>
      </c>
      <c r="O1827" t="s">
        <v>22</v>
      </c>
      <c r="P1827" t="s">
        <v>24</v>
      </c>
      <c r="Q1827" t="s">
        <v>34</v>
      </c>
      <c r="R1827" t="s">
        <v>25</v>
      </c>
      <c r="S1827">
        <v>1</v>
      </c>
    </row>
    <row r="1828" spans="1:19" x14ac:dyDescent="0.3">
      <c r="A1828" s="1">
        <v>43490</v>
      </c>
      <c r="B1828">
        <v>2019</v>
      </c>
      <c r="C1828" t="s">
        <v>56</v>
      </c>
      <c r="D1828" s="4">
        <v>154500</v>
      </c>
      <c r="E1828" s="2">
        <v>940000</v>
      </c>
      <c r="F1828" t="s">
        <v>19</v>
      </c>
      <c r="G1828" t="s">
        <v>20</v>
      </c>
      <c r="H1828">
        <v>3</v>
      </c>
      <c r="I1828">
        <v>2</v>
      </c>
      <c r="J1828">
        <v>1089</v>
      </c>
      <c r="K1828" s="5">
        <v>1.0258995E-2</v>
      </c>
      <c r="L1828" t="s">
        <v>21</v>
      </c>
      <c r="M1828" s="4">
        <v>785500</v>
      </c>
      <c r="N1828" s="3">
        <v>863.17719999999997</v>
      </c>
      <c r="O1828" t="s">
        <v>22</v>
      </c>
      <c r="P1828" t="s">
        <v>28</v>
      </c>
      <c r="Q1828" t="s">
        <v>24</v>
      </c>
      <c r="R1828" t="s">
        <v>25</v>
      </c>
      <c r="S1828">
        <v>1</v>
      </c>
    </row>
    <row r="1829" spans="1:19" x14ac:dyDescent="0.3">
      <c r="A1829" s="1">
        <v>43491</v>
      </c>
      <c r="B1829">
        <v>2019</v>
      </c>
      <c r="C1829" t="s">
        <v>29</v>
      </c>
      <c r="D1829" s="4">
        <v>102350</v>
      </c>
      <c r="E1829" s="2">
        <v>65000</v>
      </c>
      <c r="F1829" t="s">
        <v>30</v>
      </c>
      <c r="G1829" t="s">
        <v>31</v>
      </c>
      <c r="H1829">
        <v>4</v>
      </c>
      <c r="I1829">
        <v>2</v>
      </c>
      <c r="J1829">
        <v>1261</v>
      </c>
      <c r="K1829" s="5">
        <v>1.0258995E-2</v>
      </c>
      <c r="L1829" t="s">
        <v>27</v>
      </c>
      <c r="M1829" s="4">
        <v>-37350</v>
      </c>
      <c r="N1829" s="3">
        <v>51.546399999999998</v>
      </c>
      <c r="O1829" t="s">
        <v>33</v>
      </c>
      <c r="P1829" t="s">
        <v>23</v>
      </c>
      <c r="Q1829" t="s">
        <v>24</v>
      </c>
      <c r="R1829" t="s">
        <v>25</v>
      </c>
      <c r="S1829">
        <v>1</v>
      </c>
    </row>
    <row r="1830" spans="1:19" x14ac:dyDescent="0.3">
      <c r="A1830" s="1">
        <v>43492</v>
      </c>
      <c r="B1830">
        <v>2019</v>
      </c>
      <c r="C1830" t="s">
        <v>29</v>
      </c>
      <c r="D1830" s="4">
        <v>93490</v>
      </c>
      <c r="E1830" s="2">
        <v>130101</v>
      </c>
      <c r="F1830" t="s">
        <v>36</v>
      </c>
      <c r="G1830" t="s">
        <v>37</v>
      </c>
      <c r="H1830">
        <v>6</v>
      </c>
      <c r="I1830">
        <v>6</v>
      </c>
      <c r="J1830">
        <v>2056</v>
      </c>
      <c r="K1830" s="5">
        <v>1.0258995E-2</v>
      </c>
      <c r="L1830" t="s">
        <v>27</v>
      </c>
      <c r="M1830" s="4">
        <v>36611</v>
      </c>
      <c r="N1830" s="3">
        <v>63.278700000000001</v>
      </c>
      <c r="O1830" t="s">
        <v>22</v>
      </c>
      <c r="P1830" t="s">
        <v>23</v>
      </c>
      <c r="Q1830" t="s">
        <v>34</v>
      </c>
      <c r="R1830" t="s">
        <v>25</v>
      </c>
      <c r="S1830">
        <v>1</v>
      </c>
    </row>
    <row r="1831" spans="1:19" x14ac:dyDescent="0.3">
      <c r="A1831" s="1">
        <v>43495</v>
      </c>
      <c r="B1831">
        <v>2019</v>
      </c>
      <c r="C1831" t="s">
        <v>26</v>
      </c>
      <c r="D1831" s="4">
        <v>239330</v>
      </c>
      <c r="E1831" s="2">
        <v>200000</v>
      </c>
      <c r="F1831" t="s">
        <v>19</v>
      </c>
      <c r="G1831" t="s">
        <v>20</v>
      </c>
      <c r="H1831">
        <v>3</v>
      </c>
      <c r="I1831">
        <v>1</v>
      </c>
      <c r="J1831">
        <v>1111.6589814177564</v>
      </c>
      <c r="K1831" s="5">
        <v>1.0258995E-2</v>
      </c>
      <c r="L1831" t="s">
        <v>32</v>
      </c>
      <c r="M1831" s="4">
        <v>-39330</v>
      </c>
      <c r="N1831" s="3">
        <v>179.91130000000001</v>
      </c>
      <c r="O1831" t="s">
        <v>33</v>
      </c>
      <c r="P1831" t="s">
        <v>24</v>
      </c>
      <c r="Q1831" t="s">
        <v>24</v>
      </c>
      <c r="R1831" t="s">
        <v>25</v>
      </c>
      <c r="S1831">
        <v>1</v>
      </c>
    </row>
    <row r="1832" spans="1:19" x14ac:dyDescent="0.3">
      <c r="A1832" s="1">
        <v>43496</v>
      </c>
      <c r="B1832">
        <v>2019</v>
      </c>
      <c r="C1832" t="s">
        <v>40</v>
      </c>
      <c r="D1832" s="4">
        <v>346560</v>
      </c>
      <c r="E1832" s="2">
        <v>440000</v>
      </c>
      <c r="F1832" t="s">
        <v>19</v>
      </c>
      <c r="G1832" t="s">
        <v>20</v>
      </c>
      <c r="H1832">
        <v>3</v>
      </c>
      <c r="I1832">
        <v>2</v>
      </c>
      <c r="J1832">
        <v>1029</v>
      </c>
      <c r="K1832" s="5">
        <v>1.0258995E-2</v>
      </c>
      <c r="L1832" t="s">
        <v>38</v>
      </c>
      <c r="M1832" s="4">
        <v>93440</v>
      </c>
      <c r="N1832" s="3">
        <v>427.59960000000001</v>
      </c>
      <c r="O1832" t="s">
        <v>22</v>
      </c>
      <c r="P1832" t="s">
        <v>24</v>
      </c>
      <c r="Q1832" t="s">
        <v>24</v>
      </c>
      <c r="R1832" t="s">
        <v>25</v>
      </c>
      <c r="S1832">
        <v>1</v>
      </c>
    </row>
    <row r="1833" spans="1:19" x14ac:dyDescent="0.3">
      <c r="A1833" s="1">
        <v>43497</v>
      </c>
      <c r="B1833">
        <v>2019</v>
      </c>
      <c r="C1833" t="s">
        <v>18</v>
      </c>
      <c r="D1833" s="4">
        <v>444584.20699999999</v>
      </c>
      <c r="E1833" s="2">
        <v>77900</v>
      </c>
      <c r="F1833" t="s">
        <v>19</v>
      </c>
      <c r="G1833" t="s">
        <v>20</v>
      </c>
      <c r="H1833">
        <v>3</v>
      </c>
      <c r="I1833">
        <v>3</v>
      </c>
      <c r="J1833">
        <v>917</v>
      </c>
      <c r="K1833" s="5">
        <v>1.0258995E-2</v>
      </c>
      <c r="L1833" t="s">
        <v>38</v>
      </c>
      <c r="M1833" s="4">
        <v>-366684.20699999999</v>
      </c>
      <c r="N1833" s="3">
        <v>84.950900000000004</v>
      </c>
      <c r="O1833" t="s">
        <v>33</v>
      </c>
      <c r="P1833" t="s">
        <v>23</v>
      </c>
      <c r="Q1833" t="s">
        <v>24</v>
      </c>
      <c r="R1833" t="s">
        <v>41</v>
      </c>
      <c r="S1833">
        <v>2</v>
      </c>
    </row>
    <row r="1834" spans="1:19" x14ac:dyDescent="0.3">
      <c r="A1834" s="1">
        <v>43499</v>
      </c>
      <c r="B1834">
        <v>2019</v>
      </c>
      <c r="C1834" t="s">
        <v>29</v>
      </c>
      <c r="D1834" s="4">
        <v>122330</v>
      </c>
      <c r="E1834" s="2">
        <v>65000</v>
      </c>
      <c r="F1834" t="s">
        <v>36</v>
      </c>
      <c r="G1834" t="s">
        <v>37</v>
      </c>
      <c r="H1834">
        <v>6</v>
      </c>
      <c r="I1834">
        <v>6</v>
      </c>
      <c r="J1834">
        <v>1934</v>
      </c>
      <c r="K1834" s="5">
        <v>1.0258995E-2</v>
      </c>
      <c r="L1834" t="s">
        <v>21</v>
      </c>
      <c r="M1834" s="4">
        <v>-57330</v>
      </c>
      <c r="N1834" s="3">
        <v>33.609099999999998</v>
      </c>
      <c r="O1834" t="s">
        <v>33</v>
      </c>
      <c r="P1834" t="s">
        <v>23</v>
      </c>
      <c r="Q1834" t="s">
        <v>34</v>
      </c>
      <c r="R1834" t="s">
        <v>41</v>
      </c>
      <c r="S1834">
        <v>2</v>
      </c>
    </row>
    <row r="1835" spans="1:19" x14ac:dyDescent="0.3">
      <c r="A1835" s="1">
        <v>43502</v>
      </c>
      <c r="B1835">
        <v>2019</v>
      </c>
      <c r="C1835" t="s">
        <v>29</v>
      </c>
      <c r="D1835" s="4">
        <v>97230</v>
      </c>
      <c r="E1835" s="2">
        <v>118000</v>
      </c>
      <c r="F1835" t="s">
        <v>19</v>
      </c>
      <c r="G1835" t="s">
        <v>20</v>
      </c>
      <c r="H1835">
        <v>3</v>
      </c>
      <c r="I1835">
        <v>2</v>
      </c>
      <c r="J1835">
        <v>985</v>
      </c>
      <c r="K1835" s="5">
        <v>1.0258995E-2</v>
      </c>
      <c r="L1835" t="s">
        <v>27</v>
      </c>
      <c r="M1835" s="4">
        <v>20770</v>
      </c>
      <c r="N1835" s="3">
        <v>119.797</v>
      </c>
      <c r="O1835" t="s">
        <v>22</v>
      </c>
      <c r="P1835" t="s">
        <v>23</v>
      </c>
      <c r="Q1835" t="s">
        <v>24</v>
      </c>
      <c r="R1835" t="s">
        <v>41</v>
      </c>
      <c r="S1835">
        <v>2</v>
      </c>
    </row>
    <row r="1836" spans="1:19" x14ac:dyDescent="0.3">
      <c r="A1836" s="1">
        <v>43504</v>
      </c>
      <c r="B1836">
        <v>2019</v>
      </c>
      <c r="C1836" t="s">
        <v>18</v>
      </c>
      <c r="D1836" s="4">
        <v>444584.20699999999</v>
      </c>
      <c r="E1836" s="2">
        <v>57000</v>
      </c>
      <c r="F1836" t="s">
        <v>36</v>
      </c>
      <c r="G1836" t="s">
        <v>37</v>
      </c>
      <c r="H1836">
        <v>6</v>
      </c>
      <c r="I1836">
        <v>6</v>
      </c>
      <c r="J1836">
        <v>1111.6589814177564</v>
      </c>
      <c r="K1836" s="5">
        <v>1.0258995E-2</v>
      </c>
      <c r="L1836" t="s">
        <v>21</v>
      </c>
      <c r="M1836" s="4">
        <v>-387584.20699999999</v>
      </c>
      <c r="N1836" s="3">
        <v>51.274700000000003</v>
      </c>
      <c r="O1836" t="s">
        <v>33</v>
      </c>
      <c r="P1836" t="s">
        <v>23</v>
      </c>
      <c r="Q1836" t="s">
        <v>24</v>
      </c>
      <c r="R1836" t="s">
        <v>41</v>
      </c>
      <c r="S1836">
        <v>2</v>
      </c>
    </row>
    <row r="1837" spans="1:19" x14ac:dyDescent="0.3">
      <c r="A1837" s="1">
        <v>43506</v>
      </c>
      <c r="B1837">
        <v>2019</v>
      </c>
      <c r="C1837" t="s">
        <v>56</v>
      </c>
      <c r="D1837" s="4">
        <v>237430</v>
      </c>
      <c r="E1837" s="2">
        <v>269000</v>
      </c>
      <c r="F1837" t="s">
        <v>19</v>
      </c>
      <c r="G1837" t="s">
        <v>20</v>
      </c>
      <c r="H1837">
        <v>3</v>
      </c>
      <c r="I1837">
        <v>1</v>
      </c>
      <c r="J1837">
        <v>957</v>
      </c>
      <c r="K1837" s="5">
        <v>1.0258995E-2</v>
      </c>
      <c r="L1837" t="s">
        <v>38</v>
      </c>
      <c r="M1837" s="4">
        <v>31570</v>
      </c>
      <c r="N1837" s="3">
        <v>281.08670000000001</v>
      </c>
      <c r="O1837" t="s">
        <v>22</v>
      </c>
      <c r="P1837" t="s">
        <v>24</v>
      </c>
      <c r="Q1837" t="s">
        <v>24</v>
      </c>
      <c r="R1837" t="s">
        <v>41</v>
      </c>
      <c r="S1837">
        <v>2</v>
      </c>
    </row>
    <row r="1838" spans="1:19" x14ac:dyDescent="0.3">
      <c r="A1838" s="1">
        <v>43510</v>
      </c>
      <c r="B1838">
        <v>2019</v>
      </c>
      <c r="C1838" t="s">
        <v>29</v>
      </c>
      <c r="D1838" s="4">
        <v>119530</v>
      </c>
      <c r="E1838" s="2">
        <v>100800</v>
      </c>
      <c r="F1838" t="s">
        <v>19</v>
      </c>
      <c r="G1838" t="s">
        <v>20</v>
      </c>
      <c r="H1838">
        <v>3</v>
      </c>
      <c r="I1838">
        <v>3</v>
      </c>
      <c r="J1838">
        <v>1084</v>
      </c>
      <c r="K1838" s="5">
        <v>1.0258995E-2</v>
      </c>
      <c r="L1838" t="s">
        <v>21</v>
      </c>
      <c r="M1838" s="4">
        <v>-18730</v>
      </c>
      <c r="N1838" s="3">
        <v>92.988900000000001</v>
      </c>
      <c r="O1838" t="s">
        <v>33</v>
      </c>
      <c r="P1838" t="s">
        <v>23</v>
      </c>
      <c r="Q1838" t="s">
        <v>24</v>
      </c>
      <c r="R1838" t="s">
        <v>41</v>
      </c>
      <c r="S1838">
        <v>2</v>
      </c>
    </row>
    <row r="1839" spans="1:19" x14ac:dyDescent="0.3">
      <c r="A1839" s="1">
        <v>43512</v>
      </c>
      <c r="B1839">
        <v>2019</v>
      </c>
      <c r="C1839" t="s">
        <v>26</v>
      </c>
      <c r="D1839" s="4">
        <v>239590</v>
      </c>
      <c r="E1839" s="2">
        <v>320000</v>
      </c>
      <c r="F1839" t="s">
        <v>19</v>
      </c>
      <c r="G1839" t="s">
        <v>20</v>
      </c>
      <c r="H1839">
        <v>3</v>
      </c>
      <c r="I1839">
        <v>2</v>
      </c>
      <c r="J1839">
        <v>905</v>
      </c>
      <c r="K1839" s="5">
        <v>1.0258995E-2</v>
      </c>
      <c r="L1839" t="s">
        <v>32</v>
      </c>
      <c r="M1839" s="4">
        <v>80410</v>
      </c>
      <c r="N1839" s="3">
        <v>353.59120000000001</v>
      </c>
      <c r="O1839" t="s">
        <v>22</v>
      </c>
      <c r="P1839" t="s">
        <v>24</v>
      </c>
      <c r="Q1839" t="s">
        <v>24</v>
      </c>
      <c r="R1839" t="s">
        <v>41</v>
      </c>
      <c r="S1839">
        <v>2</v>
      </c>
    </row>
    <row r="1840" spans="1:19" x14ac:dyDescent="0.3">
      <c r="A1840" s="1">
        <v>43513</v>
      </c>
      <c r="B1840">
        <v>2019</v>
      </c>
      <c r="C1840" t="s">
        <v>56</v>
      </c>
      <c r="D1840" s="4">
        <v>194620</v>
      </c>
      <c r="E1840" s="2">
        <v>405000</v>
      </c>
      <c r="F1840" t="s">
        <v>30</v>
      </c>
      <c r="G1840" t="s">
        <v>31</v>
      </c>
      <c r="H1840">
        <v>4</v>
      </c>
      <c r="I1840">
        <v>2</v>
      </c>
      <c r="J1840">
        <v>1398</v>
      </c>
      <c r="K1840" s="5">
        <v>1.0258995E-2</v>
      </c>
      <c r="L1840" t="s">
        <v>38</v>
      </c>
      <c r="M1840" s="4">
        <v>210380</v>
      </c>
      <c r="N1840" s="3">
        <v>289.69959999999998</v>
      </c>
      <c r="O1840" t="s">
        <v>22</v>
      </c>
      <c r="P1840" t="s">
        <v>24</v>
      </c>
      <c r="Q1840" t="s">
        <v>34</v>
      </c>
      <c r="R1840" t="s">
        <v>41</v>
      </c>
      <c r="S1840">
        <v>2</v>
      </c>
    </row>
    <row r="1841" spans="1:19" x14ac:dyDescent="0.3">
      <c r="A1841" s="1">
        <v>43517</v>
      </c>
      <c r="B1841">
        <v>2019</v>
      </c>
      <c r="C1841" t="s">
        <v>29</v>
      </c>
      <c r="D1841" s="4">
        <v>129180</v>
      </c>
      <c r="E1841" s="2">
        <v>240000</v>
      </c>
      <c r="F1841" t="s">
        <v>30</v>
      </c>
      <c r="G1841" t="s">
        <v>31</v>
      </c>
      <c r="H1841">
        <v>4</v>
      </c>
      <c r="I1841">
        <v>4</v>
      </c>
      <c r="J1841">
        <v>1415</v>
      </c>
      <c r="K1841" s="5">
        <v>1.0258995E-2</v>
      </c>
      <c r="L1841" t="s">
        <v>21</v>
      </c>
      <c r="M1841" s="4">
        <v>110820</v>
      </c>
      <c r="N1841" s="3">
        <v>169.6113</v>
      </c>
      <c r="O1841" t="s">
        <v>22</v>
      </c>
      <c r="P1841" t="s">
        <v>24</v>
      </c>
      <c r="Q1841" t="s">
        <v>34</v>
      </c>
      <c r="R1841" t="s">
        <v>41</v>
      </c>
      <c r="S1841">
        <v>2</v>
      </c>
    </row>
    <row r="1842" spans="1:19" x14ac:dyDescent="0.3">
      <c r="A1842" s="1">
        <v>43518</v>
      </c>
      <c r="B1842">
        <v>2019</v>
      </c>
      <c r="C1842" t="s">
        <v>39</v>
      </c>
      <c r="D1842" s="4">
        <v>365890</v>
      </c>
      <c r="E1842" s="2">
        <v>615000</v>
      </c>
      <c r="F1842" t="s">
        <v>19</v>
      </c>
      <c r="G1842" t="s">
        <v>20</v>
      </c>
      <c r="H1842">
        <v>3</v>
      </c>
      <c r="I1842">
        <v>2</v>
      </c>
      <c r="J1842">
        <v>1065</v>
      </c>
      <c r="K1842" s="5">
        <v>1.0258995E-2</v>
      </c>
      <c r="L1842" t="s">
        <v>21</v>
      </c>
      <c r="M1842" s="4">
        <v>249110</v>
      </c>
      <c r="N1842" s="3">
        <v>577.46479999999997</v>
      </c>
      <c r="O1842" t="s">
        <v>22</v>
      </c>
      <c r="P1842" t="s">
        <v>28</v>
      </c>
      <c r="Q1842" t="s">
        <v>24</v>
      </c>
      <c r="R1842" t="s">
        <v>41</v>
      </c>
      <c r="S1842">
        <v>2</v>
      </c>
    </row>
    <row r="1843" spans="1:19" x14ac:dyDescent="0.3">
      <c r="A1843" s="1">
        <v>43519</v>
      </c>
      <c r="B1843">
        <v>2019</v>
      </c>
      <c r="C1843" t="s">
        <v>18</v>
      </c>
      <c r="D1843" s="4">
        <v>444584.20699999999</v>
      </c>
      <c r="E1843" s="2">
        <v>64900</v>
      </c>
      <c r="F1843" t="s">
        <v>19</v>
      </c>
      <c r="G1843" t="s">
        <v>20</v>
      </c>
      <c r="H1843">
        <v>3</v>
      </c>
      <c r="I1843">
        <v>3</v>
      </c>
      <c r="J1843">
        <v>962</v>
      </c>
      <c r="K1843" s="5">
        <v>1.0258995E-2</v>
      </c>
      <c r="L1843" t="s">
        <v>32</v>
      </c>
      <c r="M1843" s="4">
        <v>-379684.20699999999</v>
      </c>
      <c r="N1843" s="3">
        <v>67.4636</v>
      </c>
      <c r="O1843" t="s">
        <v>33</v>
      </c>
      <c r="P1843" t="s">
        <v>23</v>
      </c>
      <c r="Q1843" t="s">
        <v>24</v>
      </c>
      <c r="R1843" t="s">
        <v>41</v>
      </c>
      <c r="S1843">
        <v>2</v>
      </c>
    </row>
    <row r="1844" spans="1:19" x14ac:dyDescent="0.3">
      <c r="A1844" s="1">
        <v>43520</v>
      </c>
      <c r="B1844">
        <v>2019</v>
      </c>
      <c r="C1844" t="s">
        <v>29</v>
      </c>
      <c r="D1844" s="4">
        <v>78860</v>
      </c>
      <c r="E1844" s="2">
        <v>110000</v>
      </c>
      <c r="F1844" t="s">
        <v>30</v>
      </c>
      <c r="G1844" t="s">
        <v>31</v>
      </c>
      <c r="H1844">
        <v>4</v>
      </c>
      <c r="I1844">
        <v>2</v>
      </c>
      <c r="J1844">
        <v>1431</v>
      </c>
      <c r="K1844" s="5">
        <v>1.0258995E-2</v>
      </c>
      <c r="L1844" t="s">
        <v>38</v>
      </c>
      <c r="M1844" s="4">
        <v>31140</v>
      </c>
      <c r="N1844" s="3">
        <v>76.869299999999996</v>
      </c>
      <c r="O1844" t="s">
        <v>22</v>
      </c>
      <c r="P1844" t="s">
        <v>23</v>
      </c>
      <c r="Q1844" t="s">
        <v>34</v>
      </c>
      <c r="R1844" t="s">
        <v>41</v>
      </c>
      <c r="S1844">
        <v>2</v>
      </c>
    </row>
    <row r="1845" spans="1:19" x14ac:dyDescent="0.3">
      <c r="A1845" s="1">
        <v>43523</v>
      </c>
      <c r="B1845">
        <v>2019</v>
      </c>
      <c r="C1845" t="s">
        <v>56</v>
      </c>
      <c r="D1845" s="4">
        <v>267390</v>
      </c>
      <c r="E1845" s="2">
        <v>245000</v>
      </c>
      <c r="F1845" t="s">
        <v>19</v>
      </c>
      <c r="G1845" t="s">
        <v>20</v>
      </c>
      <c r="H1845">
        <v>3</v>
      </c>
      <c r="I1845">
        <v>3</v>
      </c>
      <c r="J1845">
        <v>920</v>
      </c>
      <c r="K1845" s="5">
        <v>1.0258995E-2</v>
      </c>
      <c r="L1845" t="s">
        <v>27</v>
      </c>
      <c r="M1845" s="4">
        <v>-22390</v>
      </c>
      <c r="N1845" s="3">
        <v>266.30430000000001</v>
      </c>
      <c r="O1845" t="s">
        <v>33</v>
      </c>
      <c r="P1845" t="s">
        <v>24</v>
      </c>
      <c r="Q1845" t="s">
        <v>24</v>
      </c>
      <c r="R1845" t="s">
        <v>41</v>
      </c>
      <c r="S1845">
        <v>2</v>
      </c>
    </row>
    <row r="1846" spans="1:19" x14ac:dyDescent="0.3">
      <c r="A1846" s="1">
        <v>43524</v>
      </c>
      <c r="B1846">
        <v>2019</v>
      </c>
      <c r="C1846" t="s">
        <v>40</v>
      </c>
      <c r="D1846" s="4">
        <v>444584.20699999999</v>
      </c>
      <c r="E1846" s="2">
        <v>2680000</v>
      </c>
      <c r="F1846" t="s">
        <v>19</v>
      </c>
      <c r="G1846" t="s">
        <v>20</v>
      </c>
      <c r="H1846">
        <v>3</v>
      </c>
      <c r="I1846">
        <v>3</v>
      </c>
      <c r="J1846">
        <v>903</v>
      </c>
      <c r="K1846" s="5">
        <v>1.0258995E-2</v>
      </c>
      <c r="L1846" t="s">
        <v>38</v>
      </c>
      <c r="M1846" s="4">
        <v>2235415.7930000001</v>
      </c>
      <c r="N1846" s="3">
        <v>2967.8847999999998</v>
      </c>
      <c r="O1846" t="s">
        <v>22</v>
      </c>
      <c r="P1846" t="s">
        <v>28</v>
      </c>
      <c r="Q1846" t="s">
        <v>24</v>
      </c>
      <c r="R1846" t="s">
        <v>41</v>
      </c>
      <c r="S1846">
        <v>2</v>
      </c>
    </row>
    <row r="1847" spans="1:19" x14ac:dyDescent="0.3">
      <c r="A1847" s="1">
        <v>43525</v>
      </c>
      <c r="B1847">
        <v>2019</v>
      </c>
      <c r="C1847" t="s">
        <v>29</v>
      </c>
      <c r="D1847" s="4">
        <v>91580</v>
      </c>
      <c r="E1847" s="2">
        <v>90000</v>
      </c>
      <c r="F1847" t="s">
        <v>30</v>
      </c>
      <c r="G1847" t="s">
        <v>31</v>
      </c>
      <c r="H1847">
        <v>4</v>
      </c>
      <c r="I1847">
        <v>3</v>
      </c>
      <c r="J1847">
        <v>1218</v>
      </c>
      <c r="K1847" s="5">
        <v>1.0258995E-2</v>
      </c>
      <c r="L1847" t="s">
        <v>38</v>
      </c>
      <c r="M1847" s="4">
        <v>-1580</v>
      </c>
      <c r="N1847" s="3">
        <v>73.891599999999997</v>
      </c>
      <c r="O1847" t="s">
        <v>33</v>
      </c>
      <c r="P1847" t="s">
        <v>23</v>
      </c>
      <c r="Q1847" t="s">
        <v>24</v>
      </c>
      <c r="R1847" t="s">
        <v>44</v>
      </c>
      <c r="S1847">
        <v>3</v>
      </c>
    </row>
    <row r="1848" spans="1:19" x14ac:dyDescent="0.3">
      <c r="A1848" s="1">
        <v>43526</v>
      </c>
      <c r="B1848">
        <v>2019</v>
      </c>
      <c r="C1848" t="s">
        <v>40</v>
      </c>
      <c r="D1848" s="4">
        <v>476490</v>
      </c>
      <c r="E1848" s="2">
        <v>721000</v>
      </c>
      <c r="F1848" t="s">
        <v>19</v>
      </c>
      <c r="G1848" t="s">
        <v>20</v>
      </c>
      <c r="H1848">
        <v>3</v>
      </c>
      <c r="I1848">
        <v>2</v>
      </c>
      <c r="J1848">
        <v>969</v>
      </c>
      <c r="K1848" s="5">
        <v>1.0258995E-2</v>
      </c>
      <c r="L1848" t="s">
        <v>38</v>
      </c>
      <c r="M1848" s="4">
        <v>244510</v>
      </c>
      <c r="N1848" s="3">
        <v>744.06600000000003</v>
      </c>
      <c r="O1848" t="s">
        <v>22</v>
      </c>
      <c r="P1848" t="s">
        <v>28</v>
      </c>
      <c r="Q1848" t="s">
        <v>24</v>
      </c>
      <c r="R1848" t="s">
        <v>44</v>
      </c>
      <c r="S1848">
        <v>3</v>
      </c>
    </row>
    <row r="1849" spans="1:19" x14ac:dyDescent="0.3">
      <c r="A1849" s="1">
        <v>43527</v>
      </c>
      <c r="B1849">
        <v>2019</v>
      </c>
      <c r="C1849" t="s">
        <v>56</v>
      </c>
      <c r="D1849" s="4">
        <v>864740</v>
      </c>
      <c r="E1849" s="2">
        <v>925000</v>
      </c>
      <c r="F1849" t="s">
        <v>19</v>
      </c>
      <c r="G1849" t="s">
        <v>20</v>
      </c>
      <c r="H1849">
        <v>3</v>
      </c>
      <c r="I1849">
        <v>1</v>
      </c>
      <c r="J1849">
        <v>1046</v>
      </c>
      <c r="K1849" s="5">
        <v>1.0258995E-2</v>
      </c>
      <c r="L1849" t="s">
        <v>38</v>
      </c>
      <c r="M1849" s="4">
        <v>60260</v>
      </c>
      <c r="N1849" s="3">
        <v>884.32119999999998</v>
      </c>
      <c r="O1849" t="s">
        <v>22</v>
      </c>
      <c r="P1849" t="s">
        <v>28</v>
      </c>
      <c r="Q1849" t="s">
        <v>24</v>
      </c>
      <c r="R1849" t="s">
        <v>44</v>
      </c>
      <c r="S1849">
        <v>3</v>
      </c>
    </row>
    <row r="1850" spans="1:19" x14ac:dyDescent="0.3">
      <c r="A1850" s="1">
        <v>43531</v>
      </c>
      <c r="B1850">
        <v>2019</v>
      </c>
      <c r="C1850" t="s">
        <v>29</v>
      </c>
      <c r="D1850" s="4">
        <v>66170</v>
      </c>
      <c r="E1850" s="2">
        <v>43377</v>
      </c>
      <c r="F1850" t="s">
        <v>19</v>
      </c>
      <c r="G1850" t="s">
        <v>20</v>
      </c>
      <c r="H1850">
        <v>3</v>
      </c>
      <c r="I1850">
        <v>1</v>
      </c>
      <c r="J1850">
        <v>969</v>
      </c>
      <c r="K1850" s="5">
        <v>1.0258995E-2</v>
      </c>
      <c r="L1850" t="s">
        <v>38</v>
      </c>
      <c r="M1850" s="4">
        <v>-22793</v>
      </c>
      <c r="N1850" s="3">
        <v>44.764699999999998</v>
      </c>
      <c r="O1850" t="s">
        <v>33</v>
      </c>
      <c r="P1850" t="s">
        <v>23</v>
      </c>
      <c r="Q1850" t="s">
        <v>24</v>
      </c>
      <c r="R1850" t="s">
        <v>44</v>
      </c>
      <c r="S1850">
        <v>3</v>
      </c>
    </row>
    <row r="1851" spans="1:19" x14ac:dyDescent="0.3">
      <c r="A1851" s="1">
        <v>43533</v>
      </c>
      <c r="B1851">
        <v>2019</v>
      </c>
      <c r="C1851" t="s">
        <v>26</v>
      </c>
      <c r="D1851" s="4">
        <v>176430</v>
      </c>
      <c r="E1851" s="2">
        <v>174399</v>
      </c>
      <c r="F1851" t="s">
        <v>19</v>
      </c>
      <c r="G1851" t="s">
        <v>20</v>
      </c>
      <c r="H1851">
        <v>3</v>
      </c>
      <c r="I1851">
        <v>1</v>
      </c>
      <c r="J1851">
        <v>990</v>
      </c>
      <c r="K1851" s="5">
        <v>1.0258995E-2</v>
      </c>
      <c r="L1851" t="s">
        <v>27</v>
      </c>
      <c r="M1851" s="4">
        <v>-2031</v>
      </c>
      <c r="N1851" s="3">
        <v>176.16059999999999</v>
      </c>
      <c r="O1851" t="s">
        <v>33</v>
      </c>
      <c r="P1851" t="s">
        <v>23</v>
      </c>
      <c r="Q1851" t="s">
        <v>24</v>
      </c>
      <c r="R1851" t="s">
        <v>44</v>
      </c>
      <c r="S1851">
        <v>3</v>
      </c>
    </row>
    <row r="1852" spans="1:19" x14ac:dyDescent="0.3">
      <c r="A1852" s="1">
        <v>43537</v>
      </c>
      <c r="B1852">
        <v>2019</v>
      </c>
      <c r="C1852" t="s">
        <v>35</v>
      </c>
      <c r="D1852" s="4">
        <v>1721510</v>
      </c>
      <c r="E1852" s="2">
        <v>2525000</v>
      </c>
      <c r="F1852" t="s">
        <v>19</v>
      </c>
      <c r="G1852" t="s">
        <v>20</v>
      </c>
      <c r="H1852">
        <v>3</v>
      </c>
      <c r="I1852">
        <v>2</v>
      </c>
      <c r="J1852">
        <v>1099</v>
      </c>
      <c r="K1852" s="5">
        <v>1.0258995E-2</v>
      </c>
      <c r="L1852" t="s">
        <v>27</v>
      </c>
      <c r="M1852" s="4">
        <v>803490</v>
      </c>
      <c r="N1852" s="3">
        <v>2297.5432000000001</v>
      </c>
      <c r="O1852" t="s">
        <v>22</v>
      </c>
      <c r="P1852" t="s">
        <v>28</v>
      </c>
      <c r="Q1852" t="s">
        <v>24</v>
      </c>
      <c r="R1852" t="s">
        <v>44</v>
      </c>
      <c r="S1852">
        <v>3</v>
      </c>
    </row>
    <row r="1853" spans="1:19" x14ac:dyDescent="0.3">
      <c r="A1853" s="1">
        <v>43541</v>
      </c>
      <c r="B1853">
        <v>2019</v>
      </c>
      <c r="C1853" t="s">
        <v>39</v>
      </c>
      <c r="D1853" s="4">
        <v>772030</v>
      </c>
      <c r="E1853" s="2">
        <v>1300000</v>
      </c>
      <c r="F1853" t="s">
        <v>19</v>
      </c>
      <c r="G1853" t="s">
        <v>20</v>
      </c>
      <c r="H1853">
        <v>3</v>
      </c>
      <c r="I1853">
        <v>3</v>
      </c>
      <c r="J1853">
        <v>936</v>
      </c>
      <c r="K1853" s="5">
        <v>1.0258995E-2</v>
      </c>
      <c r="L1853" t="s">
        <v>32</v>
      </c>
      <c r="M1853" s="4">
        <v>527970</v>
      </c>
      <c r="N1853" s="3">
        <v>1388.8888999999999</v>
      </c>
      <c r="O1853" t="s">
        <v>22</v>
      </c>
      <c r="P1853" t="s">
        <v>28</v>
      </c>
      <c r="Q1853" t="s">
        <v>24</v>
      </c>
      <c r="R1853" t="s">
        <v>44</v>
      </c>
      <c r="S1853">
        <v>3</v>
      </c>
    </row>
    <row r="1854" spans="1:19" x14ac:dyDescent="0.3">
      <c r="A1854" s="1">
        <v>43544</v>
      </c>
      <c r="B1854">
        <v>2019</v>
      </c>
      <c r="C1854" t="s">
        <v>18</v>
      </c>
      <c r="D1854" s="4">
        <v>59370</v>
      </c>
      <c r="E1854" s="2">
        <v>92000</v>
      </c>
      <c r="F1854" t="s">
        <v>19</v>
      </c>
      <c r="G1854" t="s">
        <v>20</v>
      </c>
      <c r="H1854">
        <v>3</v>
      </c>
      <c r="I1854">
        <v>1</v>
      </c>
      <c r="J1854">
        <v>949</v>
      </c>
      <c r="K1854" s="5">
        <v>1.0258995E-2</v>
      </c>
      <c r="L1854" t="s">
        <v>38</v>
      </c>
      <c r="M1854" s="4">
        <v>32630</v>
      </c>
      <c r="N1854" s="3">
        <v>96.944199999999995</v>
      </c>
      <c r="O1854" t="s">
        <v>22</v>
      </c>
      <c r="P1854" t="s">
        <v>23</v>
      </c>
      <c r="Q1854" t="s">
        <v>24</v>
      </c>
      <c r="R1854" t="s">
        <v>44</v>
      </c>
      <c r="S1854">
        <v>3</v>
      </c>
    </row>
    <row r="1855" spans="1:19" x14ac:dyDescent="0.3">
      <c r="A1855" s="1">
        <v>43545</v>
      </c>
      <c r="B1855">
        <v>2019</v>
      </c>
      <c r="C1855" t="s">
        <v>29</v>
      </c>
      <c r="D1855" s="4">
        <v>111650</v>
      </c>
      <c r="E1855" s="2">
        <v>85000</v>
      </c>
      <c r="F1855" t="s">
        <v>30</v>
      </c>
      <c r="G1855" t="s">
        <v>31</v>
      </c>
      <c r="H1855">
        <v>4</v>
      </c>
      <c r="I1855">
        <v>4</v>
      </c>
      <c r="J1855">
        <v>1372</v>
      </c>
      <c r="K1855" s="5">
        <v>1.0258995E-2</v>
      </c>
      <c r="L1855" t="s">
        <v>32</v>
      </c>
      <c r="M1855" s="4">
        <v>-26650</v>
      </c>
      <c r="N1855" s="3">
        <v>61.953400000000002</v>
      </c>
      <c r="O1855" t="s">
        <v>33</v>
      </c>
      <c r="P1855" t="s">
        <v>23</v>
      </c>
      <c r="Q1855" t="s">
        <v>34</v>
      </c>
      <c r="R1855" t="s">
        <v>44</v>
      </c>
      <c r="S1855">
        <v>3</v>
      </c>
    </row>
    <row r="1856" spans="1:19" x14ac:dyDescent="0.3">
      <c r="A1856" s="1">
        <v>43546</v>
      </c>
      <c r="B1856">
        <v>2019</v>
      </c>
      <c r="C1856" t="s">
        <v>18</v>
      </c>
      <c r="D1856" s="4">
        <v>77430</v>
      </c>
      <c r="E1856" s="2">
        <v>106500</v>
      </c>
      <c r="F1856" t="s">
        <v>19</v>
      </c>
      <c r="G1856" t="s">
        <v>20</v>
      </c>
      <c r="H1856">
        <v>3</v>
      </c>
      <c r="I1856">
        <v>2</v>
      </c>
      <c r="J1856">
        <v>960</v>
      </c>
      <c r="K1856" s="5">
        <v>1.0258995E-2</v>
      </c>
      <c r="L1856" t="s">
        <v>27</v>
      </c>
      <c r="M1856" s="4">
        <v>29070</v>
      </c>
      <c r="N1856" s="3">
        <v>110.9375</v>
      </c>
      <c r="O1856" t="s">
        <v>22</v>
      </c>
      <c r="P1856" t="s">
        <v>23</v>
      </c>
      <c r="Q1856" t="s">
        <v>24</v>
      </c>
      <c r="R1856" t="s">
        <v>44</v>
      </c>
      <c r="S1856">
        <v>3</v>
      </c>
    </row>
    <row r="1857" spans="1:19" x14ac:dyDescent="0.3">
      <c r="A1857" s="1">
        <v>43548</v>
      </c>
      <c r="B1857">
        <v>2019</v>
      </c>
      <c r="C1857" t="s">
        <v>56</v>
      </c>
      <c r="D1857" s="4">
        <v>253030</v>
      </c>
      <c r="E1857" s="2">
        <v>460000</v>
      </c>
      <c r="F1857" t="s">
        <v>19</v>
      </c>
      <c r="G1857" t="s">
        <v>20</v>
      </c>
      <c r="H1857">
        <v>3</v>
      </c>
      <c r="I1857">
        <v>3</v>
      </c>
      <c r="J1857">
        <v>930</v>
      </c>
      <c r="K1857" s="5">
        <v>1.0258995E-2</v>
      </c>
      <c r="L1857" t="s">
        <v>38</v>
      </c>
      <c r="M1857" s="4">
        <v>206970</v>
      </c>
      <c r="N1857" s="3">
        <v>494.62369999999999</v>
      </c>
      <c r="O1857" t="s">
        <v>22</v>
      </c>
      <c r="P1857" t="s">
        <v>24</v>
      </c>
      <c r="Q1857" t="s">
        <v>24</v>
      </c>
      <c r="R1857" t="s">
        <v>44</v>
      </c>
      <c r="S1857">
        <v>3</v>
      </c>
    </row>
    <row r="1858" spans="1:19" x14ac:dyDescent="0.3">
      <c r="A1858" s="1">
        <v>43552</v>
      </c>
      <c r="B1858">
        <v>2019</v>
      </c>
      <c r="C1858" t="s">
        <v>18</v>
      </c>
      <c r="D1858" s="4">
        <v>48400</v>
      </c>
      <c r="E1858" s="2">
        <v>114500</v>
      </c>
      <c r="F1858" t="s">
        <v>19</v>
      </c>
      <c r="G1858" t="s">
        <v>20</v>
      </c>
      <c r="H1858">
        <v>3</v>
      </c>
      <c r="I1858">
        <v>3</v>
      </c>
      <c r="J1858">
        <v>948</v>
      </c>
      <c r="K1858" s="5">
        <v>1.0258995E-2</v>
      </c>
      <c r="L1858" t="s">
        <v>38</v>
      </c>
      <c r="M1858" s="4">
        <v>66100</v>
      </c>
      <c r="N1858" s="3">
        <v>120.78060000000001</v>
      </c>
      <c r="O1858" t="s">
        <v>22</v>
      </c>
      <c r="P1858" t="s">
        <v>23</v>
      </c>
      <c r="Q1858" t="s">
        <v>24</v>
      </c>
      <c r="R1858" t="s">
        <v>44</v>
      </c>
      <c r="S1858">
        <v>3</v>
      </c>
    </row>
    <row r="1859" spans="1:19" x14ac:dyDescent="0.3">
      <c r="A1859" s="1">
        <v>43553</v>
      </c>
      <c r="B1859">
        <v>2019</v>
      </c>
      <c r="C1859" t="s">
        <v>56</v>
      </c>
      <c r="D1859" s="4">
        <v>387620</v>
      </c>
      <c r="E1859" s="2">
        <v>620000</v>
      </c>
      <c r="F1859" t="s">
        <v>19</v>
      </c>
      <c r="G1859" t="s">
        <v>20</v>
      </c>
      <c r="H1859">
        <v>3</v>
      </c>
      <c r="I1859">
        <v>1</v>
      </c>
      <c r="J1859">
        <v>935</v>
      </c>
      <c r="K1859" s="5">
        <v>1.0258995E-2</v>
      </c>
      <c r="L1859" t="s">
        <v>32</v>
      </c>
      <c r="M1859" s="4">
        <v>232380</v>
      </c>
      <c r="N1859" s="3">
        <v>663.10159999999996</v>
      </c>
      <c r="O1859" t="s">
        <v>22</v>
      </c>
      <c r="P1859" t="s">
        <v>28</v>
      </c>
      <c r="Q1859" t="s">
        <v>24</v>
      </c>
      <c r="R1859" t="s">
        <v>44</v>
      </c>
      <c r="S1859">
        <v>3</v>
      </c>
    </row>
    <row r="1860" spans="1:19" x14ac:dyDescent="0.3">
      <c r="A1860" s="1">
        <v>43554</v>
      </c>
      <c r="B1860">
        <v>2019</v>
      </c>
      <c r="C1860" t="s">
        <v>35</v>
      </c>
      <c r="D1860" s="4">
        <v>1262450</v>
      </c>
      <c r="E1860" s="2">
        <v>1989000</v>
      </c>
      <c r="F1860" t="s">
        <v>19</v>
      </c>
      <c r="G1860" t="s">
        <v>20</v>
      </c>
      <c r="H1860">
        <v>3</v>
      </c>
      <c r="I1860">
        <v>2</v>
      </c>
      <c r="J1860">
        <v>1043</v>
      </c>
      <c r="K1860" s="5">
        <v>1.0258995E-2</v>
      </c>
      <c r="L1860" t="s">
        <v>32</v>
      </c>
      <c r="M1860" s="4">
        <v>726550</v>
      </c>
      <c r="N1860" s="3">
        <v>1906.999</v>
      </c>
      <c r="O1860" t="s">
        <v>22</v>
      </c>
      <c r="P1860" t="s">
        <v>28</v>
      </c>
      <c r="Q1860" t="s">
        <v>24</v>
      </c>
      <c r="R1860" t="s">
        <v>44</v>
      </c>
      <c r="S1860">
        <v>3</v>
      </c>
    </row>
    <row r="1861" spans="1:19" x14ac:dyDescent="0.3">
      <c r="A1861" s="1">
        <v>43558</v>
      </c>
      <c r="B1861">
        <v>2019</v>
      </c>
      <c r="C1861" t="s">
        <v>39</v>
      </c>
      <c r="D1861" s="4">
        <v>646170</v>
      </c>
      <c r="E1861" s="2">
        <v>1100000</v>
      </c>
      <c r="F1861" t="s">
        <v>19</v>
      </c>
      <c r="G1861" t="s">
        <v>20</v>
      </c>
      <c r="H1861">
        <v>3</v>
      </c>
      <c r="I1861">
        <v>3</v>
      </c>
      <c r="J1861">
        <v>1111.6589814177564</v>
      </c>
      <c r="K1861" s="5">
        <v>1.0258995E-2</v>
      </c>
      <c r="L1861" t="s">
        <v>21</v>
      </c>
      <c r="M1861" s="4">
        <v>453830</v>
      </c>
      <c r="N1861" s="3">
        <v>989.51210000000003</v>
      </c>
      <c r="O1861" t="s">
        <v>22</v>
      </c>
      <c r="P1861" t="s">
        <v>28</v>
      </c>
      <c r="Q1861" t="s">
        <v>24</v>
      </c>
      <c r="R1861" t="s">
        <v>45</v>
      </c>
      <c r="S1861">
        <v>4</v>
      </c>
    </row>
    <row r="1862" spans="1:19" x14ac:dyDescent="0.3">
      <c r="A1862" s="1">
        <v>43560</v>
      </c>
      <c r="B1862">
        <v>2019</v>
      </c>
      <c r="C1862" t="s">
        <v>39</v>
      </c>
      <c r="D1862" s="4">
        <v>614460</v>
      </c>
      <c r="E1862" s="2">
        <v>975000</v>
      </c>
      <c r="F1862" t="s">
        <v>19</v>
      </c>
      <c r="G1862" t="s">
        <v>20</v>
      </c>
      <c r="H1862">
        <v>3</v>
      </c>
      <c r="I1862">
        <v>1</v>
      </c>
      <c r="J1862">
        <v>933</v>
      </c>
      <c r="K1862" s="5">
        <v>1.0258995E-2</v>
      </c>
      <c r="L1862" t="s">
        <v>38</v>
      </c>
      <c r="M1862" s="4">
        <v>360540</v>
      </c>
      <c r="N1862" s="3">
        <v>1045.0161000000001</v>
      </c>
      <c r="O1862" t="s">
        <v>22</v>
      </c>
      <c r="P1862" t="s">
        <v>28</v>
      </c>
      <c r="Q1862" t="s">
        <v>24</v>
      </c>
      <c r="R1862" t="s">
        <v>45</v>
      </c>
      <c r="S1862">
        <v>4</v>
      </c>
    </row>
    <row r="1863" spans="1:19" x14ac:dyDescent="0.3">
      <c r="A1863" s="1">
        <v>43561</v>
      </c>
      <c r="B1863">
        <v>2019</v>
      </c>
      <c r="C1863" t="s">
        <v>56</v>
      </c>
      <c r="D1863" s="4">
        <v>631710</v>
      </c>
      <c r="E1863" s="2">
        <v>990000</v>
      </c>
      <c r="F1863" t="s">
        <v>19</v>
      </c>
      <c r="G1863" t="s">
        <v>20</v>
      </c>
      <c r="H1863">
        <v>3</v>
      </c>
      <c r="I1863">
        <v>1</v>
      </c>
      <c r="J1863">
        <v>1095</v>
      </c>
      <c r="K1863" s="5">
        <v>1.0258995E-2</v>
      </c>
      <c r="L1863" t="s">
        <v>32</v>
      </c>
      <c r="M1863" s="4">
        <v>358290</v>
      </c>
      <c r="N1863" s="3">
        <v>904.1096</v>
      </c>
      <c r="O1863" t="s">
        <v>22</v>
      </c>
      <c r="P1863" t="s">
        <v>28</v>
      </c>
      <c r="Q1863" t="s">
        <v>24</v>
      </c>
      <c r="R1863" t="s">
        <v>45</v>
      </c>
      <c r="S1863">
        <v>4</v>
      </c>
    </row>
    <row r="1864" spans="1:19" x14ac:dyDescent="0.3">
      <c r="A1864" s="1">
        <v>43562</v>
      </c>
      <c r="B1864">
        <v>2019</v>
      </c>
      <c r="C1864" t="s">
        <v>40</v>
      </c>
      <c r="D1864" s="4">
        <v>74120</v>
      </c>
      <c r="E1864" s="2">
        <v>90500</v>
      </c>
      <c r="F1864" t="s">
        <v>19</v>
      </c>
      <c r="G1864" t="s">
        <v>20</v>
      </c>
      <c r="H1864">
        <v>3</v>
      </c>
      <c r="I1864">
        <v>3</v>
      </c>
      <c r="J1864">
        <v>928</v>
      </c>
      <c r="K1864" s="5">
        <v>1.0258995E-2</v>
      </c>
      <c r="L1864" t="s">
        <v>27</v>
      </c>
      <c r="M1864" s="4">
        <v>16380</v>
      </c>
      <c r="N1864" s="3">
        <v>97.521600000000007</v>
      </c>
      <c r="O1864" t="s">
        <v>22</v>
      </c>
      <c r="P1864" t="s">
        <v>23</v>
      </c>
      <c r="Q1864" t="s">
        <v>24</v>
      </c>
      <c r="R1864" t="s">
        <v>45</v>
      </c>
      <c r="S1864">
        <v>4</v>
      </c>
    </row>
    <row r="1865" spans="1:19" x14ac:dyDescent="0.3">
      <c r="A1865" s="1">
        <v>43565</v>
      </c>
      <c r="B1865">
        <v>2019</v>
      </c>
      <c r="C1865" t="s">
        <v>29</v>
      </c>
      <c r="D1865" s="4">
        <v>148770</v>
      </c>
      <c r="E1865" s="2">
        <v>110000</v>
      </c>
      <c r="F1865" t="s">
        <v>36</v>
      </c>
      <c r="G1865" t="s">
        <v>37</v>
      </c>
      <c r="H1865">
        <v>6</v>
      </c>
      <c r="I1865">
        <v>4</v>
      </c>
      <c r="J1865">
        <v>2014</v>
      </c>
      <c r="K1865" s="5">
        <v>1.0258995E-2</v>
      </c>
      <c r="L1865" t="s">
        <v>27</v>
      </c>
      <c r="M1865" s="4">
        <v>-38770</v>
      </c>
      <c r="N1865" s="3">
        <v>54.617699999999999</v>
      </c>
      <c r="O1865" t="s">
        <v>33</v>
      </c>
      <c r="P1865" t="s">
        <v>23</v>
      </c>
      <c r="Q1865" t="s">
        <v>34</v>
      </c>
      <c r="R1865" t="s">
        <v>45</v>
      </c>
      <c r="S1865">
        <v>4</v>
      </c>
    </row>
    <row r="1866" spans="1:19" x14ac:dyDescent="0.3">
      <c r="A1866" s="1">
        <v>43566</v>
      </c>
      <c r="B1866">
        <v>2019</v>
      </c>
      <c r="C1866" t="s">
        <v>18</v>
      </c>
      <c r="D1866" s="4">
        <v>41160</v>
      </c>
      <c r="E1866" s="2">
        <v>30000</v>
      </c>
      <c r="F1866" t="s">
        <v>36</v>
      </c>
      <c r="G1866" t="s">
        <v>37</v>
      </c>
      <c r="H1866">
        <v>6</v>
      </c>
      <c r="I1866">
        <v>5</v>
      </c>
      <c r="J1866">
        <v>2115</v>
      </c>
      <c r="K1866" s="5">
        <v>1.0258995E-2</v>
      </c>
      <c r="L1866" t="s">
        <v>27</v>
      </c>
      <c r="M1866" s="4">
        <v>-11160</v>
      </c>
      <c r="N1866" s="3">
        <v>14.1844</v>
      </c>
      <c r="O1866" t="s">
        <v>33</v>
      </c>
      <c r="P1866" t="s">
        <v>23</v>
      </c>
      <c r="Q1866" t="s">
        <v>34</v>
      </c>
      <c r="R1866" t="s">
        <v>45</v>
      </c>
      <c r="S1866">
        <v>4</v>
      </c>
    </row>
    <row r="1867" spans="1:19" x14ac:dyDescent="0.3">
      <c r="A1867" s="1">
        <v>43567</v>
      </c>
      <c r="B1867">
        <v>2019</v>
      </c>
      <c r="C1867" t="s">
        <v>26</v>
      </c>
      <c r="D1867" s="4">
        <v>444584.20699999999</v>
      </c>
      <c r="E1867" s="2">
        <v>316000</v>
      </c>
      <c r="F1867" t="s">
        <v>19</v>
      </c>
      <c r="G1867" t="s">
        <v>20</v>
      </c>
      <c r="H1867">
        <v>3</v>
      </c>
      <c r="I1867">
        <v>1</v>
      </c>
      <c r="J1867">
        <v>1077</v>
      </c>
      <c r="K1867" s="5">
        <v>1.0258995E-2</v>
      </c>
      <c r="L1867" t="s">
        <v>38</v>
      </c>
      <c r="M1867" s="4">
        <v>-128584.20699999999</v>
      </c>
      <c r="N1867" s="3">
        <v>293.4076</v>
      </c>
      <c r="O1867" t="s">
        <v>33</v>
      </c>
      <c r="P1867" t="s">
        <v>24</v>
      </c>
      <c r="Q1867" t="s">
        <v>24</v>
      </c>
      <c r="R1867" t="s">
        <v>45</v>
      </c>
      <c r="S1867">
        <v>4</v>
      </c>
    </row>
    <row r="1868" spans="1:19" x14ac:dyDescent="0.3">
      <c r="A1868" s="1">
        <v>43568</v>
      </c>
      <c r="B1868">
        <v>2019</v>
      </c>
      <c r="C1868" t="s">
        <v>35</v>
      </c>
      <c r="D1868" s="4">
        <v>5305650</v>
      </c>
      <c r="E1868" s="2">
        <v>5800000</v>
      </c>
      <c r="F1868" t="s">
        <v>19</v>
      </c>
      <c r="G1868" t="s">
        <v>20</v>
      </c>
      <c r="H1868">
        <v>3</v>
      </c>
      <c r="I1868">
        <v>1</v>
      </c>
      <c r="J1868">
        <v>958</v>
      </c>
      <c r="K1868" s="5">
        <v>1.0258995E-2</v>
      </c>
      <c r="L1868" t="s">
        <v>32</v>
      </c>
      <c r="M1868" s="4">
        <v>494350</v>
      </c>
      <c r="N1868" s="3">
        <v>6054.2797</v>
      </c>
      <c r="O1868" t="s">
        <v>22</v>
      </c>
      <c r="P1868" t="s">
        <v>28</v>
      </c>
      <c r="Q1868" t="s">
        <v>24</v>
      </c>
      <c r="R1868" t="s">
        <v>45</v>
      </c>
      <c r="S1868">
        <v>4</v>
      </c>
    </row>
    <row r="1869" spans="1:19" x14ac:dyDescent="0.3">
      <c r="A1869" s="1">
        <v>43572</v>
      </c>
      <c r="B1869">
        <v>2019</v>
      </c>
      <c r="C1869" t="s">
        <v>29</v>
      </c>
      <c r="D1869" s="4">
        <v>100850</v>
      </c>
      <c r="E1869" s="2">
        <v>68000</v>
      </c>
      <c r="F1869" t="s">
        <v>19</v>
      </c>
      <c r="G1869" t="s">
        <v>20</v>
      </c>
      <c r="H1869">
        <v>3</v>
      </c>
      <c r="I1869">
        <v>2</v>
      </c>
      <c r="J1869">
        <v>1111.6589814177564</v>
      </c>
      <c r="K1869" s="5">
        <v>1.0258995E-2</v>
      </c>
      <c r="L1869" t="s">
        <v>27</v>
      </c>
      <c r="M1869" s="4">
        <v>-32850</v>
      </c>
      <c r="N1869" s="3">
        <v>61.169800000000002</v>
      </c>
      <c r="O1869" t="s">
        <v>33</v>
      </c>
      <c r="P1869" t="s">
        <v>23</v>
      </c>
      <c r="Q1869" t="s">
        <v>24</v>
      </c>
      <c r="R1869" t="s">
        <v>45</v>
      </c>
      <c r="S1869">
        <v>4</v>
      </c>
    </row>
    <row r="1870" spans="1:19" x14ac:dyDescent="0.3">
      <c r="A1870" s="1">
        <v>43573</v>
      </c>
      <c r="B1870">
        <v>2019</v>
      </c>
      <c r="C1870" t="s">
        <v>39</v>
      </c>
      <c r="D1870" s="4">
        <v>307860</v>
      </c>
      <c r="E1870" s="2">
        <v>522000</v>
      </c>
      <c r="F1870" t="s">
        <v>19</v>
      </c>
      <c r="G1870" t="s">
        <v>20</v>
      </c>
      <c r="H1870">
        <v>3</v>
      </c>
      <c r="I1870">
        <v>3</v>
      </c>
      <c r="J1870">
        <v>1088</v>
      </c>
      <c r="K1870" s="5">
        <v>1.0258995E-2</v>
      </c>
      <c r="L1870" t="s">
        <v>27</v>
      </c>
      <c r="M1870" s="4">
        <v>214140</v>
      </c>
      <c r="N1870" s="3">
        <v>479.77940000000001</v>
      </c>
      <c r="O1870" t="s">
        <v>22</v>
      </c>
      <c r="P1870" t="s">
        <v>24</v>
      </c>
      <c r="Q1870" t="s">
        <v>24</v>
      </c>
      <c r="R1870" t="s">
        <v>45</v>
      </c>
      <c r="S1870">
        <v>4</v>
      </c>
    </row>
    <row r="1871" spans="1:19" x14ac:dyDescent="0.3">
      <c r="A1871" s="1">
        <v>43576</v>
      </c>
      <c r="B1871">
        <v>2019</v>
      </c>
      <c r="C1871" t="s">
        <v>39</v>
      </c>
      <c r="D1871" s="4">
        <v>595700</v>
      </c>
      <c r="E1871" s="2">
        <v>952500</v>
      </c>
      <c r="F1871" t="s">
        <v>19</v>
      </c>
      <c r="G1871" t="s">
        <v>20</v>
      </c>
      <c r="H1871">
        <v>3</v>
      </c>
      <c r="I1871">
        <v>2</v>
      </c>
      <c r="J1871">
        <v>971</v>
      </c>
      <c r="K1871" s="5">
        <v>1.0258995E-2</v>
      </c>
      <c r="L1871" t="s">
        <v>21</v>
      </c>
      <c r="M1871" s="4">
        <v>356800</v>
      </c>
      <c r="N1871" s="3">
        <v>980.94749999999999</v>
      </c>
      <c r="O1871" t="s">
        <v>22</v>
      </c>
      <c r="P1871" t="s">
        <v>28</v>
      </c>
      <c r="Q1871" t="s">
        <v>24</v>
      </c>
      <c r="R1871" t="s">
        <v>45</v>
      </c>
      <c r="S1871">
        <v>4</v>
      </c>
    </row>
    <row r="1872" spans="1:19" x14ac:dyDescent="0.3">
      <c r="A1872" s="1">
        <v>43579</v>
      </c>
      <c r="B1872">
        <v>2019</v>
      </c>
      <c r="C1872" t="s">
        <v>35</v>
      </c>
      <c r="D1872" s="4">
        <v>471240</v>
      </c>
      <c r="E1872" s="2">
        <v>639500</v>
      </c>
      <c r="F1872" t="s">
        <v>19</v>
      </c>
      <c r="G1872" t="s">
        <v>20</v>
      </c>
      <c r="H1872">
        <v>3</v>
      </c>
      <c r="I1872">
        <v>3</v>
      </c>
      <c r="J1872">
        <v>993</v>
      </c>
      <c r="K1872" s="5">
        <v>1.0258995E-2</v>
      </c>
      <c r="L1872" t="s">
        <v>21</v>
      </c>
      <c r="M1872" s="4">
        <v>168260</v>
      </c>
      <c r="N1872" s="3">
        <v>644.00810000000001</v>
      </c>
      <c r="O1872" t="s">
        <v>22</v>
      </c>
      <c r="P1872" t="s">
        <v>28</v>
      </c>
      <c r="Q1872" t="s">
        <v>24</v>
      </c>
      <c r="R1872" t="s">
        <v>45</v>
      </c>
      <c r="S1872">
        <v>4</v>
      </c>
    </row>
    <row r="1873" spans="1:19" x14ac:dyDescent="0.3">
      <c r="A1873" s="1">
        <v>43580</v>
      </c>
      <c r="B1873">
        <v>2019</v>
      </c>
      <c r="C1873" t="s">
        <v>18</v>
      </c>
      <c r="D1873" s="4">
        <v>137580</v>
      </c>
      <c r="E1873" s="2">
        <v>215000</v>
      </c>
      <c r="F1873" t="s">
        <v>30</v>
      </c>
      <c r="G1873" t="s">
        <v>31</v>
      </c>
      <c r="H1873">
        <v>4</v>
      </c>
      <c r="I1873">
        <v>2</v>
      </c>
      <c r="J1873">
        <v>1301</v>
      </c>
      <c r="K1873" s="5">
        <v>1.0258995E-2</v>
      </c>
      <c r="L1873" t="s">
        <v>32</v>
      </c>
      <c r="M1873" s="4">
        <v>77420</v>
      </c>
      <c r="N1873" s="3">
        <v>165.25749999999999</v>
      </c>
      <c r="O1873" t="s">
        <v>22</v>
      </c>
      <c r="P1873" t="s">
        <v>24</v>
      </c>
      <c r="Q1873" t="s">
        <v>34</v>
      </c>
      <c r="R1873" t="s">
        <v>45</v>
      </c>
      <c r="S1873">
        <v>4</v>
      </c>
    </row>
    <row r="1874" spans="1:19" x14ac:dyDescent="0.3">
      <c r="A1874" s="1">
        <v>43581</v>
      </c>
      <c r="B1874">
        <v>2019</v>
      </c>
      <c r="C1874" t="s">
        <v>56</v>
      </c>
      <c r="D1874" s="4">
        <v>444584.20699999999</v>
      </c>
      <c r="E1874" s="2">
        <v>597450</v>
      </c>
      <c r="F1874" t="s">
        <v>19</v>
      </c>
      <c r="G1874" t="s">
        <v>20</v>
      </c>
      <c r="H1874">
        <v>3</v>
      </c>
      <c r="I1874">
        <v>1</v>
      </c>
      <c r="J1874">
        <v>1074</v>
      </c>
      <c r="K1874" s="5">
        <v>1.0258995E-2</v>
      </c>
      <c r="L1874" t="s">
        <v>27</v>
      </c>
      <c r="M1874" s="4">
        <v>152865.79300000001</v>
      </c>
      <c r="N1874" s="3">
        <v>556.28489999999999</v>
      </c>
      <c r="O1874" t="s">
        <v>22</v>
      </c>
      <c r="P1874" t="s">
        <v>24</v>
      </c>
      <c r="Q1874" t="s">
        <v>24</v>
      </c>
      <c r="R1874" t="s">
        <v>45</v>
      </c>
      <c r="S1874">
        <v>4</v>
      </c>
    </row>
    <row r="1875" spans="1:19" x14ac:dyDescent="0.3">
      <c r="A1875" s="1">
        <v>43582</v>
      </c>
      <c r="B1875">
        <v>2019</v>
      </c>
      <c r="C1875" t="s">
        <v>40</v>
      </c>
      <c r="D1875" s="4">
        <v>272340</v>
      </c>
      <c r="E1875" s="2">
        <v>457000</v>
      </c>
      <c r="F1875" t="s">
        <v>19</v>
      </c>
      <c r="G1875" t="s">
        <v>20</v>
      </c>
      <c r="H1875">
        <v>3</v>
      </c>
      <c r="I1875">
        <v>2</v>
      </c>
      <c r="J1875">
        <v>979</v>
      </c>
      <c r="K1875" s="5">
        <v>1.0258995E-2</v>
      </c>
      <c r="L1875" t="s">
        <v>21</v>
      </c>
      <c r="M1875" s="4">
        <v>184660</v>
      </c>
      <c r="N1875" s="3">
        <v>466.80290000000002</v>
      </c>
      <c r="O1875" t="s">
        <v>22</v>
      </c>
      <c r="P1875" t="s">
        <v>24</v>
      </c>
      <c r="Q1875" t="s">
        <v>24</v>
      </c>
      <c r="R1875" t="s">
        <v>45</v>
      </c>
      <c r="S1875">
        <v>4</v>
      </c>
    </row>
    <row r="1876" spans="1:19" x14ac:dyDescent="0.3">
      <c r="A1876" s="1">
        <v>43583</v>
      </c>
      <c r="B1876">
        <v>2019</v>
      </c>
      <c r="C1876" t="s">
        <v>18</v>
      </c>
      <c r="D1876" s="4">
        <v>60460</v>
      </c>
      <c r="E1876" s="2">
        <v>52000</v>
      </c>
      <c r="F1876" t="s">
        <v>19</v>
      </c>
      <c r="G1876" t="s">
        <v>20</v>
      </c>
      <c r="H1876">
        <v>3</v>
      </c>
      <c r="I1876">
        <v>2</v>
      </c>
      <c r="J1876">
        <v>1111.6589814177564</v>
      </c>
      <c r="K1876" s="5">
        <v>1.0258995E-2</v>
      </c>
      <c r="L1876" t="s">
        <v>21</v>
      </c>
      <c r="M1876" s="4">
        <v>-8460</v>
      </c>
      <c r="N1876" s="3">
        <v>46.776899999999998</v>
      </c>
      <c r="O1876" t="s">
        <v>33</v>
      </c>
      <c r="P1876" t="s">
        <v>23</v>
      </c>
      <c r="Q1876" t="s">
        <v>24</v>
      </c>
      <c r="R1876" t="s">
        <v>45</v>
      </c>
      <c r="S1876">
        <v>4</v>
      </c>
    </row>
    <row r="1877" spans="1:19" x14ac:dyDescent="0.3">
      <c r="A1877" s="1">
        <v>43586</v>
      </c>
      <c r="B1877">
        <v>2019</v>
      </c>
      <c r="C1877" t="s">
        <v>26</v>
      </c>
      <c r="D1877" s="4">
        <v>340870</v>
      </c>
      <c r="E1877" s="2">
        <v>427000</v>
      </c>
      <c r="F1877" t="s">
        <v>19</v>
      </c>
      <c r="G1877" t="s">
        <v>20</v>
      </c>
      <c r="H1877">
        <v>3</v>
      </c>
      <c r="I1877">
        <v>2</v>
      </c>
      <c r="J1877">
        <v>916</v>
      </c>
      <c r="K1877" s="5">
        <v>1.0258995E-2</v>
      </c>
      <c r="L1877" t="s">
        <v>38</v>
      </c>
      <c r="M1877" s="4">
        <v>86130</v>
      </c>
      <c r="N1877" s="3">
        <v>466.15719999999999</v>
      </c>
      <c r="O1877" t="s">
        <v>22</v>
      </c>
      <c r="P1877" t="s">
        <v>24</v>
      </c>
      <c r="Q1877" t="s">
        <v>24</v>
      </c>
      <c r="R1877" t="s">
        <v>47</v>
      </c>
      <c r="S1877">
        <v>5</v>
      </c>
    </row>
    <row r="1878" spans="1:19" x14ac:dyDescent="0.3">
      <c r="A1878" s="1">
        <v>43587</v>
      </c>
      <c r="B1878">
        <v>2019</v>
      </c>
      <c r="C1878" t="s">
        <v>39</v>
      </c>
      <c r="D1878" s="4">
        <v>287630</v>
      </c>
      <c r="E1878" s="2">
        <v>430000</v>
      </c>
      <c r="F1878" t="s">
        <v>30</v>
      </c>
      <c r="G1878" t="s">
        <v>31</v>
      </c>
      <c r="H1878">
        <v>4</v>
      </c>
      <c r="I1878">
        <v>3</v>
      </c>
      <c r="J1878">
        <v>1422</v>
      </c>
      <c r="K1878" s="5">
        <v>1.0258995E-2</v>
      </c>
      <c r="L1878" t="s">
        <v>27</v>
      </c>
      <c r="M1878" s="4">
        <v>142370</v>
      </c>
      <c r="N1878" s="3">
        <v>302.39100000000002</v>
      </c>
      <c r="O1878" t="s">
        <v>22</v>
      </c>
      <c r="P1878" t="s">
        <v>24</v>
      </c>
      <c r="Q1878" t="s">
        <v>34</v>
      </c>
      <c r="R1878" t="s">
        <v>47</v>
      </c>
      <c r="S1878">
        <v>5</v>
      </c>
    </row>
    <row r="1879" spans="1:19" x14ac:dyDescent="0.3">
      <c r="A1879" s="1">
        <v>43588</v>
      </c>
      <c r="B1879">
        <v>2019</v>
      </c>
      <c r="C1879" t="s">
        <v>39</v>
      </c>
      <c r="D1879" s="4">
        <v>406070</v>
      </c>
      <c r="E1879" s="2">
        <v>625000</v>
      </c>
      <c r="F1879" t="s">
        <v>19</v>
      </c>
      <c r="G1879" t="s">
        <v>20</v>
      </c>
      <c r="H1879">
        <v>3</v>
      </c>
      <c r="I1879">
        <v>3</v>
      </c>
      <c r="J1879">
        <v>1079</v>
      </c>
      <c r="K1879" s="5">
        <v>1.0258995E-2</v>
      </c>
      <c r="L1879" t="s">
        <v>38</v>
      </c>
      <c r="M1879" s="4">
        <v>218930</v>
      </c>
      <c r="N1879" s="3">
        <v>579.24</v>
      </c>
      <c r="O1879" t="s">
        <v>22</v>
      </c>
      <c r="P1879" t="s">
        <v>28</v>
      </c>
      <c r="Q1879" t="s">
        <v>24</v>
      </c>
      <c r="R1879" t="s">
        <v>47</v>
      </c>
      <c r="S1879">
        <v>5</v>
      </c>
    </row>
    <row r="1880" spans="1:19" x14ac:dyDescent="0.3">
      <c r="A1880" s="1">
        <v>43589</v>
      </c>
      <c r="B1880">
        <v>2019</v>
      </c>
      <c r="C1880" t="s">
        <v>40</v>
      </c>
      <c r="D1880" s="4">
        <v>1210720</v>
      </c>
      <c r="E1880" s="2">
        <v>2100000</v>
      </c>
      <c r="F1880" t="s">
        <v>19</v>
      </c>
      <c r="G1880" t="s">
        <v>20</v>
      </c>
      <c r="H1880">
        <v>3</v>
      </c>
      <c r="I1880">
        <v>3</v>
      </c>
      <c r="J1880">
        <v>1089</v>
      </c>
      <c r="K1880" s="5">
        <v>1.0258995E-2</v>
      </c>
      <c r="L1880" t="s">
        <v>21</v>
      </c>
      <c r="M1880" s="4">
        <v>889280</v>
      </c>
      <c r="N1880" s="3">
        <v>1928.3747000000001</v>
      </c>
      <c r="O1880" t="s">
        <v>22</v>
      </c>
      <c r="P1880" t="s">
        <v>28</v>
      </c>
      <c r="Q1880" t="s">
        <v>24</v>
      </c>
      <c r="R1880" t="s">
        <v>47</v>
      </c>
      <c r="S1880">
        <v>5</v>
      </c>
    </row>
    <row r="1881" spans="1:19" x14ac:dyDescent="0.3">
      <c r="A1881" s="1">
        <v>43590</v>
      </c>
      <c r="B1881">
        <v>2019</v>
      </c>
      <c r="C1881" t="s">
        <v>56</v>
      </c>
      <c r="D1881" s="4">
        <v>241380</v>
      </c>
      <c r="E1881" s="2">
        <v>545000</v>
      </c>
      <c r="F1881" t="s">
        <v>30</v>
      </c>
      <c r="G1881" t="s">
        <v>31</v>
      </c>
      <c r="H1881">
        <v>4</v>
      </c>
      <c r="I1881">
        <v>2</v>
      </c>
      <c r="J1881">
        <v>1406</v>
      </c>
      <c r="K1881" s="5">
        <v>1.0258995E-2</v>
      </c>
      <c r="L1881" t="s">
        <v>27</v>
      </c>
      <c r="M1881" s="4">
        <v>303620</v>
      </c>
      <c r="N1881" s="3">
        <v>387.62450000000001</v>
      </c>
      <c r="O1881" t="s">
        <v>22</v>
      </c>
      <c r="P1881" t="s">
        <v>24</v>
      </c>
      <c r="Q1881" t="s">
        <v>34</v>
      </c>
      <c r="R1881" t="s">
        <v>47</v>
      </c>
      <c r="S1881">
        <v>5</v>
      </c>
    </row>
    <row r="1882" spans="1:19" x14ac:dyDescent="0.3">
      <c r="A1882" s="1">
        <v>43593</v>
      </c>
      <c r="B1882">
        <v>2019</v>
      </c>
      <c r="C1882" t="s">
        <v>56</v>
      </c>
      <c r="D1882" s="4">
        <v>225940</v>
      </c>
      <c r="E1882" s="2">
        <v>233000</v>
      </c>
      <c r="F1882" t="s">
        <v>19</v>
      </c>
      <c r="G1882" t="s">
        <v>20</v>
      </c>
      <c r="H1882">
        <v>3</v>
      </c>
      <c r="I1882">
        <v>3</v>
      </c>
      <c r="J1882">
        <v>1016</v>
      </c>
      <c r="K1882" s="5">
        <v>1.0258995E-2</v>
      </c>
      <c r="L1882" t="s">
        <v>27</v>
      </c>
      <c r="M1882" s="4">
        <v>7060</v>
      </c>
      <c r="N1882" s="3">
        <v>229.33070000000001</v>
      </c>
      <c r="O1882" t="s">
        <v>22</v>
      </c>
      <c r="P1882" t="s">
        <v>24</v>
      </c>
      <c r="Q1882" t="s">
        <v>24</v>
      </c>
      <c r="R1882" t="s">
        <v>47</v>
      </c>
      <c r="S1882">
        <v>5</v>
      </c>
    </row>
    <row r="1883" spans="1:19" x14ac:dyDescent="0.3">
      <c r="A1883" s="1">
        <v>43594</v>
      </c>
      <c r="B1883">
        <v>2019</v>
      </c>
      <c r="C1883" t="s">
        <v>26</v>
      </c>
      <c r="D1883" s="4">
        <v>835120</v>
      </c>
      <c r="E1883" s="2">
        <v>950000</v>
      </c>
      <c r="F1883" t="s">
        <v>19</v>
      </c>
      <c r="G1883" t="s">
        <v>20</v>
      </c>
      <c r="H1883">
        <v>3</v>
      </c>
      <c r="I1883">
        <v>3</v>
      </c>
      <c r="J1883">
        <v>978</v>
      </c>
      <c r="K1883" s="5">
        <v>1.0258995E-2</v>
      </c>
      <c r="L1883" t="s">
        <v>21</v>
      </c>
      <c r="M1883" s="4">
        <v>114880</v>
      </c>
      <c r="N1883" s="3">
        <v>971.37009999999998</v>
      </c>
      <c r="O1883" t="s">
        <v>22</v>
      </c>
      <c r="P1883" t="s">
        <v>28</v>
      </c>
      <c r="Q1883" t="s">
        <v>24</v>
      </c>
      <c r="R1883" t="s">
        <v>47</v>
      </c>
      <c r="S1883">
        <v>5</v>
      </c>
    </row>
    <row r="1884" spans="1:19" x14ac:dyDescent="0.3">
      <c r="A1884" s="1">
        <v>43595</v>
      </c>
      <c r="B1884">
        <v>2019</v>
      </c>
      <c r="C1884" t="s">
        <v>26</v>
      </c>
      <c r="D1884" s="4">
        <v>196840</v>
      </c>
      <c r="E1884" s="2">
        <v>315000</v>
      </c>
      <c r="F1884" t="s">
        <v>30</v>
      </c>
      <c r="G1884" t="s">
        <v>31</v>
      </c>
      <c r="H1884">
        <v>4</v>
      </c>
      <c r="I1884">
        <v>2</v>
      </c>
      <c r="J1884">
        <v>1477</v>
      </c>
      <c r="K1884" s="5">
        <v>1.0258995E-2</v>
      </c>
      <c r="L1884" t="s">
        <v>32</v>
      </c>
      <c r="M1884" s="4">
        <v>118160</v>
      </c>
      <c r="N1884" s="3">
        <v>213.27010000000001</v>
      </c>
      <c r="O1884" t="s">
        <v>22</v>
      </c>
      <c r="P1884" t="s">
        <v>24</v>
      </c>
      <c r="Q1884" t="s">
        <v>34</v>
      </c>
      <c r="R1884" t="s">
        <v>47</v>
      </c>
      <c r="S1884">
        <v>5</v>
      </c>
    </row>
    <row r="1885" spans="1:19" x14ac:dyDescent="0.3">
      <c r="A1885" s="1">
        <v>43596</v>
      </c>
      <c r="B1885">
        <v>2019</v>
      </c>
      <c r="C1885" t="s">
        <v>40</v>
      </c>
      <c r="D1885" s="4">
        <v>155710</v>
      </c>
      <c r="E1885" s="2">
        <v>300000</v>
      </c>
      <c r="F1885" t="s">
        <v>42</v>
      </c>
      <c r="G1885" t="s">
        <v>43</v>
      </c>
      <c r="H1885">
        <v>8</v>
      </c>
      <c r="I1885">
        <v>8</v>
      </c>
      <c r="J1885">
        <v>2840</v>
      </c>
      <c r="K1885" s="5">
        <v>1.0258995E-2</v>
      </c>
      <c r="L1885" t="s">
        <v>21</v>
      </c>
      <c r="M1885" s="4">
        <v>144290</v>
      </c>
      <c r="N1885" s="3">
        <v>105.63379999999999</v>
      </c>
      <c r="O1885" t="s">
        <v>22</v>
      </c>
      <c r="P1885" t="s">
        <v>24</v>
      </c>
      <c r="Q1885" t="s">
        <v>34</v>
      </c>
      <c r="R1885" t="s">
        <v>47</v>
      </c>
      <c r="S1885">
        <v>5</v>
      </c>
    </row>
    <row r="1886" spans="1:19" x14ac:dyDescent="0.3">
      <c r="A1886" s="1">
        <v>43597</v>
      </c>
      <c r="B1886">
        <v>2019</v>
      </c>
      <c r="C1886" t="s">
        <v>35</v>
      </c>
      <c r="D1886" s="4">
        <v>1298500</v>
      </c>
      <c r="E1886" s="2">
        <v>3100000</v>
      </c>
      <c r="F1886" t="s">
        <v>19</v>
      </c>
      <c r="G1886" t="s">
        <v>20</v>
      </c>
      <c r="H1886">
        <v>3</v>
      </c>
      <c r="I1886">
        <v>1</v>
      </c>
      <c r="J1886">
        <v>997</v>
      </c>
      <c r="K1886" s="5">
        <v>1.0258995E-2</v>
      </c>
      <c r="L1886" t="s">
        <v>32</v>
      </c>
      <c r="M1886" s="4">
        <v>1801500</v>
      </c>
      <c r="N1886" s="3">
        <v>3109.328</v>
      </c>
      <c r="O1886" t="s">
        <v>22</v>
      </c>
      <c r="P1886" t="s">
        <v>28</v>
      </c>
      <c r="Q1886" t="s">
        <v>24</v>
      </c>
      <c r="R1886" t="s">
        <v>47</v>
      </c>
      <c r="S1886">
        <v>5</v>
      </c>
    </row>
    <row r="1887" spans="1:19" x14ac:dyDescent="0.3">
      <c r="A1887" s="1">
        <v>43602</v>
      </c>
      <c r="B1887">
        <v>2019</v>
      </c>
      <c r="C1887" t="s">
        <v>18</v>
      </c>
      <c r="D1887" s="4">
        <v>14630</v>
      </c>
      <c r="E1887" s="2">
        <v>16000</v>
      </c>
      <c r="F1887" t="s">
        <v>19</v>
      </c>
      <c r="G1887" t="s">
        <v>20</v>
      </c>
      <c r="H1887">
        <v>3</v>
      </c>
      <c r="I1887">
        <v>1</v>
      </c>
      <c r="J1887">
        <v>1044</v>
      </c>
      <c r="K1887" s="5">
        <v>1.0258995E-2</v>
      </c>
      <c r="L1887" t="s">
        <v>32</v>
      </c>
      <c r="M1887" s="4">
        <v>1370</v>
      </c>
      <c r="N1887" s="3">
        <v>15.325699999999999</v>
      </c>
      <c r="O1887" t="s">
        <v>22</v>
      </c>
      <c r="P1887" t="s">
        <v>23</v>
      </c>
      <c r="Q1887" t="s">
        <v>24</v>
      </c>
      <c r="R1887" t="s">
        <v>47</v>
      </c>
      <c r="S1887">
        <v>5</v>
      </c>
    </row>
    <row r="1888" spans="1:19" x14ac:dyDescent="0.3">
      <c r="A1888" s="1">
        <v>43604</v>
      </c>
      <c r="B1888">
        <v>2019</v>
      </c>
      <c r="C1888" t="s">
        <v>18</v>
      </c>
      <c r="D1888" s="4">
        <v>444584.20699999999</v>
      </c>
      <c r="E1888" s="2">
        <v>37000</v>
      </c>
      <c r="F1888" t="s">
        <v>19</v>
      </c>
      <c r="G1888" t="s">
        <v>20</v>
      </c>
      <c r="H1888">
        <v>3</v>
      </c>
      <c r="I1888">
        <v>1</v>
      </c>
      <c r="J1888">
        <v>954</v>
      </c>
      <c r="K1888" s="5">
        <v>1.0258995E-2</v>
      </c>
      <c r="L1888" t="s">
        <v>32</v>
      </c>
      <c r="M1888" s="4">
        <v>-407584.20699999999</v>
      </c>
      <c r="N1888" s="3">
        <v>38.784100000000002</v>
      </c>
      <c r="O1888" t="s">
        <v>33</v>
      </c>
      <c r="P1888" t="s">
        <v>23</v>
      </c>
      <c r="Q1888" t="s">
        <v>24</v>
      </c>
      <c r="R1888" t="s">
        <v>47</v>
      </c>
      <c r="S1888">
        <v>5</v>
      </c>
    </row>
    <row r="1889" spans="1:19" x14ac:dyDescent="0.3">
      <c r="A1889" s="1">
        <v>43607</v>
      </c>
      <c r="B1889">
        <v>2019</v>
      </c>
      <c r="C1889" t="s">
        <v>18</v>
      </c>
      <c r="D1889" s="4">
        <v>54110</v>
      </c>
      <c r="E1889" s="2">
        <v>50000</v>
      </c>
      <c r="F1889" t="s">
        <v>19</v>
      </c>
      <c r="G1889" t="s">
        <v>20</v>
      </c>
      <c r="H1889">
        <v>3</v>
      </c>
      <c r="I1889">
        <v>1</v>
      </c>
      <c r="J1889">
        <v>994</v>
      </c>
      <c r="K1889" s="5">
        <v>1.0258995E-2</v>
      </c>
      <c r="L1889" t="s">
        <v>27</v>
      </c>
      <c r="M1889" s="4">
        <v>-4110</v>
      </c>
      <c r="N1889" s="3">
        <v>50.3018</v>
      </c>
      <c r="O1889" t="s">
        <v>33</v>
      </c>
      <c r="P1889" t="s">
        <v>23</v>
      </c>
      <c r="Q1889" t="s">
        <v>24</v>
      </c>
      <c r="R1889" t="s">
        <v>47</v>
      </c>
      <c r="S1889">
        <v>5</v>
      </c>
    </row>
    <row r="1890" spans="1:19" x14ac:dyDescent="0.3">
      <c r="A1890" s="1">
        <v>43610</v>
      </c>
      <c r="B1890">
        <v>2019</v>
      </c>
      <c r="C1890" t="s">
        <v>40</v>
      </c>
      <c r="D1890" s="4">
        <v>444584.20699999999</v>
      </c>
      <c r="E1890" s="2">
        <v>22000</v>
      </c>
      <c r="F1890" t="s">
        <v>19</v>
      </c>
      <c r="G1890" t="s">
        <v>20</v>
      </c>
      <c r="H1890">
        <v>3</v>
      </c>
      <c r="I1890">
        <v>3</v>
      </c>
      <c r="J1890">
        <v>922</v>
      </c>
      <c r="K1890" s="5">
        <v>1.0258995E-2</v>
      </c>
      <c r="L1890" t="s">
        <v>38</v>
      </c>
      <c r="M1890" s="4">
        <v>-422584.20699999999</v>
      </c>
      <c r="N1890" s="3">
        <v>23.8612</v>
      </c>
      <c r="O1890" t="s">
        <v>33</v>
      </c>
      <c r="P1890" t="s">
        <v>23</v>
      </c>
      <c r="Q1890" t="s">
        <v>24</v>
      </c>
      <c r="R1890" t="s">
        <v>47</v>
      </c>
      <c r="S1890">
        <v>5</v>
      </c>
    </row>
    <row r="1891" spans="1:19" x14ac:dyDescent="0.3">
      <c r="A1891" s="1">
        <v>43611</v>
      </c>
      <c r="B1891">
        <v>2019</v>
      </c>
      <c r="C1891" t="s">
        <v>26</v>
      </c>
      <c r="D1891" s="4">
        <v>444584.20699999999</v>
      </c>
      <c r="E1891" s="2">
        <v>625000</v>
      </c>
      <c r="F1891" t="s">
        <v>19</v>
      </c>
      <c r="G1891" t="s">
        <v>20</v>
      </c>
      <c r="H1891">
        <v>3</v>
      </c>
      <c r="I1891">
        <v>3</v>
      </c>
      <c r="J1891">
        <v>958</v>
      </c>
      <c r="K1891" s="5">
        <v>1.0258995E-2</v>
      </c>
      <c r="L1891" t="s">
        <v>27</v>
      </c>
      <c r="M1891" s="4">
        <v>180415.79300000001</v>
      </c>
      <c r="N1891" s="3">
        <v>652.4008</v>
      </c>
      <c r="O1891" t="s">
        <v>22</v>
      </c>
      <c r="P1891" t="s">
        <v>28</v>
      </c>
      <c r="Q1891" t="s">
        <v>24</v>
      </c>
      <c r="R1891" t="s">
        <v>47</v>
      </c>
      <c r="S1891">
        <v>5</v>
      </c>
    </row>
    <row r="1892" spans="1:19" x14ac:dyDescent="0.3">
      <c r="A1892" s="1">
        <v>43615</v>
      </c>
      <c r="B1892">
        <v>2019</v>
      </c>
      <c r="C1892" t="s">
        <v>40</v>
      </c>
      <c r="D1892" s="4">
        <v>100920</v>
      </c>
      <c r="E1892" s="2">
        <v>175000</v>
      </c>
      <c r="F1892" t="s">
        <v>19</v>
      </c>
      <c r="G1892" t="s">
        <v>20</v>
      </c>
      <c r="H1892">
        <v>3</v>
      </c>
      <c r="I1892">
        <v>1</v>
      </c>
      <c r="J1892">
        <v>1018</v>
      </c>
      <c r="K1892" s="5">
        <v>1.0258995E-2</v>
      </c>
      <c r="L1892" t="s">
        <v>27</v>
      </c>
      <c r="M1892" s="4">
        <v>74080</v>
      </c>
      <c r="N1892" s="3">
        <v>171.9057</v>
      </c>
      <c r="O1892" t="s">
        <v>22</v>
      </c>
      <c r="P1892" t="s">
        <v>23</v>
      </c>
      <c r="Q1892" t="s">
        <v>24</v>
      </c>
      <c r="R1892" t="s">
        <v>47</v>
      </c>
      <c r="S1892">
        <v>5</v>
      </c>
    </row>
    <row r="1893" spans="1:19" x14ac:dyDescent="0.3">
      <c r="A1893" s="1">
        <v>43616</v>
      </c>
      <c r="B1893">
        <v>2019</v>
      </c>
      <c r="C1893" t="s">
        <v>35</v>
      </c>
      <c r="D1893" s="4">
        <v>2925230</v>
      </c>
      <c r="E1893" s="2">
        <v>4200000</v>
      </c>
      <c r="F1893" t="s">
        <v>19</v>
      </c>
      <c r="G1893" t="s">
        <v>20</v>
      </c>
      <c r="H1893">
        <v>3</v>
      </c>
      <c r="I1893">
        <v>1</v>
      </c>
      <c r="J1893">
        <v>955</v>
      </c>
      <c r="K1893" s="5">
        <v>1.0258995E-2</v>
      </c>
      <c r="L1893" t="s">
        <v>27</v>
      </c>
      <c r="M1893" s="4">
        <v>1274770</v>
      </c>
      <c r="N1893" s="3">
        <v>4397.9058000000005</v>
      </c>
      <c r="O1893" t="s">
        <v>22</v>
      </c>
      <c r="P1893" t="s">
        <v>28</v>
      </c>
      <c r="Q1893" t="s">
        <v>24</v>
      </c>
      <c r="R1893" t="s">
        <v>47</v>
      </c>
      <c r="S1893">
        <v>5</v>
      </c>
    </row>
    <row r="1894" spans="1:19" x14ac:dyDescent="0.3">
      <c r="A1894" s="1">
        <v>43617</v>
      </c>
      <c r="B1894">
        <v>2019</v>
      </c>
      <c r="C1894" t="s">
        <v>35</v>
      </c>
      <c r="D1894" s="4">
        <v>3709720</v>
      </c>
      <c r="E1894" s="2">
        <v>6775000</v>
      </c>
      <c r="F1894" t="s">
        <v>19</v>
      </c>
      <c r="G1894" t="s">
        <v>20</v>
      </c>
      <c r="H1894">
        <v>3</v>
      </c>
      <c r="I1894">
        <v>2</v>
      </c>
      <c r="J1894">
        <v>1025</v>
      </c>
      <c r="K1894" s="5">
        <v>1.0258995E-2</v>
      </c>
      <c r="L1894" t="s">
        <v>32</v>
      </c>
      <c r="M1894" s="4">
        <v>3065280</v>
      </c>
      <c r="N1894" s="3">
        <v>6609.7560999999996</v>
      </c>
      <c r="O1894" t="s">
        <v>22</v>
      </c>
      <c r="P1894" t="s">
        <v>28</v>
      </c>
      <c r="Q1894" t="s">
        <v>24</v>
      </c>
      <c r="R1894" t="s">
        <v>48</v>
      </c>
      <c r="S1894">
        <v>6</v>
      </c>
    </row>
    <row r="1895" spans="1:19" x14ac:dyDescent="0.3">
      <c r="A1895" s="1">
        <v>43618</v>
      </c>
      <c r="B1895">
        <v>2019</v>
      </c>
      <c r="C1895" t="s">
        <v>18</v>
      </c>
      <c r="D1895" s="4">
        <v>84180</v>
      </c>
      <c r="E1895" s="2">
        <v>75000</v>
      </c>
      <c r="F1895" t="s">
        <v>36</v>
      </c>
      <c r="G1895" t="s">
        <v>37</v>
      </c>
      <c r="H1895">
        <v>6</v>
      </c>
      <c r="I1895">
        <v>6</v>
      </c>
      <c r="J1895">
        <v>1111.6589814177564</v>
      </c>
      <c r="K1895" s="5">
        <v>1.0258995E-2</v>
      </c>
      <c r="L1895" t="s">
        <v>38</v>
      </c>
      <c r="M1895" s="4">
        <v>-9180</v>
      </c>
      <c r="N1895" s="3">
        <v>67.466700000000003</v>
      </c>
      <c r="O1895" t="s">
        <v>33</v>
      </c>
      <c r="P1895" t="s">
        <v>23</v>
      </c>
      <c r="Q1895" t="s">
        <v>24</v>
      </c>
      <c r="R1895" t="s">
        <v>48</v>
      </c>
      <c r="S1895">
        <v>6</v>
      </c>
    </row>
    <row r="1896" spans="1:19" x14ac:dyDescent="0.3">
      <c r="A1896" s="1">
        <v>43621</v>
      </c>
      <c r="B1896">
        <v>2019</v>
      </c>
      <c r="C1896" t="s">
        <v>39</v>
      </c>
      <c r="D1896" s="4">
        <v>380450</v>
      </c>
      <c r="E1896" s="2">
        <v>582000</v>
      </c>
      <c r="F1896" t="s">
        <v>19</v>
      </c>
      <c r="G1896" t="s">
        <v>20</v>
      </c>
      <c r="H1896">
        <v>3</v>
      </c>
      <c r="I1896">
        <v>2</v>
      </c>
      <c r="J1896">
        <v>1111.6589814177564</v>
      </c>
      <c r="K1896" s="5">
        <v>1.0258995E-2</v>
      </c>
      <c r="L1896" t="s">
        <v>38</v>
      </c>
      <c r="M1896" s="4">
        <v>201550</v>
      </c>
      <c r="N1896" s="3">
        <v>523.54190000000006</v>
      </c>
      <c r="O1896" t="s">
        <v>22</v>
      </c>
      <c r="P1896" t="s">
        <v>24</v>
      </c>
      <c r="Q1896" t="s">
        <v>24</v>
      </c>
      <c r="R1896" t="s">
        <v>48</v>
      </c>
      <c r="S1896">
        <v>6</v>
      </c>
    </row>
    <row r="1897" spans="1:19" x14ac:dyDescent="0.3">
      <c r="A1897" s="1">
        <v>43622</v>
      </c>
      <c r="B1897">
        <v>2019</v>
      </c>
      <c r="C1897" t="s">
        <v>56</v>
      </c>
      <c r="D1897" s="4">
        <v>295340</v>
      </c>
      <c r="E1897" s="2">
        <v>535000</v>
      </c>
      <c r="F1897" t="s">
        <v>19</v>
      </c>
      <c r="G1897" t="s">
        <v>20</v>
      </c>
      <c r="H1897">
        <v>3</v>
      </c>
      <c r="I1897">
        <v>1</v>
      </c>
      <c r="J1897">
        <v>950</v>
      </c>
      <c r="K1897" s="5">
        <v>1.0258995E-2</v>
      </c>
      <c r="L1897" t="s">
        <v>27</v>
      </c>
      <c r="M1897" s="4">
        <v>239660</v>
      </c>
      <c r="N1897" s="3">
        <v>563.15790000000004</v>
      </c>
      <c r="O1897" t="s">
        <v>22</v>
      </c>
      <c r="P1897" t="s">
        <v>24</v>
      </c>
      <c r="Q1897" t="s">
        <v>24</v>
      </c>
      <c r="R1897" t="s">
        <v>48</v>
      </c>
      <c r="S1897">
        <v>6</v>
      </c>
    </row>
    <row r="1898" spans="1:19" x14ac:dyDescent="0.3">
      <c r="A1898" s="1">
        <v>43628</v>
      </c>
      <c r="B1898">
        <v>2019</v>
      </c>
      <c r="C1898" t="s">
        <v>40</v>
      </c>
      <c r="D1898" s="4">
        <v>304980</v>
      </c>
      <c r="E1898" s="2">
        <v>555000</v>
      </c>
      <c r="F1898" t="s">
        <v>19</v>
      </c>
      <c r="G1898" t="s">
        <v>20</v>
      </c>
      <c r="H1898">
        <v>3</v>
      </c>
      <c r="I1898">
        <v>2</v>
      </c>
      <c r="J1898">
        <v>969</v>
      </c>
      <c r="K1898" s="5">
        <v>1.0258995E-2</v>
      </c>
      <c r="L1898" t="s">
        <v>21</v>
      </c>
      <c r="M1898" s="4">
        <v>250020</v>
      </c>
      <c r="N1898" s="3">
        <v>572.75540000000001</v>
      </c>
      <c r="O1898" t="s">
        <v>22</v>
      </c>
      <c r="P1898" t="s">
        <v>24</v>
      </c>
      <c r="Q1898" t="s">
        <v>24</v>
      </c>
      <c r="R1898" t="s">
        <v>48</v>
      </c>
      <c r="S1898">
        <v>6</v>
      </c>
    </row>
    <row r="1899" spans="1:19" x14ac:dyDescent="0.3">
      <c r="A1899" s="1">
        <v>43630</v>
      </c>
      <c r="B1899">
        <v>2019</v>
      </c>
      <c r="C1899" t="s">
        <v>18</v>
      </c>
      <c r="D1899" s="4">
        <v>444584.20699999999</v>
      </c>
      <c r="E1899" s="2">
        <v>52500</v>
      </c>
      <c r="F1899" t="s">
        <v>19</v>
      </c>
      <c r="G1899" t="s">
        <v>20</v>
      </c>
      <c r="H1899">
        <v>3</v>
      </c>
      <c r="I1899">
        <v>3</v>
      </c>
      <c r="J1899">
        <v>922</v>
      </c>
      <c r="K1899" s="5">
        <v>1.0258995E-2</v>
      </c>
      <c r="L1899" t="s">
        <v>27</v>
      </c>
      <c r="M1899" s="4">
        <v>-392084.20699999999</v>
      </c>
      <c r="N1899" s="3">
        <v>56.941400000000002</v>
      </c>
      <c r="O1899" t="s">
        <v>33</v>
      </c>
      <c r="P1899" t="s">
        <v>23</v>
      </c>
      <c r="Q1899" t="s">
        <v>24</v>
      </c>
      <c r="R1899" t="s">
        <v>48</v>
      </c>
      <c r="S1899">
        <v>6</v>
      </c>
    </row>
    <row r="1900" spans="1:19" x14ac:dyDescent="0.3">
      <c r="A1900" s="1">
        <v>43631</v>
      </c>
      <c r="B1900">
        <v>2019</v>
      </c>
      <c r="C1900" t="s">
        <v>39</v>
      </c>
      <c r="D1900" s="4">
        <v>269920</v>
      </c>
      <c r="E1900" s="2">
        <v>425000</v>
      </c>
      <c r="F1900" t="s">
        <v>19</v>
      </c>
      <c r="G1900" t="s">
        <v>20</v>
      </c>
      <c r="H1900">
        <v>3</v>
      </c>
      <c r="I1900">
        <v>1</v>
      </c>
      <c r="J1900">
        <v>912</v>
      </c>
      <c r="K1900" s="5">
        <v>1.0258995E-2</v>
      </c>
      <c r="L1900" t="s">
        <v>27</v>
      </c>
      <c r="M1900" s="4">
        <v>155080</v>
      </c>
      <c r="N1900" s="3">
        <v>466.00880000000001</v>
      </c>
      <c r="O1900" t="s">
        <v>22</v>
      </c>
      <c r="P1900" t="s">
        <v>24</v>
      </c>
      <c r="Q1900" t="s">
        <v>24</v>
      </c>
      <c r="R1900" t="s">
        <v>48</v>
      </c>
      <c r="S1900">
        <v>6</v>
      </c>
    </row>
    <row r="1901" spans="1:19" x14ac:dyDescent="0.3">
      <c r="A1901" s="1">
        <v>43632</v>
      </c>
      <c r="B1901">
        <v>2019</v>
      </c>
      <c r="C1901" t="s">
        <v>35</v>
      </c>
      <c r="D1901" s="4">
        <v>3830540</v>
      </c>
      <c r="E1901" s="2">
        <v>5800000</v>
      </c>
      <c r="F1901" t="s">
        <v>19</v>
      </c>
      <c r="G1901" t="s">
        <v>20</v>
      </c>
      <c r="H1901">
        <v>3</v>
      </c>
      <c r="I1901">
        <v>1</v>
      </c>
      <c r="J1901">
        <v>1079</v>
      </c>
      <c r="K1901" s="5">
        <v>1.0258995E-2</v>
      </c>
      <c r="L1901" t="s">
        <v>32</v>
      </c>
      <c r="M1901" s="4">
        <v>1969460</v>
      </c>
      <c r="N1901" s="3">
        <v>5375.3474999999999</v>
      </c>
      <c r="O1901" t="s">
        <v>22</v>
      </c>
      <c r="P1901" t="s">
        <v>28</v>
      </c>
      <c r="Q1901" t="s">
        <v>24</v>
      </c>
      <c r="R1901" t="s">
        <v>48</v>
      </c>
      <c r="S1901">
        <v>6</v>
      </c>
    </row>
    <row r="1902" spans="1:19" x14ac:dyDescent="0.3">
      <c r="A1902" s="1">
        <v>43635</v>
      </c>
      <c r="B1902">
        <v>2019</v>
      </c>
      <c r="C1902" t="s">
        <v>26</v>
      </c>
      <c r="D1902" s="4">
        <v>279510</v>
      </c>
      <c r="E1902" s="2">
        <v>519000</v>
      </c>
      <c r="F1902" t="s">
        <v>19</v>
      </c>
      <c r="G1902" t="s">
        <v>20</v>
      </c>
      <c r="H1902">
        <v>3</v>
      </c>
      <c r="I1902">
        <v>3</v>
      </c>
      <c r="J1902">
        <v>1026</v>
      </c>
      <c r="K1902" s="5">
        <v>1.0258995E-2</v>
      </c>
      <c r="L1902" t="s">
        <v>21</v>
      </c>
      <c r="M1902" s="4">
        <v>239490</v>
      </c>
      <c r="N1902" s="3">
        <v>505.84800000000001</v>
      </c>
      <c r="O1902" t="s">
        <v>22</v>
      </c>
      <c r="P1902" t="s">
        <v>24</v>
      </c>
      <c r="Q1902" t="s">
        <v>24</v>
      </c>
      <c r="R1902" t="s">
        <v>48</v>
      </c>
      <c r="S1902">
        <v>6</v>
      </c>
    </row>
    <row r="1903" spans="1:19" x14ac:dyDescent="0.3">
      <c r="A1903" s="1">
        <v>43636</v>
      </c>
      <c r="B1903">
        <v>2019</v>
      </c>
      <c r="C1903" t="s">
        <v>56</v>
      </c>
      <c r="D1903" s="4">
        <v>444584.20699999999</v>
      </c>
      <c r="E1903" s="2">
        <v>820000</v>
      </c>
      <c r="F1903" t="s">
        <v>19</v>
      </c>
      <c r="G1903" t="s">
        <v>20</v>
      </c>
      <c r="H1903">
        <v>3</v>
      </c>
      <c r="I1903">
        <v>1</v>
      </c>
      <c r="J1903">
        <v>984</v>
      </c>
      <c r="K1903" s="5">
        <v>1.0258995E-2</v>
      </c>
      <c r="L1903" t="s">
        <v>38</v>
      </c>
      <c r="M1903" s="4">
        <v>375415.79300000001</v>
      </c>
      <c r="N1903" s="3">
        <v>833.33330000000001</v>
      </c>
      <c r="O1903" t="s">
        <v>22</v>
      </c>
      <c r="P1903" t="s">
        <v>28</v>
      </c>
      <c r="Q1903" t="s">
        <v>24</v>
      </c>
      <c r="R1903" t="s">
        <v>48</v>
      </c>
      <c r="S1903">
        <v>6</v>
      </c>
    </row>
    <row r="1904" spans="1:19" x14ac:dyDescent="0.3">
      <c r="A1904" s="1">
        <v>43637</v>
      </c>
      <c r="B1904">
        <v>2019</v>
      </c>
      <c r="C1904" t="s">
        <v>35</v>
      </c>
      <c r="D1904" s="4">
        <v>444584.20699999999</v>
      </c>
      <c r="E1904" s="2">
        <v>795000</v>
      </c>
      <c r="F1904" t="s">
        <v>19</v>
      </c>
      <c r="G1904" t="s">
        <v>20</v>
      </c>
      <c r="H1904">
        <v>3</v>
      </c>
      <c r="I1904">
        <v>1</v>
      </c>
      <c r="J1904">
        <v>1004</v>
      </c>
      <c r="K1904" s="5">
        <v>1.0258995E-2</v>
      </c>
      <c r="L1904" t="s">
        <v>38</v>
      </c>
      <c r="M1904" s="4">
        <v>350415.79300000001</v>
      </c>
      <c r="N1904" s="3">
        <v>791.83270000000005</v>
      </c>
      <c r="O1904" t="s">
        <v>22</v>
      </c>
      <c r="P1904" t="s">
        <v>28</v>
      </c>
      <c r="Q1904" t="s">
        <v>24</v>
      </c>
      <c r="R1904" t="s">
        <v>48</v>
      </c>
      <c r="S1904">
        <v>6</v>
      </c>
    </row>
    <row r="1905" spans="1:19" x14ac:dyDescent="0.3">
      <c r="A1905" s="1">
        <v>43638</v>
      </c>
      <c r="B1905">
        <v>2019</v>
      </c>
      <c r="C1905" t="s">
        <v>29</v>
      </c>
      <c r="D1905" s="4">
        <v>192030</v>
      </c>
      <c r="E1905" s="2">
        <v>327400</v>
      </c>
      <c r="F1905" t="s">
        <v>19</v>
      </c>
      <c r="G1905" t="s">
        <v>20</v>
      </c>
      <c r="H1905">
        <v>3</v>
      </c>
      <c r="I1905">
        <v>3</v>
      </c>
      <c r="J1905">
        <v>1089</v>
      </c>
      <c r="K1905" s="5">
        <v>1.0258995E-2</v>
      </c>
      <c r="L1905" t="s">
        <v>38</v>
      </c>
      <c r="M1905" s="4">
        <v>135370</v>
      </c>
      <c r="N1905" s="3">
        <v>300.64280000000002</v>
      </c>
      <c r="O1905" t="s">
        <v>22</v>
      </c>
      <c r="P1905" t="s">
        <v>24</v>
      </c>
      <c r="Q1905" t="s">
        <v>24</v>
      </c>
      <c r="R1905" t="s">
        <v>48</v>
      </c>
      <c r="S1905">
        <v>6</v>
      </c>
    </row>
    <row r="1906" spans="1:19" x14ac:dyDescent="0.3">
      <c r="A1906" s="1">
        <v>43640</v>
      </c>
      <c r="B1906">
        <v>2019</v>
      </c>
      <c r="C1906" t="s">
        <v>40</v>
      </c>
      <c r="D1906" s="4">
        <v>1258740</v>
      </c>
      <c r="E1906" s="2">
        <v>1690000</v>
      </c>
      <c r="F1906" t="s">
        <v>19</v>
      </c>
      <c r="G1906" t="s">
        <v>20</v>
      </c>
      <c r="H1906">
        <v>3</v>
      </c>
      <c r="I1906">
        <v>3</v>
      </c>
      <c r="J1906">
        <v>1007</v>
      </c>
      <c r="K1906" s="5">
        <v>1.0258995E-2</v>
      </c>
      <c r="L1906" t="s">
        <v>38</v>
      </c>
      <c r="M1906" s="4">
        <v>431260</v>
      </c>
      <c r="N1906" s="3">
        <v>1678.2521999999999</v>
      </c>
      <c r="O1906" t="s">
        <v>22</v>
      </c>
      <c r="P1906" t="s">
        <v>28</v>
      </c>
      <c r="Q1906" t="s">
        <v>24</v>
      </c>
      <c r="R1906" t="s">
        <v>48</v>
      </c>
      <c r="S1906">
        <v>6</v>
      </c>
    </row>
    <row r="1907" spans="1:19" x14ac:dyDescent="0.3">
      <c r="A1907" s="1">
        <v>43642</v>
      </c>
      <c r="B1907">
        <v>2019</v>
      </c>
      <c r="C1907" t="s">
        <v>26</v>
      </c>
      <c r="D1907" s="4">
        <v>2539330</v>
      </c>
      <c r="E1907" s="2">
        <v>3900000</v>
      </c>
      <c r="F1907" t="s">
        <v>19</v>
      </c>
      <c r="G1907" t="s">
        <v>20</v>
      </c>
      <c r="H1907">
        <v>3</v>
      </c>
      <c r="I1907">
        <v>3</v>
      </c>
      <c r="J1907">
        <v>1045</v>
      </c>
      <c r="K1907" s="5">
        <v>1.0258995E-2</v>
      </c>
      <c r="L1907" t="s">
        <v>38</v>
      </c>
      <c r="M1907" s="4">
        <v>1360670</v>
      </c>
      <c r="N1907" s="3">
        <v>3732.0574000000001</v>
      </c>
      <c r="O1907" t="s">
        <v>22</v>
      </c>
      <c r="P1907" t="s">
        <v>28</v>
      </c>
      <c r="Q1907" t="s">
        <v>24</v>
      </c>
      <c r="R1907" t="s">
        <v>48</v>
      </c>
      <c r="S1907">
        <v>6</v>
      </c>
    </row>
    <row r="1908" spans="1:19" x14ac:dyDescent="0.3">
      <c r="A1908" s="1">
        <v>43643</v>
      </c>
      <c r="B1908">
        <v>2019</v>
      </c>
      <c r="C1908" t="s">
        <v>35</v>
      </c>
      <c r="D1908" s="4">
        <v>659750</v>
      </c>
      <c r="E1908" s="2">
        <v>1110000</v>
      </c>
      <c r="F1908" t="s">
        <v>19</v>
      </c>
      <c r="G1908" t="s">
        <v>20</v>
      </c>
      <c r="H1908">
        <v>3</v>
      </c>
      <c r="I1908">
        <v>1</v>
      </c>
      <c r="J1908">
        <v>922</v>
      </c>
      <c r="K1908" s="5">
        <v>1.0258995E-2</v>
      </c>
      <c r="L1908" t="s">
        <v>21</v>
      </c>
      <c r="M1908" s="4">
        <v>450250</v>
      </c>
      <c r="N1908" s="3">
        <v>1203.9046000000001</v>
      </c>
      <c r="O1908" t="s">
        <v>22</v>
      </c>
      <c r="P1908" t="s">
        <v>28</v>
      </c>
      <c r="Q1908" t="s">
        <v>24</v>
      </c>
      <c r="R1908" t="s">
        <v>48</v>
      </c>
      <c r="S1908">
        <v>6</v>
      </c>
    </row>
    <row r="1909" spans="1:19" x14ac:dyDescent="0.3">
      <c r="A1909" s="1">
        <v>43644</v>
      </c>
      <c r="B1909">
        <v>2019</v>
      </c>
      <c r="C1909" t="s">
        <v>39</v>
      </c>
      <c r="D1909" s="4">
        <v>627270</v>
      </c>
      <c r="E1909" s="2">
        <v>870000</v>
      </c>
      <c r="F1909" t="s">
        <v>19</v>
      </c>
      <c r="G1909" t="s">
        <v>20</v>
      </c>
      <c r="H1909">
        <v>3</v>
      </c>
      <c r="I1909">
        <v>3</v>
      </c>
      <c r="J1909">
        <v>936</v>
      </c>
      <c r="K1909" s="5">
        <v>1.0258995E-2</v>
      </c>
      <c r="L1909" t="s">
        <v>21</v>
      </c>
      <c r="M1909" s="4">
        <v>242730</v>
      </c>
      <c r="N1909" s="3">
        <v>929.48720000000003</v>
      </c>
      <c r="O1909" t="s">
        <v>22</v>
      </c>
      <c r="P1909" t="s">
        <v>28</v>
      </c>
      <c r="Q1909" t="s">
        <v>24</v>
      </c>
      <c r="R1909" t="s">
        <v>48</v>
      </c>
      <c r="S1909">
        <v>6</v>
      </c>
    </row>
    <row r="1910" spans="1:19" x14ac:dyDescent="0.3">
      <c r="A1910" s="1">
        <v>43645</v>
      </c>
      <c r="B1910">
        <v>2019</v>
      </c>
      <c r="C1910" t="s">
        <v>35</v>
      </c>
      <c r="D1910" s="4">
        <v>1192800</v>
      </c>
      <c r="E1910" s="2">
        <v>2200000</v>
      </c>
      <c r="F1910" t="s">
        <v>19</v>
      </c>
      <c r="G1910" t="s">
        <v>20</v>
      </c>
      <c r="H1910">
        <v>3</v>
      </c>
      <c r="I1910">
        <v>1</v>
      </c>
      <c r="J1910">
        <v>1046</v>
      </c>
      <c r="K1910" s="5">
        <v>1.0258995E-2</v>
      </c>
      <c r="L1910" t="s">
        <v>32</v>
      </c>
      <c r="M1910" s="4">
        <v>1007200</v>
      </c>
      <c r="N1910" s="3">
        <v>2103.2505000000001</v>
      </c>
      <c r="O1910" t="s">
        <v>22</v>
      </c>
      <c r="P1910" t="s">
        <v>28</v>
      </c>
      <c r="Q1910" t="s">
        <v>24</v>
      </c>
      <c r="R1910" t="s">
        <v>48</v>
      </c>
      <c r="S1910">
        <v>6</v>
      </c>
    </row>
    <row r="1911" spans="1:19" x14ac:dyDescent="0.3">
      <c r="A1911" s="1">
        <v>43646</v>
      </c>
      <c r="B1911">
        <v>2019</v>
      </c>
      <c r="C1911" t="s">
        <v>29</v>
      </c>
      <c r="D1911" s="4">
        <v>172430</v>
      </c>
      <c r="E1911" s="2">
        <v>224900</v>
      </c>
      <c r="F1911" t="s">
        <v>19</v>
      </c>
      <c r="G1911" t="s">
        <v>20</v>
      </c>
      <c r="H1911">
        <v>3</v>
      </c>
      <c r="I1911">
        <v>2</v>
      </c>
      <c r="J1911">
        <v>1062</v>
      </c>
      <c r="K1911" s="5">
        <v>1.0258995E-2</v>
      </c>
      <c r="L1911" t="s">
        <v>32</v>
      </c>
      <c r="M1911" s="4">
        <v>52470</v>
      </c>
      <c r="N1911" s="3">
        <v>211.77019999999999</v>
      </c>
      <c r="O1911" t="s">
        <v>22</v>
      </c>
      <c r="P1911" t="s">
        <v>24</v>
      </c>
      <c r="Q1911" t="s">
        <v>24</v>
      </c>
      <c r="R1911" t="s">
        <v>48</v>
      </c>
      <c r="S1911">
        <v>6</v>
      </c>
    </row>
    <row r="1912" spans="1:19" x14ac:dyDescent="0.3">
      <c r="A1912" s="1">
        <v>43651</v>
      </c>
      <c r="B1912">
        <v>2019</v>
      </c>
      <c r="C1912" t="s">
        <v>40</v>
      </c>
      <c r="D1912" s="4">
        <v>75160</v>
      </c>
      <c r="E1912" s="2">
        <v>100000</v>
      </c>
      <c r="F1912" t="s">
        <v>19</v>
      </c>
      <c r="G1912" t="s">
        <v>20</v>
      </c>
      <c r="H1912">
        <v>3</v>
      </c>
      <c r="I1912">
        <v>1</v>
      </c>
      <c r="J1912">
        <v>1005</v>
      </c>
      <c r="K1912" s="5">
        <v>1.0258995E-2</v>
      </c>
      <c r="L1912" t="s">
        <v>21</v>
      </c>
      <c r="M1912" s="4">
        <v>24840</v>
      </c>
      <c r="N1912" s="3">
        <v>99.502499999999998</v>
      </c>
      <c r="O1912" t="s">
        <v>22</v>
      </c>
      <c r="P1912" t="s">
        <v>23</v>
      </c>
      <c r="Q1912" t="s">
        <v>24</v>
      </c>
      <c r="R1912" t="s">
        <v>49</v>
      </c>
      <c r="S1912">
        <v>7</v>
      </c>
    </row>
    <row r="1913" spans="1:19" x14ac:dyDescent="0.3">
      <c r="A1913" s="1">
        <v>43652</v>
      </c>
      <c r="B1913">
        <v>2019</v>
      </c>
      <c r="C1913" t="s">
        <v>40</v>
      </c>
      <c r="D1913" s="4">
        <v>444584.20699999999</v>
      </c>
      <c r="E1913" s="2">
        <v>457500</v>
      </c>
      <c r="F1913" t="s">
        <v>19</v>
      </c>
      <c r="G1913" t="s">
        <v>20</v>
      </c>
      <c r="H1913">
        <v>3</v>
      </c>
      <c r="I1913">
        <v>1</v>
      </c>
      <c r="J1913">
        <v>1017</v>
      </c>
      <c r="K1913" s="5">
        <v>1.0258995E-2</v>
      </c>
      <c r="L1913" t="s">
        <v>21</v>
      </c>
      <c r="M1913" s="4">
        <v>12915.793</v>
      </c>
      <c r="N1913" s="3">
        <v>449.85250000000002</v>
      </c>
      <c r="O1913" t="s">
        <v>22</v>
      </c>
      <c r="P1913" t="s">
        <v>24</v>
      </c>
      <c r="Q1913" t="s">
        <v>24</v>
      </c>
      <c r="R1913" t="s">
        <v>49</v>
      </c>
      <c r="S1913">
        <v>7</v>
      </c>
    </row>
    <row r="1914" spans="1:19" x14ac:dyDescent="0.3">
      <c r="A1914" s="1">
        <v>43653</v>
      </c>
      <c r="B1914">
        <v>2019</v>
      </c>
      <c r="C1914" t="s">
        <v>56</v>
      </c>
      <c r="D1914" s="4">
        <v>280960</v>
      </c>
      <c r="E1914" s="2">
        <v>500000</v>
      </c>
      <c r="F1914" t="s">
        <v>19</v>
      </c>
      <c r="G1914" t="s">
        <v>20</v>
      </c>
      <c r="H1914">
        <v>3</v>
      </c>
      <c r="I1914">
        <v>3</v>
      </c>
      <c r="J1914">
        <v>997</v>
      </c>
      <c r="K1914" s="5">
        <v>1.0258995E-2</v>
      </c>
      <c r="L1914" t="s">
        <v>27</v>
      </c>
      <c r="M1914" s="4">
        <v>219040</v>
      </c>
      <c r="N1914" s="3">
        <v>501.50450000000001</v>
      </c>
      <c r="O1914" t="s">
        <v>22</v>
      </c>
      <c r="P1914" t="s">
        <v>24</v>
      </c>
      <c r="Q1914" t="s">
        <v>24</v>
      </c>
      <c r="R1914" t="s">
        <v>49</v>
      </c>
      <c r="S1914">
        <v>7</v>
      </c>
    </row>
    <row r="1915" spans="1:19" x14ac:dyDescent="0.3">
      <c r="A1915" s="1">
        <v>43656</v>
      </c>
      <c r="B1915">
        <v>2019</v>
      </c>
      <c r="C1915" t="s">
        <v>40</v>
      </c>
      <c r="D1915" s="4">
        <v>534100</v>
      </c>
      <c r="E1915" s="2">
        <v>949000</v>
      </c>
      <c r="F1915" t="s">
        <v>19</v>
      </c>
      <c r="G1915" t="s">
        <v>20</v>
      </c>
      <c r="H1915">
        <v>3</v>
      </c>
      <c r="I1915">
        <v>1</v>
      </c>
      <c r="J1915">
        <v>1111.6589814177564</v>
      </c>
      <c r="K1915" s="5">
        <v>1.0258995E-2</v>
      </c>
      <c r="L1915" t="s">
        <v>38</v>
      </c>
      <c r="M1915" s="4">
        <v>414900</v>
      </c>
      <c r="N1915" s="3">
        <v>853.67909999999995</v>
      </c>
      <c r="O1915" t="s">
        <v>22</v>
      </c>
      <c r="P1915" t="s">
        <v>28</v>
      </c>
      <c r="Q1915" t="s">
        <v>24</v>
      </c>
      <c r="R1915" t="s">
        <v>49</v>
      </c>
      <c r="S1915">
        <v>7</v>
      </c>
    </row>
    <row r="1916" spans="1:19" x14ac:dyDescent="0.3">
      <c r="A1916" s="1">
        <v>43657</v>
      </c>
      <c r="B1916">
        <v>2019</v>
      </c>
      <c r="C1916" t="s">
        <v>35</v>
      </c>
      <c r="D1916" s="4">
        <v>507010</v>
      </c>
      <c r="E1916" s="2">
        <v>751000</v>
      </c>
      <c r="F1916" t="s">
        <v>19</v>
      </c>
      <c r="G1916" t="s">
        <v>20</v>
      </c>
      <c r="H1916">
        <v>3</v>
      </c>
      <c r="I1916">
        <v>2</v>
      </c>
      <c r="J1916">
        <v>1012</v>
      </c>
      <c r="K1916" s="5">
        <v>1.0258995E-2</v>
      </c>
      <c r="L1916" t="s">
        <v>38</v>
      </c>
      <c r="M1916" s="4">
        <v>243990</v>
      </c>
      <c r="N1916" s="3">
        <v>742.09490000000005</v>
      </c>
      <c r="O1916" t="s">
        <v>22</v>
      </c>
      <c r="P1916" t="s">
        <v>28</v>
      </c>
      <c r="Q1916" t="s">
        <v>24</v>
      </c>
      <c r="R1916" t="s">
        <v>49</v>
      </c>
      <c r="S1916">
        <v>7</v>
      </c>
    </row>
    <row r="1917" spans="1:19" x14ac:dyDescent="0.3">
      <c r="A1917" s="1">
        <v>43658</v>
      </c>
      <c r="B1917">
        <v>2019</v>
      </c>
      <c r="C1917" t="s">
        <v>29</v>
      </c>
      <c r="D1917" s="4">
        <v>231270</v>
      </c>
      <c r="E1917" s="2">
        <v>350000</v>
      </c>
      <c r="F1917" t="s">
        <v>42</v>
      </c>
      <c r="G1917" t="s">
        <v>43</v>
      </c>
      <c r="H1917">
        <v>8</v>
      </c>
      <c r="I1917">
        <v>6</v>
      </c>
      <c r="J1917">
        <v>2960</v>
      </c>
      <c r="K1917" s="5">
        <v>1.0258995E-2</v>
      </c>
      <c r="L1917" t="s">
        <v>32</v>
      </c>
      <c r="M1917" s="4">
        <v>118730</v>
      </c>
      <c r="N1917" s="3">
        <v>118.2432</v>
      </c>
      <c r="O1917" t="s">
        <v>22</v>
      </c>
      <c r="P1917" t="s">
        <v>24</v>
      </c>
      <c r="Q1917" t="s">
        <v>34</v>
      </c>
      <c r="R1917" t="s">
        <v>49</v>
      </c>
      <c r="S1917">
        <v>7</v>
      </c>
    </row>
    <row r="1918" spans="1:19" x14ac:dyDescent="0.3">
      <c r="A1918" s="1">
        <v>43659</v>
      </c>
      <c r="B1918">
        <v>2019</v>
      </c>
      <c r="C1918" t="s">
        <v>56</v>
      </c>
      <c r="D1918" s="4">
        <v>350220</v>
      </c>
      <c r="E1918" s="2">
        <v>485000</v>
      </c>
      <c r="F1918" t="s">
        <v>19</v>
      </c>
      <c r="G1918" t="s">
        <v>20</v>
      </c>
      <c r="H1918">
        <v>3</v>
      </c>
      <c r="I1918">
        <v>1</v>
      </c>
      <c r="J1918">
        <v>1111.6589814177564</v>
      </c>
      <c r="K1918" s="5">
        <v>1.0258995E-2</v>
      </c>
      <c r="L1918" t="s">
        <v>38</v>
      </c>
      <c r="M1918" s="4">
        <v>134780</v>
      </c>
      <c r="N1918" s="3">
        <v>436.28489999999999</v>
      </c>
      <c r="O1918" t="s">
        <v>22</v>
      </c>
      <c r="P1918" t="s">
        <v>24</v>
      </c>
      <c r="Q1918" t="s">
        <v>24</v>
      </c>
      <c r="R1918" t="s">
        <v>49</v>
      </c>
      <c r="S1918">
        <v>7</v>
      </c>
    </row>
    <row r="1919" spans="1:19" x14ac:dyDescent="0.3">
      <c r="A1919" s="1">
        <v>43660</v>
      </c>
      <c r="B1919">
        <v>2019</v>
      </c>
      <c r="C1919" t="s">
        <v>18</v>
      </c>
      <c r="D1919" s="4">
        <v>65580</v>
      </c>
      <c r="E1919" s="2">
        <v>109000</v>
      </c>
      <c r="F1919" t="s">
        <v>19</v>
      </c>
      <c r="G1919" t="s">
        <v>20</v>
      </c>
      <c r="H1919">
        <v>3</v>
      </c>
      <c r="I1919">
        <v>2</v>
      </c>
      <c r="J1919">
        <v>1012</v>
      </c>
      <c r="K1919" s="5">
        <v>1.0258995E-2</v>
      </c>
      <c r="L1919" t="s">
        <v>38</v>
      </c>
      <c r="M1919" s="4">
        <v>43420</v>
      </c>
      <c r="N1919" s="3">
        <v>107.7075</v>
      </c>
      <c r="O1919" t="s">
        <v>22</v>
      </c>
      <c r="P1919" t="s">
        <v>23</v>
      </c>
      <c r="Q1919" t="s">
        <v>24</v>
      </c>
      <c r="R1919" t="s">
        <v>49</v>
      </c>
      <c r="S1919">
        <v>7</v>
      </c>
    </row>
    <row r="1920" spans="1:19" x14ac:dyDescent="0.3">
      <c r="A1920" s="1">
        <v>43664</v>
      </c>
      <c r="B1920">
        <v>2019</v>
      </c>
      <c r="C1920" t="s">
        <v>29</v>
      </c>
      <c r="D1920" s="4">
        <v>120720</v>
      </c>
      <c r="E1920" s="2">
        <v>126000</v>
      </c>
      <c r="F1920" t="s">
        <v>19</v>
      </c>
      <c r="G1920" t="s">
        <v>20</v>
      </c>
      <c r="H1920">
        <v>3</v>
      </c>
      <c r="I1920">
        <v>3</v>
      </c>
      <c r="J1920">
        <v>1111.6589814177564</v>
      </c>
      <c r="K1920" s="5">
        <v>1.0258995E-2</v>
      </c>
      <c r="L1920" t="s">
        <v>27</v>
      </c>
      <c r="M1920" s="4">
        <v>5280</v>
      </c>
      <c r="N1920" s="3">
        <v>113.3441</v>
      </c>
      <c r="O1920" t="s">
        <v>22</v>
      </c>
      <c r="P1920" t="s">
        <v>23</v>
      </c>
      <c r="Q1920" t="s">
        <v>24</v>
      </c>
      <c r="R1920" t="s">
        <v>49</v>
      </c>
      <c r="S1920">
        <v>7</v>
      </c>
    </row>
    <row r="1921" spans="1:19" x14ac:dyDescent="0.3">
      <c r="A1921" s="1">
        <v>43665</v>
      </c>
      <c r="B1921">
        <v>2019</v>
      </c>
      <c r="C1921" t="s">
        <v>39</v>
      </c>
      <c r="D1921" s="4">
        <v>403340</v>
      </c>
      <c r="E1921" s="2">
        <v>632500</v>
      </c>
      <c r="F1921" t="s">
        <v>19</v>
      </c>
      <c r="G1921" t="s">
        <v>20</v>
      </c>
      <c r="H1921">
        <v>3</v>
      </c>
      <c r="I1921">
        <v>1</v>
      </c>
      <c r="J1921">
        <v>1058</v>
      </c>
      <c r="K1921" s="5">
        <v>1.0258995E-2</v>
      </c>
      <c r="L1921" t="s">
        <v>27</v>
      </c>
      <c r="M1921" s="4">
        <v>229160</v>
      </c>
      <c r="N1921" s="3">
        <v>597.8261</v>
      </c>
      <c r="O1921" t="s">
        <v>22</v>
      </c>
      <c r="P1921" t="s">
        <v>28</v>
      </c>
      <c r="Q1921" t="s">
        <v>24</v>
      </c>
      <c r="R1921" t="s">
        <v>49</v>
      </c>
      <c r="S1921">
        <v>7</v>
      </c>
    </row>
    <row r="1922" spans="1:19" x14ac:dyDescent="0.3">
      <c r="A1922" s="1">
        <v>43666</v>
      </c>
      <c r="B1922">
        <v>2019</v>
      </c>
      <c r="C1922" t="s">
        <v>29</v>
      </c>
      <c r="D1922" s="4">
        <v>121950</v>
      </c>
      <c r="E1922" s="2">
        <v>40000</v>
      </c>
      <c r="F1922" t="s">
        <v>30</v>
      </c>
      <c r="G1922" t="s">
        <v>31</v>
      </c>
      <c r="H1922">
        <v>4</v>
      </c>
      <c r="I1922">
        <v>4</v>
      </c>
      <c r="J1922">
        <v>1257</v>
      </c>
      <c r="K1922" s="5">
        <v>1.0258995E-2</v>
      </c>
      <c r="L1922" t="s">
        <v>21</v>
      </c>
      <c r="M1922" s="4">
        <v>-81950</v>
      </c>
      <c r="N1922" s="3">
        <v>31.8218</v>
      </c>
      <c r="O1922" t="s">
        <v>33</v>
      </c>
      <c r="P1922" t="s">
        <v>23</v>
      </c>
      <c r="Q1922" t="s">
        <v>24</v>
      </c>
      <c r="R1922" t="s">
        <v>49</v>
      </c>
      <c r="S1922">
        <v>7</v>
      </c>
    </row>
    <row r="1923" spans="1:19" x14ac:dyDescent="0.3">
      <c r="A1923" s="1">
        <v>43667</v>
      </c>
      <c r="B1923">
        <v>2019</v>
      </c>
      <c r="C1923" t="s">
        <v>26</v>
      </c>
      <c r="D1923" s="4">
        <v>266670</v>
      </c>
      <c r="E1923" s="2">
        <v>445000</v>
      </c>
      <c r="F1923" t="s">
        <v>19</v>
      </c>
      <c r="G1923" t="s">
        <v>20</v>
      </c>
      <c r="H1923">
        <v>3</v>
      </c>
      <c r="I1923">
        <v>1</v>
      </c>
      <c r="J1923">
        <v>1111.6589814177564</v>
      </c>
      <c r="K1923" s="5">
        <v>1.0258995E-2</v>
      </c>
      <c r="L1923" t="s">
        <v>27</v>
      </c>
      <c r="M1923" s="4">
        <v>178330</v>
      </c>
      <c r="N1923" s="3">
        <v>400.30259999999998</v>
      </c>
      <c r="O1923" t="s">
        <v>22</v>
      </c>
      <c r="P1923" t="s">
        <v>24</v>
      </c>
      <c r="Q1923" t="s">
        <v>24</v>
      </c>
      <c r="R1923" t="s">
        <v>49</v>
      </c>
      <c r="S1923">
        <v>7</v>
      </c>
    </row>
    <row r="1924" spans="1:19" x14ac:dyDescent="0.3">
      <c r="A1924" s="1">
        <v>43671</v>
      </c>
      <c r="B1924">
        <v>2019</v>
      </c>
      <c r="C1924" t="s">
        <v>29</v>
      </c>
      <c r="D1924" s="4">
        <v>236430</v>
      </c>
      <c r="E1924" s="2">
        <v>385000</v>
      </c>
      <c r="F1924" t="s">
        <v>19</v>
      </c>
      <c r="G1924" t="s">
        <v>20</v>
      </c>
      <c r="H1924">
        <v>3</v>
      </c>
      <c r="I1924">
        <v>1</v>
      </c>
      <c r="J1924">
        <v>1068</v>
      </c>
      <c r="K1924" s="5">
        <v>1.0258995E-2</v>
      </c>
      <c r="L1924" t="s">
        <v>32</v>
      </c>
      <c r="M1924" s="4">
        <v>148570</v>
      </c>
      <c r="N1924" s="3">
        <v>360.48689999999999</v>
      </c>
      <c r="O1924" t="s">
        <v>22</v>
      </c>
      <c r="P1924" t="s">
        <v>24</v>
      </c>
      <c r="Q1924" t="s">
        <v>24</v>
      </c>
      <c r="R1924" t="s">
        <v>49</v>
      </c>
      <c r="S1924">
        <v>7</v>
      </c>
    </row>
    <row r="1925" spans="1:19" x14ac:dyDescent="0.3">
      <c r="A1925" s="1">
        <v>43672</v>
      </c>
      <c r="B1925">
        <v>2019</v>
      </c>
      <c r="C1925" t="s">
        <v>18</v>
      </c>
      <c r="D1925" s="4">
        <v>54240</v>
      </c>
      <c r="E1925" s="2">
        <v>79500</v>
      </c>
      <c r="F1925" t="s">
        <v>19</v>
      </c>
      <c r="G1925" t="s">
        <v>20</v>
      </c>
      <c r="H1925">
        <v>3</v>
      </c>
      <c r="I1925">
        <v>2</v>
      </c>
      <c r="J1925">
        <v>999</v>
      </c>
      <c r="K1925" s="5">
        <v>1.0258995E-2</v>
      </c>
      <c r="L1925" t="s">
        <v>38</v>
      </c>
      <c r="M1925" s="4">
        <v>25260</v>
      </c>
      <c r="N1925" s="3">
        <v>79.579599999999999</v>
      </c>
      <c r="O1925" t="s">
        <v>22</v>
      </c>
      <c r="P1925" t="s">
        <v>23</v>
      </c>
      <c r="Q1925" t="s">
        <v>24</v>
      </c>
      <c r="R1925" t="s">
        <v>49</v>
      </c>
      <c r="S1925">
        <v>7</v>
      </c>
    </row>
    <row r="1926" spans="1:19" x14ac:dyDescent="0.3">
      <c r="A1926" s="1">
        <v>43673</v>
      </c>
      <c r="B1926">
        <v>2019</v>
      </c>
      <c r="C1926" t="s">
        <v>26</v>
      </c>
      <c r="D1926" s="4">
        <v>191180</v>
      </c>
      <c r="E1926" s="2">
        <v>435000</v>
      </c>
      <c r="F1926" t="s">
        <v>19</v>
      </c>
      <c r="G1926" t="s">
        <v>20</v>
      </c>
      <c r="H1926">
        <v>3</v>
      </c>
      <c r="I1926">
        <v>3</v>
      </c>
      <c r="J1926">
        <v>1111.6589814177564</v>
      </c>
      <c r="K1926" s="5">
        <v>1.0258995E-2</v>
      </c>
      <c r="L1926" t="s">
        <v>38</v>
      </c>
      <c r="M1926" s="4">
        <v>243820</v>
      </c>
      <c r="N1926" s="3">
        <v>391.30709999999999</v>
      </c>
      <c r="O1926" t="s">
        <v>22</v>
      </c>
      <c r="P1926" t="s">
        <v>24</v>
      </c>
      <c r="Q1926" t="s">
        <v>24</v>
      </c>
      <c r="R1926" t="s">
        <v>49</v>
      </c>
      <c r="S1926">
        <v>7</v>
      </c>
    </row>
    <row r="1927" spans="1:19" x14ac:dyDescent="0.3">
      <c r="A1927" s="1">
        <v>43674</v>
      </c>
      <c r="B1927">
        <v>2019</v>
      </c>
      <c r="C1927" t="s">
        <v>56</v>
      </c>
      <c r="D1927" s="4">
        <v>486460</v>
      </c>
      <c r="E1927" s="2">
        <v>630000</v>
      </c>
      <c r="F1927" t="s">
        <v>19</v>
      </c>
      <c r="G1927" t="s">
        <v>20</v>
      </c>
      <c r="H1927">
        <v>3</v>
      </c>
      <c r="I1927">
        <v>1</v>
      </c>
      <c r="J1927">
        <v>1067</v>
      </c>
      <c r="K1927" s="5">
        <v>1.0258995E-2</v>
      </c>
      <c r="L1927" t="s">
        <v>32</v>
      </c>
      <c r="M1927" s="4">
        <v>143540</v>
      </c>
      <c r="N1927" s="3">
        <v>590.44050000000004</v>
      </c>
      <c r="O1927" t="s">
        <v>22</v>
      </c>
      <c r="P1927" t="s">
        <v>28</v>
      </c>
      <c r="Q1927" t="s">
        <v>24</v>
      </c>
      <c r="R1927" t="s">
        <v>49</v>
      </c>
      <c r="S1927">
        <v>7</v>
      </c>
    </row>
    <row r="1928" spans="1:19" x14ac:dyDescent="0.3">
      <c r="A1928" s="1">
        <v>43677</v>
      </c>
      <c r="B1928">
        <v>2019</v>
      </c>
      <c r="C1928" t="s">
        <v>56</v>
      </c>
      <c r="D1928" s="4">
        <v>331190</v>
      </c>
      <c r="E1928" s="2">
        <v>584400</v>
      </c>
      <c r="F1928" t="s">
        <v>19</v>
      </c>
      <c r="G1928" t="s">
        <v>20</v>
      </c>
      <c r="H1928">
        <v>3</v>
      </c>
      <c r="I1928">
        <v>2</v>
      </c>
      <c r="J1928">
        <v>993</v>
      </c>
      <c r="K1928" s="5">
        <v>1.0258995E-2</v>
      </c>
      <c r="L1928" t="s">
        <v>21</v>
      </c>
      <c r="M1928" s="4">
        <v>253210</v>
      </c>
      <c r="N1928" s="3">
        <v>588.51959999999997</v>
      </c>
      <c r="O1928" t="s">
        <v>22</v>
      </c>
      <c r="P1928" t="s">
        <v>24</v>
      </c>
      <c r="Q1928" t="s">
        <v>24</v>
      </c>
      <c r="R1928" t="s">
        <v>49</v>
      </c>
      <c r="S1928">
        <v>7</v>
      </c>
    </row>
    <row r="1929" spans="1:19" x14ac:dyDescent="0.3">
      <c r="A1929" s="1">
        <v>43679</v>
      </c>
      <c r="B1929">
        <v>2019</v>
      </c>
      <c r="C1929" t="s">
        <v>56</v>
      </c>
      <c r="D1929" s="4">
        <v>599930</v>
      </c>
      <c r="E1929" s="2">
        <v>1200000</v>
      </c>
      <c r="F1929" t="s">
        <v>19</v>
      </c>
      <c r="G1929" t="s">
        <v>20</v>
      </c>
      <c r="H1929">
        <v>3</v>
      </c>
      <c r="I1929">
        <v>3</v>
      </c>
      <c r="J1929">
        <v>905</v>
      </c>
      <c r="K1929" s="5">
        <v>1.0258995E-2</v>
      </c>
      <c r="L1929" t="s">
        <v>38</v>
      </c>
      <c r="M1929" s="4">
        <v>600070</v>
      </c>
      <c r="N1929" s="3">
        <v>1325.9668999999999</v>
      </c>
      <c r="O1929" t="s">
        <v>22</v>
      </c>
      <c r="P1929" t="s">
        <v>28</v>
      </c>
      <c r="Q1929" t="s">
        <v>24</v>
      </c>
      <c r="R1929" t="s">
        <v>50</v>
      </c>
      <c r="S1929">
        <v>8</v>
      </c>
    </row>
    <row r="1930" spans="1:19" x14ac:dyDescent="0.3">
      <c r="A1930" s="1">
        <v>43681</v>
      </c>
      <c r="B1930">
        <v>2019</v>
      </c>
      <c r="C1930" t="s">
        <v>39</v>
      </c>
      <c r="D1930" s="4">
        <v>338380</v>
      </c>
      <c r="E1930" s="2">
        <v>565000</v>
      </c>
      <c r="F1930" t="s">
        <v>19</v>
      </c>
      <c r="G1930" t="s">
        <v>20</v>
      </c>
      <c r="H1930">
        <v>3</v>
      </c>
      <c r="I1930">
        <v>1</v>
      </c>
      <c r="J1930">
        <v>1027</v>
      </c>
      <c r="K1930" s="5">
        <v>1.0258995E-2</v>
      </c>
      <c r="L1930" t="s">
        <v>38</v>
      </c>
      <c r="M1930" s="4">
        <v>226620</v>
      </c>
      <c r="N1930" s="3">
        <v>550.14610000000005</v>
      </c>
      <c r="O1930" t="s">
        <v>22</v>
      </c>
      <c r="P1930" t="s">
        <v>24</v>
      </c>
      <c r="Q1930" t="s">
        <v>24</v>
      </c>
      <c r="R1930" t="s">
        <v>50</v>
      </c>
      <c r="S1930">
        <v>8</v>
      </c>
    </row>
    <row r="1931" spans="1:19" x14ac:dyDescent="0.3">
      <c r="A1931" s="1">
        <v>43684</v>
      </c>
      <c r="B1931">
        <v>2019</v>
      </c>
      <c r="C1931" t="s">
        <v>29</v>
      </c>
      <c r="D1931" s="4">
        <v>141800</v>
      </c>
      <c r="E1931" s="2">
        <v>109900</v>
      </c>
      <c r="F1931" t="s">
        <v>42</v>
      </c>
      <c r="G1931" t="s">
        <v>43</v>
      </c>
      <c r="H1931">
        <v>8</v>
      </c>
      <c r="I1931">
        <v>8</v>
      </c>
      <c r="J1931">
        <v>2739</v>
      </c>
      <c r="K1931" s="5">
        <v>1.0258995E-2</v>
      </c>
      <c r="L1931" t="s">
        <v>27</v>
      </c>
      <c r="M1931" s="4">
        <v>-31900</v>
      </c>
      <c r="N1931" s="3">
        <v>40.124099999999999</v>
      </c>
      <c r="O1931" t="s">
        <v>33</v>
      </c>
      <c r="P1931" t="s">
        <v>23</v>
      </c>
      <c r="Q1931" t="s">
        <v>34</v>
      </c>
      <c r="R1931" t="s">
        <v>50</v>
      </c>
      <c r="S1931">
        <v>8</v>
      </c>
    </row>
    <row r="1932" spans="1:19" x14ac:dyDescent="0.3">
      <c r="A1932" s="1">
        <v>43685</v>
      </c>
      <c r="B1932">
        <v>2019</v>
      </c>
      <c r="C1932" t="s">
        <v>29</v>
      </c>
      <c r="D1932" s="4">
        <v>110750</v>
      </c>
      <c r="E1932" s="2">
        <v>100800</v>
      </c>
      <c r="F1932" t="s">
        <v>19</v>
      </c>
      <c r="G1932" t="s">
        <v>20</v>
      </c>
      <c r="H1932">
        <v>3</v>
      </c>
      <c r="I1932">
        <v>1</v>
      </c>
      <c r="J1932">
        <v>943</v>
      </c>
      <c r="K1932" s="5">
        <v>1.0258995E-2</v>
      </c>
      <c r="L1932" t="s">
        <v>32</v>
      </c>
      <c r="M1932" s="4">
        <v>-9950</v>
      </c>
      <c r="N1932" s="3">
        <v>106.8929</v>
      </c>
      <c r="O1932" t="s">
        <v>33</v>
      </c>
      <c r="P1932" t="s">
        <v>23</v>
      </c>
      <c r="Q1932" t="s">
        <v>24</v>
      </c>
      <c r="R1932" t="s">
        <v>50</v>
      </c>
      <c r="S1932">
        <v>8</v>
      </c>
    </row>
    <row r="1933" spans="1:19" x14ac:dyDescent="0.3">
      <c r="A1933" s="1">
        <v>43686</v>
      </c>
      <c r="B1933">
        <v>2019</v>
      </c>
      <c r="C1933" t="s">
        <v>39</v>
      </c>
      <c r="D1933" s="4">
        <v>574980</v>
      </c>
      <c r="E1933" s="2">
        <v>640000</v>
      </c>
      <c r="F1933" t="s">
        <v>19</v>
      </c>
      <c r="G1933" t="s">
        <v>20</v>
      </c>
      <c r="H1933">
        <v>3</v>
      </c>
      <c r="I1933">
        <v>1</v>
      </c>
      <c r="J1933">
        <v>1020</v>
      </c>
      <c r="K1933" s="5">
        <v>1.0258995E-2</v>
      </c>
      <c r="L1933" t="s">
        <v>21</v>
      </c>
      <c r="M1933" s="4">
        <v>65020</v>
      </c>
      <c r="N1933" s="3">
        <v>627.45100000000002</v>
      </c>
      <c r="O1933" t="s">
        <v>22</v>
      </c>
      <c r="P1933" t="s">
        <v>28</v>
      </c>
      <c r="Q1933" t="s">
        <v>24</v>
      </c>
      <c r="R1933" t="s">
        <v>50</v>
      </c>
      <c r="S1933">
        <v>8</v>
      </c>
    </row>
    <row r="1934" spans="1:19" x14ac:dyDescent="0.3">
      <c r="A1934" s="1">
        <v>43687</v>
      </c>
      <c r="B1934">
        <v>2019</v>
      </c>
      <c r="C1934" t="s">
        <v>29</v>
      </c>
      <c r="D1934" s="4">
        <v>117630</v>
      </c>
      <c r="E1934" s="2">
        <v>180000</v>
      </c>
      <c r="F1934" t="s">
        <v>19</v>
      </c>
      <c r="G1934" t="s">
        <v>20</v>
      </c>
      <c r="H1934">
        <v>3</v>
      </c>
      <c r="I1934">
        <v>3</v>
      </c>
      <c r="J1934">
        <v>1022</v>
      </c>
      <c r="K1934" s="5">
        <v>1.0258995E-2</v>
      </c>
      <c r="L1934" t="s">
        <v>27</v>
      </c>
      <c r="M1934" s="4">
        <v>62370</v>
      </c>
      <c r="N1934" s="3">
        <v>176.12520000000001</v>
      </c>
      <c r="O1934" t="s">
        <v>22</v>
      </c>
      <c r="P1934" t="s">
        <v>23</v>
      </c>
      <c r="Q1934" t="s">
        <v>24</v>
      </c>
      <c r="R1934" t="s">
        <v>50</v>
      </c>
      <c r="S1934">
        <v>8</v>
      </c>
    </row>
    <row r="1935" spans="1:19" x14ac:dyDescent="0.3">
      <c r="A1935" s="1">
        <v>43688</v>
      </c>
      <c r="B1935">
        <v>2019</v>
      </c>
      <c r="C1935" t="s">
        <v>39</v>
      </c>
      <c r="D1935" s="4">
        <v>199990</v>
      </c>
      <c r="E1935" s="2">
        <v>372000</v>
      </c>
      <c r="F1935" t="s">
        <v>19</v>
      </c>
      <c r="G1935" t="s">
        <v>20</v>
      </c>
      <c r="H1935">
        <v>3</v>
      </c>
      <c r="I1935">
        <v>3</v>
      </c>
      <c r="J1935">
        <v>960</v>
      </c>
      <c r="K1935" s="5">
        <v>1.0258995E-2</v>
      </c>
      <c r="L1935" t="s">
        <v>38</v>
      </c>
      <c r="M1935" s="4">
        <v>172010</v>
      </c>
      <c r="N1935" s="3">
        <v>387.5</v>
      </c>
      <c r="O1935" t="s">
        <v>22</v>
      </c>
      <c r="P1935" t="s">
        <v>24</v>
      </c>
      <c r="Q1935" t="s">
        <v>24</v>
      </c>
      <c r="R1935" t="s">
        <v>50</v>
      </c>
      <c r="S1935">
        <v>8</v>
      </c>
    </row>
    <row r="1936" spans="1:19" x14ac:dyDescent="0.3">
      <c r="A1936" s="1">
        <v>43691</v>
      </c>
      <c r="B1936">
        <v>2019</v>
      </c>
      <c r="C1936" t="s">
        <v>29</v>
      </c>
      <c r="D1936" s="4">
        <v>319360</v>
      </c>
      <c r="E1936" s="2">
        <v>396147</v>
      </c>
      <c r="F1936" t="s">
        <v>19</v>
      </c>
      <c r="G1936" t="s">
        <v>20</v>
      </c>
      <c r="H1936">
        <v>3</v>
      </c>
      <c r="I1936">
        <v>2</v>
      </c>
      <c r="J1936">
        <v>949</v>
      </c>
      <c r="K1936" s="5">
        <v>1.0258995E-2</v>
      </c>
      <c r="L1936" t="s">
        <v>32</v>
      </c>
      <c r="M1936" s="4">
        <v>76787</v>
      </c>
      <c r="N1936" s="3">
        <v>417.43619999999999</v>
      </c>
      <c r="O1936" t="s">
        <v>22</v>
      </c>
      <c r="P1936" t="s">
        <v>24</v>
      </c>
      <c r="Q1936" t="s">
        <v>24</v>
      </c>
      <c r="R1936" t="s">
        <v>50</v>
      </c>
      <c r="S1936">
        <v>8</v>
      </c>
    </row>
    <row r="1937" spans="1:19" x14ac:dyDescent="0.3">
      <c r="A1937" s="1">
        <v>43692</v>
      </c>
      <c r="B1937">
        <v>2019</v>
      </c>
      <c r="C1937" t="s">
        <v>26</v>
      </c>
      <c r="D1937" s="4">
        <v>198570</v>
      </c>
      <c r="E1937" s="2">
        <v>300000</v>
      </c>
      <c r="F1937" t="s">
        <v>30</v>
      </c>
      <c r="G1937" t="s">
        <v>31</v>
      </c>
      <c r="H1937">
        <v>4</v>
      </c>
      <c r="I1937">
        <v>3</v>
      </c>
      <c r="J1937">
        <v>1111.6589814177564</v>
      </c>
      <c r="K1937" s="5">
        <v>1.0258995E-2</v>
      </c>
      <c r="L1937" t="s">
        <v>21</v>
      </c>
      <c r="M1937" s="4">
        <v>101430</v>
      </c>
      <c r="N1937" s="3">
        <v>269.86689999999999</v>
      </c>
      <c r="O1937" t="s">
        <v>22</v>
      </c>
      <c r="P1937" t="s">
        <v>24</v>
      </c>
      <c r="Q1937" t="s">
        <v>24</v>
      </c>
      <c r="R1937" t="s">
        <v>50</v>
      </c>
      <c r="S1937">
        <v>8</v>
      </c>
    </row>
    <row r="1938" spans="1:19" x14ac:dyDescent="0.3">
      <c r="A1938" s="1">
        <v>43694</v>
      </c>
      <c r="B1938">
        <v>2019</v>
      </c>
      <c r="C1938" t="s">
        <v>40</v>
      </c>
      <c r="D1938" s="4">
        <v>444584.20699999999</v>
      </c>
      <c r="E1938" s="2">
        <v>59535</v>
      </c>
      <c r="F1938" t="s">
        <v>19</v>
      </c>
      <c r="G1938" t="s">
        <v>20</v>
      </c>
      <c r="H1938">
        <v>3</v>
      </c>
      <c r="I1938">
        <v>3</v>
      </c>
      <c r="J1938">
        <v>941</v>
      </c>
      <c r="K1938" s="5">
        <v>1.0258995E-2</v>
      </c>
      <c r="L1938" t="s">
        <v>27</v>
      </c>
      <c r="M1938" s="4">
        <v>-385049.20699999999</v>
      </c>
      <c r="N1938" s="3">
        <v>63.267800000000001</v>
      </c>
      <c r="O1938" t="s">
        <v>33</v>
      </c>
      <c r="P1938" t="s">
        <v>23</v>
      </c>
      <c r="Q1938" t="s">
        <v>24</v>
      </c>
      <c r="R1938" t="s">
        <v>50</v>
      </c>
      <c r="S1938">
        <v>8</v>
      </c>
    </row>
    <row r="1939" spans="1:19" x14ac:dyDescent="0.3">
      <c r="A1939" s="1">
        <v>43695</v>
      </c>
      <c r="B1939">
        <v>2019</v>
      </c>
      <c r="C1939" t="s">
        <v>39</v>
      </c>
      <c r="D1939" s="4">
        <v>943600</v>
      </c>
      <c r="E1939" s="2">
        <v>1485000</v>
      </c>
      <c r="F1939" t="s">
        <v>19</v>
      </c>
      <c r="G1939" t="s">
        <v>20</v>
      </c>
      <c r="H1939">
        <v>3</v>
      </c>
      <c r="I1939">
        <v>2</v>
      </c>
      <c r="J1939">
        <v>909</v>
      </c>
      <c r="K1939" s="5">
        <v>1.0258995E-2</v>
      </c>
      <c r="L1939" t="s">
        <v>32</v>
      </c>
      <c r="M1939" s="4">
        <v>541400</v>
      </c>
      <c r="N1939" s="3">
        <v>1633.6633999999999</v>
      </c>
      <c r="O1939" t="s">
        <v>22</v>
      </c>
      <c r="P1939" t="s">
        <v>28</v>
      </c>
      <c r="Q1939" t="s">
        <v>24</v>
      </c>
      <c r="R1939" t="s">
        <v>50</v>
      </c>
      <c r="S1939">
        <v>8</v>
      </c>
    </row>
    <row r="1940" spans="1:19" x14ac:dyDescent="0.3">
      <c r="A1940" s="1">
        <v>43699</v>
      </c>
      <c r="B1940">
        <v>2019</v>
      </c>
      <c r="C1940" t="s">
        <v>29</v>
      </c>
      <c r="D1940" s="4">
        <v>444584.20699999999</v>
      </c>
      <c r="E1940" s="2">
        <v>190000</v>
      </c>
      <c r="F1940" t="s">
        <v>19</v>
      </c>
      <c r="G1940" t="s">
        <v>20</v>
      </c>
      <c r="H1940">
        <v>3</v>
      </c>
      <c r="I1940">
        <v>3</v>
      </c>
      <c r="J1940">
        <v>987</v>
      </c>
      <c r="K1940" s="5">
        <v>1.0258995E-2</v>
      </c>
      <c r="L1940" t="s">
        <v>21</v>
      </c>
      <c r="M1940" s="4">
        <v>-254584.20699999999</v>
      </c>
      <c r="N1940" s="3">
        <v>192.5025</v>
      </c>
      <c r="O1940" t="s">
        <v>33</v>
      </c>
      <c r="P1940" t="s">
        <v>23</v>
      </c>
      <c r="Q1940" t="s">
        <v>24</v>
      </c>
      <c r="R1940" t="s">
        <v>50</v>
      </c>
      <c r="S1940">
        <v>8</v>
      </c>
    </row>
    <row r="1941" spans="1:19" x14ac:dyDescent="0.3">
      <c r="A1941" s="1">
        <v>43700</v>
      </c>
      <c r="B1941">
        <v>2019</v>
      </c>
      <c r="C1941" t="s">
        <v>26</v>
      </c>
      <c r="D1941" s="4">
        <v>291820</v>
      </c>
      <c r="E1941" s="2">
        <v>560000</v>
      </c>
      <c r="F1941" t="s">
        <v>19</v>
      </c>
      <c r="G1941" t="s">
        <v>20</v>
      </c>
      <c r="H1941">
        <v>3</v>
      </c>
      <c r="I1941">
        <v>3</v>
      </c>
      <c r="J1941">
        <v>934</v>
      </c>
      <c r="K1941" s="5">
        <v>1.0258995E-2</v>
      </c>
      <c r="L1941" t="s">
        <v>21</v>
      </c>
      <c r="M1941" s="4">
        <v>268180</v>
      </c>
      <c r="N1941" s="3">
        <v>599.57169999999996</v>
      </c>
      <c r="O1941" t="s">
        <v>22</v>
      </c>
      <c r="P1941" t="s">
        <v>24</v>
      </c>
      <c r="Q1941" t="s">
        <v>24</v>
      </c>
      <c r="R1941" t="s">
        <v>50</v>
      </c>
      <c r="S1941">
        <v>8</v>
      </c>
    </row>
    <row r="1942" spans="1:19" x14ac:dyDescent="0.3">
      <c r="A1942" s="1">
        <v>43701</v>
      </c>
      <c r="B1942">
        <v>2019</v>
      </c>
      <c r="C1942" t="s">
        <v>39</v>
      </c>
      <c r="D1942" s="4">
        <v>732060</v>
      </c>
      <c r="E1942" s="2">
        <v>820000</v>
      </c>
      <c r="F1942" t="s">
        <v>19</v>
      </c>
      <c r="G1942" t="s">
        <v>20</v>
      </c>
      <c r="H1942">
        <v>3</v>
      </c>
      <c r="I1942">
        <v>1</v>
      </c>
      <c r="J1942">
        <v>981</v>
      </c>
      <c r="K1942" s="5">
        <v>1.0258995E-2</v>
      </c>
      <c r="L1942" t="s">
        <v>32</v>
      </c>
      <c r="M1942" s="4">
        <v>87940</v>
      </c>
      <c r="N1942" s="3">
        <v>835.8818</v>
      </c>
      <c r="O1942" t="s">
        <v>22</v>
      </c>
      <c r="P1942" t="s">
        <v>28</v>
      </c>
      <c r="Q1942" t="s">
        <v>24</v>
      </c>
      <c r="R1942" t="s">
        <v>50</v>
      </c>
      <c r="S1942">
        <v>8</v>
      </c>
    </row>
    <row r="1943" spans="1:19" x14ac:dyDescent="0.3">
      <c r="A1943" s="1">
        <v>43705</v>
      </c>
      <c r="B1943">
        <v>2019</v>
      </c>
      <c r="C1943" t="s">
        <v>18</v>
      </c>
      <c r="D1943" s="4">
        <v>61890</v>
      </c>
      <c r="E1943" s="2">
        <v>17000</v>
      </c>
      <c r="F1943" t="s">
        <v>19</v>
      </c>
      <c r="G1943" t="s">
        <v>20</v>
      </c>
      <c r="H1943">
        <v>3</v>
      </c>
      <c r="I1943">
        <v>2</v>
      </c>
      <c r="J1943">
        <v>946</v>
      </c>
      <c r="K1943" s="5">
        <v>1.0258995E-2</v>
      </c>
      <c r="L1943" t="s">
        <v>38</v>
      </c>
      <c r="M1943" s="4">
        <v>-44890</v>
      </c>
      <c r="N1943" s="3">
        <v>17.970400000000001</v>
      </c>
      <c r="O1943" t="s">
        <v>33</v>
      </c>
      <c r="P1943" t="s">
        <v>23</v>
      </c>
      <c r="Q1943" t="s">
        <v>24</v>
      </c>
      <c r="R1943" t="s">
        <v>50</v>
      </c>
      <c r="S1943">
        <v>8</v>
      </c>
    </row>
    <row r="1944" spans="1:19" x14ac:dyDescent="0.3">
      <c r="A1944" s="1">
        <v>43706</v>
      </c>
      <c r="B1944">
        <v>2019</v>
      </c>
      <c r="C1944" t="s">
        <v>56</v>
      </c>
      <c r="D1944" s="4">
        <v>506370</v>
      </c>
      <c r="E1944" s="2">
        <v>895000</v>
      </c>
      <c r="F1944" t="s">
        <v>19</v>
      </c>
      <c r="G1944" t="s">
        <v>20</v>
      </c>
      <c r="H1944">
        <v>3</v>
      </c>
      <c r="I1944">
        <v>1</v>
      </c>
      <c r="J1944">
        <v>1024</v>
      </c>
      <c r="K1944" s="5">
        <v>1.0258995E-2</v>
      </c>
      <c r="L1944" t="s">
        <v>21</v>
      </c>
      <c r="M1944" s="4">
        <v>388630</v>
      </c>
      <c r="N1944" s="3">
        <v>874.02340000000004</v>
      </c>
      <c r="O1944" t="s">
        <v>22</v>
      </c>
      <c r="P1944" t="s">
        <v>28</v>
      </c>
      <c r="Q1944" t="s">
        <v>24</v>
      </c>
      <c r="R1944" t="s">
        <v>50</v>
      </c>
      <c r="S1944">
        <v>8</v>
      </c>
    </row>
    <row r="1945" spans="1:19" x14ac:dyDescent="0.3">
      <c r="A1945" s="1">
        <v>43707</v>
      </c>
      <c r="B1945">
        <v>2019</v>
      </c>
      <c r="C1945" t="s">
        <v>56</v>
      </c>
      <c r="D1945" s="4">
        <v>468530</v>
      </c>
      <c r="E1945" s="2">
        <v>662000</v>
      </c>
      <c r="F1945" t="s">
        <v>19</v>
      </c>
      <c r="G1945" t="s">
        <v>20</v>
      </c>
      <c r="H1945">
        <v>3</v>
      </c>
      <c r="I1945">
        <v>1</v>
      </c>
      <c r="J1945">
        <v>1099</v>
      </c>
      <c r="K1945" s="5">
        <v>1.0258995E-2</v>
      </c>
      <c r="L1945" t="s">
        <v>38</v>
      </c>
      <c r="M1945" s="4">
        <v>193470</v>
      </c>
      <c r="N1945" s="3">
        <v>602.36580000000004</v>
      </c>
      <c r="O1945" t="s">
        <v>22</v>
      </c>
      <c r="P1945" t="s">
        <v>28</v>
      </c>
      <c r="Q1945" t="s">
        <v>24</v>
      </c>
      <c r="R1945" t="s">
        <v>50</v>
      </c>
      <c r="S1945">
        <v>8</v>
      </c>
    </row>
    <row r="1946" spans="1:19" x14ac:dyDescent="0.3">
      <c r="A1946" s="1">
        <v>43708</v>
      </c>
      <c r="B1946">
        <v>2019</v>
      </c>
      <c r="C1946" t="s">
        <v>29</v>
      </c>
      <c r="D1946" s="4">
        <v>131100</v>
      </c>
      <c r="E1946" s="2">
        <v>230000</v>
      </c>
      <c r="F1946" t="s">
        <v>19</v>
      </c>
      <c r="G1946" t="s">
        <v>20</v>
      </c>
      <c r="H1946">
        <v>3</v>
      </c>
      <c r="I1946">
        <v>1</v>
      </c>
      <c r="J1946">
        <v>1016</v>
      </c>
      <c r="K1946" s="5">
        <v>1.0258995E-2</v>
      </c>
      <c r="L1946" t="s">
        <v>27</v>
      </c>
      <c r="M1946" s="4">
        <v>98900</v>
      </c>
      <c r="N1946" s="3">
        <v>226.37799999999999</v>
      </c>
      <c r="O1946" t="s">
        <v>22</v>
      </c>
      <c r="P1946" t="s">
        <v>24</v>
      </c>
      <c r="Q1946" t="s">
        <v>24</v>
      </c>
      <c r="R1946" t="s">
        <v>50</v>
      </c>
      <c r="S1946">
        <v>8</v>
      </c>
    </row>
    <row r="1947" spans="1:19" x14ac:dyDescent="0.3">
      <c r="A1947" s="1">
        <v>43714</v>
      </c>
      <c r="B1947">
        <v>2019</v>
      </c>
      <c r="C1947" t="s">
        <v>18</v>
      </c>
      <c r="D1947" s="4">
        <v>26220</v>
      </c>
      <c r="E1947" s="2">
        <v>30000</v>
      </c>
      <c r="F1947" t="s">
        <v>19</v>
      </c>
      <c r="G1947" t="s">
        <v>20</v>
      </c>
      <c r="H1947">
        <v>3</v>
      </c>
      <c r="I1947">
        <v>1</v>
      </c>
      <c r="J1947">
        <v>1051</v>
      </c>
      <c r="K1947" s="5">
        <v>1.0258995E-2</v>
      </c>
      <c r="L1947" t="s">
        <v>21</v>
      </c>
      <c r="M1947" s="4">
        <v>3780</v>
      </c>
      <c r="N1947" s="3">
        <v>28.5442</v>
      </c>
      <c r="O1947" t="s">
        <v>22</v>
      </c>
      <c r="P1947" t="s">
        <v>23</v>
      </c>
      <c r="Q1947" t="s">
        <v>24</v>
      </c>
      <c r="R1947" t="s">
        <v>51</v>
      </c>
      <c r="S1947">
        <v>9</v>
      </c>
    </row>
    <row r="1948" spans="1:19" x14ac:dyDescent="0.3">
      <c r="A1948" s="1">
        <v>43715</v>
      </c>
      <c r="B1948">
        <v>2019</v>
      </c>
      <c r="C1948" t="s">
        <v>26</v>
      </c>
      <c r="D1948" s="4">
        <v>444584.20699999999</v>
      </c>
      <c r="E1948" s="2">
        <v>4200</v>
      </c>
      <c r="F1948" t="s">
        <v>19</v>
      </c>
      <c r="G1948" t="s">
        <v>20</v>
      </c>
      <c r="H1948">
        <v>3</v>
      </c>
      <c r="I1948">
        <v>2</v>
      </c>
      <c r="J1948">
        <v>1003</v>
      </c>
      <c r="K1948" s="5">
        <v>1.0258995E-2</v>
      </c>
      <c r="L1948" t="s">
        <v>21</v>
      </c>
      <c r="M1948" s="4">
        <v>-440384.20699999999</v>
      </c>
      <c r="N1948" s="3">
        <v>4.1874000000000002</v>
      </c>
      <c r="O1948" t="s">
        <v>33</v>
      </c>
      <c r="P1948" t="s">
        <v>23</v>
      </c>
      <c r="Q1948" t="s">
        <v>24</v>
      </c>
      <c r="R1948" t="s">
        <v>51</v>
      </c>
      <c r="S1948">
        <v>9</v>
      </c>
    </row>
    <row r="1949" spans="1:19" x14ac:dyDescent="0.3">
      <c r="A1949" s="1">
        <v>43716</v>
      </c>
      <c r="B1949">
        <v>2019</v>
      </c>
      <c r="C1949" t="s">
        <v>56</v>
      </c>
      <c r="D1949" s="4">
        <v>220680</v>
      </c>
      <c r="E1949" s="2">
        <v>342000</v>
      </c>
      <c r="F1949" t="s">
        <v>19</v>
      </c>
      <c r="G1949" t="s">
        <v>20</v>
      </c>
      <c r="H1949">
        <v>3</v>
      </c>
      <c r="I1949">
        <v>1</v>
      </c>
      <c r="J1949">
        <v>1065</v>
      </c>
      <c r="K1949" s="5">
        <v>1.0258995E-2</v>
      </c>
      <c r="L1949" t="s">
        <v>27</v>
      </c>
      <c r="M1949" s="4">
        <v>121320</v>
      </c>
      <c r="N1949" s="3">
        <v>321.1268</v>
      </c>
      <c r="O1949" t="s">
        <v>22</v>
      </c>
      <c r="P1949" t="s">
        <v>24</v>
      </c>
      <c r="Q1949" t="s">
        <v>24</v>
      </c>
      <c r="R1949" t="s">
        <v>51</v>
      </c>
      <c r="S1949">
        <v>9</v>
      </c>
    </row>
    <row r="1950" spans="1:19" x14ac:dyDescent="0.3">
      <c r="A1950" s="1">
        <v>43719</v>
      </c>
      <c r="B1950">
        <v>2019</v>
      </c>
      <c r="C1950" t="s">
        <v>39</v>
      </c>
      <c r="D1950" s="4">
        <v>157080</v>
      </c>
      <c r="E1950" s="2">
        <v>149900</v>
      </c>
      <c r="F1950" t="s">
        <v>19</v>
      </c>
      <c r="G1950" t="s">
        <v>20</v>
      </c>
      <c r="H1950">
        <v>3</v>
      </c>
      <c r="I1950">
        <v>1</v>
      </c>
      <c r="J1950">
        <v>1111.6589814177564</v>
      </c>
      <c r="K1950" s="5">
        <v>1.0258995E-2</v>
      </c>
      <c r="L1950" t="s">
        <v>38</v>
      </c>
      <c r="M1950" s="4">
        <v>-7180</v>
      </c>
      <c r="N1950" s="3">
        <v>134.84350000000001</v>
      </c>
      <c r="O1950" t="s">
        <v>33</v>
      </c>
      <c r="P1950" t="s">
        <v>23</v>
      </c>
      <c r="Q1950" t="s">
        <v>24</v>
      </c>
      <c r="R1950" t="s">
        <v>51</v>
      </c>
      <c r="S1950">
        <v>9</v>
      </c>
    </row>
    <row r="1951" spans="1:19" x14ac:dyDescent="0.3">
      <c r="A1951" s="1">
        <v>43720</v>
      </c>
      <c r="B1951">
        <v>2019</v>
      </c>
      <c r="C1951" t="s">
        <v>35</v>
      </c>
      <c r="D1951" s="4">
        <v>2442300</v>
      </c>
      <c r="E1951" s="2">
        <v>2700000</v>
      </c>
      <c r="F1951" t="s">
        <v>19</v>
      </c>
      <c r="G1951" t="s">
        <v>20</v>
      </c>
      <c r="H1951">
        <v>3</v>
      </c>
      <c r="I1951">
        <v>3</v>
      </c>
      <c r="J1951">
        <v>1078</v>
      </c>
      <c r="K1951" s="5">
        <v>1.0258995E-2</v>
      </c>
      <c r="L1951" t="s">
        <v>38</v>
      </c>
      <c r="M1951" s="4">
        <v>257700</v>
      </c>
      <c r="N1951" s="3">
        <v>2504.6381999999999</v>
      </c>
      <c r="O1951" t="s">
        <v>22</v>
      </c>
      <c r="P1951" t="s">
        <v>28</v>
      </c>
      <c r="Q1951" t="s">
        <v>24</v>
      </c>
      <c r="R1951" t="s">
        <v>51</v>
      </c>
      <c r="S1951">
        <v>9</v>
      </c>
    </row>
    <row r="1952" spans="1:19" x14ac:dyDescent="0.3">
      <c r="A1952" s="1">
        <v>43721</v>
      </c>
      <c r="B1952">
        <v>2019</v>
      </c>
      <c r="C1952" t="s">
        <v>18</v>
      </c>
      <c r="D1952" s="4">
        <v>109480</v>
      </c>
      <c r="E1952" s="2">
        <v>125000</v>
      </c>
      <c r="F1952" t="s">
        <v>19</v>
      </c>
      <c r="G1952" t="s">
        <v>20</v>
      </c>
      <c r="H1952">
        <v>3</v>
      </c>
      <c r="I1952">
        <v>3</v>
      </c>
      <c r="J1952">
        <v>910</v>
      </c>
      <c r="K1952" s="5">
        <v>1.0258995E-2</v>
      </c>
      <c r="L1952" t="s">
        <v>38</v>
      </c>
      <c r="M1952" s="4">
        <v>15520</v>
      </c>
      <c r="N1952" s="3">
        <v>137.36259999999999</v>
      </c>
      <c r="O1952" t="s">
        <v>22</v>
      </c>
      <c r="P1952" t="s">
        <v>23</v>
      </c>
      <c r="Q1952" t="s">
        <v>24</v>
      </c>
      <c r="R1952" t="s">
        <v>51</v>
      </c>
      <c r="S1952">
        <v>9</v>
      </c>
    </row>
    <row r="1953" spans="1:19" x14ac:dyDescent="0.3">
      <c r="A1953" s="1">
        <v>43722</v>
      </c>
      <c r="B1953">
        <v>2019</v>
      </c>
      <c r="C1953" t="s">
        <v>29</v>
      </c>
      <c r="D1953" s="4">
        <v>158220</v>
      </c>
      <c r="E1953" s="2">
        <v>219000</v>
      </c>
      <c r="F1953" t="s">
        <v>19</v>
      </c>
      <c r="G1953" t="s">
        <v>20</v>
      </c>
      <c r="H1953">
        <v>3</v>
      </c>
      <c r="I1953">
        <v>2</v>
      </c>
      <c r="J1953">
        <v>902</v>
      </c>
      <c r="K1953" s="5">
        <v>1.0258995E-2</v>
      </c>
      <c r="L1953" t="s">
        <v>21</v>
      </c>
      <c r="M1953" s="4">
        <v>60780</v>
      </c>
      <c r="N1953" s="3">
        <v>242.7938</v>
      </c>
      <c r="O1953" t="s">
        <v>22</v>
      </c>
      <c r="P1953" t="s">
        <v>24</v>
      </c>
      <c r="Q1953" t="s">
        <v>24</v>
      </c>
      <c r="R1953" t="s">
        <v>51</v>
      </c>
      <c r="S1953">
        <v>9</v>
      </c>
    </row>
    <row r="1954" spans="1:19" x14ac:dyDescent="0.3">
      <c r="A1954" s="1">
        <v>43723</v>
      </c>
      <c r="B1954">
        <v>2019</v>
      </c>
      <c r="C1954" t="s">
        <v>56</v>
      </c>
      <c r="D1954" s="4">
        <v>609270</v>
      </c>
      <c r="E1954" s="2">
        <v>875000</v>
      </c>
      <c r="F1954" t="s">
        <v>19</v>
      </c>
      <c r="G1954" t="s">
        <v>20</v>
      </c>
      <c r="H1954">
        <v>3</v>
      </c>
      <c r="I1954">
        <v>2</v>
      </c>
      <c r="J1954">
        <v>1097</v>
      </c>
      <c r="K1954" s="5">
        <v>1.0258995E-2</v>
      </c>
      <c r="L1954" t="s">
        <v>32</v>
      </c>
      <c r="M1954" s="4">
        <v>265730</v>
      </c>
      <c r="N1954" s="3">
        <v>797.62990000000002</v>
      </c>
      <c r="O1954" t="s">
        <v>22</v>
      </c>
      <c r="P1954" t="s">
        <v>28</v>
      </c>
      <c r="Q1954" t="s">
        <v>24</v>
      </c>
      <c r="R1954" t="s">
        <v>51</v>
      </c>
      <c r="S1954">
        <v>9</v>
      </c>
    </row>
    <row r="1955" spans="1:19" x14ac:dyDescent="0.3">
      <c r="A1955" s="1">
        <v>43727</v>
      </c>
      <c r="B1955">
        <v>2019</v>
      </c>
      <c r="C1955" t="s">
        <v>29</v>
      </c>
      <c r="D1955" s="4">
        <v>142690</v>
      </c>
      <c r="E1955" s="2">
        <v>160250</v>
      </c>
      <c r="F1955" t="s">
        <v>19</v>
      </c>
      <c r="G1955" t="s">
        <v>20</v>
      </c>
      <c r="H1955">
        <v>3</v>
      </c>
      <c r="I1955">
        <v>2</v>
      </c>
      <c r="J1955">
        <v>993</v>
      </c>
      <c r="K1955" s="5">
        <v>1.0258995E-2</v>
      </c>
      <c r="L1955" t="s">
        <v>21</v>
      </c>
      <c r="M1955" s="4">
        <v>17560</v>
      </c>
      <c r="N1955" s="3">
        <v>161.37970000000001</v>
      </c>
      <c r="O1955" t="s">
        <v>22</v>
      </c>
      <c r="P1955" t="s">
        <v>23</v>
      </c>
      <c r="Q1955" t="s">
        <v>24</v>
      </c>
      <c r="R1955" t="s">
        <v>51</v>
      </c>
      <c r="S1955">
        <v>9</v>
      </c>
    </row>
    <row r="1956" spans="1:19" x14ac:dyDescent="0.3">
      <c r="A1956" s="1">
        <v>43728</v>
      </c>
      <c r="B1956">
        <v>2019</v>
      </c>
      <c r="C1956" t="s">
        <v>56</v>
      </c>
      <c r="D1956" s="4">
        <v>588520</v>
      </c>
      <c r="E1956" s="2">
        <v>967500</v>
      </c>
      <c r="F1956" t="s">
        <v>19</v>
      </c>
      <c r="G1956" t="s">
        <v>20</v>
      </c>
      <c r="H1956">
        <v>3</v>
      </c>
      <c r="I1956">
        <v>3</v>
      </c>
      <c r="J1956">
        <v>969</v>
      </c>
      <c r="K1956" s="5">
        <v>1.0258995E-2</v>
      </c>
      <c r="L1956" t="s">
        <v>27</v>
      </c>
      <c r="M1956" s="4">
        <v>378980</v>
      </c>
      <c r="N1956" s="3">
        <v>998.452</v>
      </c>
      <c r="O1956" t="s">
        <v>22</v>
      </c>
      <c r="P1956" t="s">
        <v>28</v>
      </c>
      <c r="Q1956" t="s">
        <v>24</v>
      </c>
      <c r="R1956" t="s">
        <v>51</v>
      </c>
      <c r="S1956">
        <v>9</v>
      </c>
    </row>
    <row r="1957" spans="1:19" x14ac:dyDescent="0.3">
      <c r="A1957" s="1">
        <v>43729</v>
      </c>
      <c r="B1957">
        <v>2019</v>
      </c>
      <c r="C1957" t="s">
        <v>18</v>
      </c>
      <c r="D1957" s="4">
        <v>100450</v>
      </c>
      <c r="E1957" s="2">
        <v>102901</v>
      </c>
      <c r="F1957" t="s">
        <v>19</v>
      </c>
      <c r="G1957" t="s">
        <v>20</v>
      </c>
      <c r="H1957">
        <v>3</v>
      </c>
      <c r="I1957">
        <v>1</v>
      </c>
      <c r="J1957">
        <v>969</v>
      </c>
      <c r="K1957" s="5">
        <v>1.0258995E-2</v>
      </c>
      <c r="L1957" t="s">
        <v>32</v>
      </c>
      <c r="M1957" s="4">
        <v>2451</v>
      </c>
      <c r="N1957" s="3">
        <v>106.193</v>
      </c>
      <c r="O1957" t="s">
        <v>22</v>
      </c>
      <c r="P1957" t="s">
        <v>23</v>
      </c>
      <c r="Q1957" t="s">
        <v>24</v>
      </c>
      <c r="R1957" t="s">
        <v>51</v>
      </c>
      <c r="S1957">
        <v>9</v>
      </c>
    </row>
    <row r="1958" spans="1:19" x14ac:dyDescent="0.3">
      <c r="A1958" s="1">
        <v>43730</v>
      </c>
      <c r="B1958">
        <v>2019</v>
      </c>
      <c r="C1958" t="s">
        <v>39</v>
      </c>
      <c r="D1958" s="4">
        <v>295470</v>
      </c>
      <c r="E1958" s="2">
        <v>680000</v>
      </c>
      <c r="F1958" t="s">
        <v>19</v>
      </c>
      <c r="G1958" t="s">
        <v>20</v>
      </c>
      <c r="H1958">
        <v>3</v>
      </c>
      <c r="I1958">
        <v>2</v>
      </c>
      <c r="J1958">
        <v>1111.6589814177564</v>
      </c>
      <c r="K1958" s="5">
        <v>1.0258995E-2</v>
      </c>
      <c r="L1958" t="s">
        <v>32</v>
      </c>
      <c r="M1958" s="4">
        <v>384530</v>
      </c>
      <c r="N1958" s="3">
        <v>611.69839999999999</v>
      </c>
      <c r="O1958" t="s">
        <v>22</v>
      </c>
      <c r="P1958" t="s">
        <v>28</v>
      </c>
      <c r="Q1958" t="s">
        <v>24</v>
      </c>
      <c r="R1958" t="s">
        <v>51</v>
      </c>
      <c r="S1958">
        <v>9</v>
      </c>
    </row>
    <row r="1959" spans="1:19" x14ac:dyDescent="0.3">
      <c r="A1959" s="1">
        <v>43734</v>
      </c>
      <c r="B1959">
        <v>2019</v>
      </c>
      <c r="C1959" t="s">
        <v>18</v>
      </c>
      <c r="D1959" s="4">
        <v>85020</v>
      </c>
      <c r="E1959" s="2">
        <v>100000</v>
      </c>
      <c r="F1959" t="s">
        <v>19</v>
      </c>
      <c r="G1959" t="s">
        <v>20</v>
      </c>
      <c r="H1959">
        <v>3</v>
      </c>
      <c r="I1959">
        <v>1</v>
      </c>
      <c r="J1959">
        <v>1088</v>
      </c>
      <c r="K1959" s="5">
        <v>1.0258995E-2</v>
      </c>
      <c r="L1959" t="s">
        <v>21</v>
      </c>
      <c r="M1959" s="4">
        <v>14980</v>
      </c>
      <c r="N1959" s="3">
        <v>91.911799999999999</v>
      </c>
      <c r="O1959" t="s">
        <v>22</v>
      </c>
      <c r="P1959" t="s">
        <v>23</v>
      </c>
      <c r="Q1959" t="s">
        <v>24</v>
      </c>
      <c r="R1959" t="s">
        <v>51</v>
      </c>
      <c r="S1959">
        <v>9</v>
      </c>
    </row>
    <row r="1960" spans="1:19" x14ac:dyDescent="0.3">
      <c r="A1960" s="1">
        <v>43735</v>
      </c>
      <c r="B1960">
        <v>2019</v>
      </c>
      <c r="C1960" t="s">
        <v>29</v>
      </c>
      <c r="D1960" s="4">
        <v>107780</v>
      </c>
      <c r="E1960" s="2">
        <v>229900</v>
      </c>
      <c r="F1960" t="s">
        <v>19</v>
      </c>
      <c r="G1960" t="s">
        <v>20</v>
      </c>
      <c r="H1960">
        <v>3</v>
      </c>
      <c r="I1960">
        <v>1</v>
      </c>
      <c r="J1960">
        <v>983</v>
      </c>
      <c r="K1960" s="5">
        <v>1.0258995E-2</v>
      </c>
      <c r="L1960" t="s">
        <v>38</v>
      </c>
      <c r="M1960" s="4">
        <v>122120</v>
      </c>
      <c r="N1960" s="3">
        <v>233.8759</v>
      </c>
      <c r="O1960" t="s">
        <v>22</v>
      </c>
      <c r="P1960" t="s">
        <v>24</v>
      </c>
      <c r="Q1960" t="s">
        <v>24</v>
      </c>
      <c r="R1960" t="s">
        <v>51</v>
      </c>
      <c r="S1960">
        <v>9</v>
      </c>
    </row>
    <row r="1961" spans="1:19" x14ac:dyDescent="0.3">
      <c r="A1961" s="1">
        <v>43736</v>
      </c>
      <c r="B1961">
        <v>2019</v>
      </c>
      <c r="C1961" t="s">
        <v>29</v>
      </c>
      <c r="D1961" s="4">
        <v>118090</v>
      </c>
      <c r="E1961" s="2">
        <v>195000</v>
      </c>
      <c r="F1961" t="s">
        <v>19</v>
      </c>
      <c r="G1961" t="s">
        <v>20</v>
      </c>
      <c r="H1961">
        <v>3</v>
      </c>
      <c r="I1961">
        <v>2</v>
      </c>
      <c r="J1961">
        <v>904</v>
      </c>
      <c r="K1961" s="5">
        <v>1.0258995E-2</v>
      </c>
      <c r="L1961" t="s">
        <v>27</v>
      </c>
      <c r="M1961" s="4">
        <v>76910</v>
      </c>
      <c r="N1961" s="3">
        <v>215.708</v>
      </c>
      <c r="O1961" t="s">
        <v>22</v>
      </c>
      <c r="P1961" t="s">
        <v>23</v>
      </c>
      <c r="Q1961" t="s">
        <v>24</v>
      </c>
      <c r="R1961" t="s">
        <v>51</v>
      </c>
      <c r="S1961">
        <v>9</v>
      </c>
    </row>
    <row r="1962" spans="1:19" x14ac:dyDescent="0.3">
      <c r="A1962" s="1">
        <v>43740</v>
      </c>
      <c r="B1962">
        <v>2019</v>
      </c>
      <c r="C1962" t="s">
        <v>29</v>
      </c>
      <c r="D1962" s="4">
        <v>115060</v>
      </c>
      <c r="E1962" s="2">
        <v>227000</v>
      </c>
      <c r="F1962" t="s">
        <v>19</v>
      </c>
      <c r="G1962" t="s">
        <v>20</v>
      </c>
      <c r="H1962">
        <v>3</v>
      </c>
      <c r="I1962">
        <v>1</v>
      </c>
      <c r="J1962">
        <v>1089</v>
      </c>
      <c r="K1962" s="5">
        <v>1.0258995E-2</v>
      </c>
      <c r="L1962" t="s">
        <v>38</v>
      </c>
      <c r="M1962" s="4">
        <v>111940</v>
      </c>
      <c r="N1962" s="3">
        <v>208.44810000000001</v>
      </c>
      <c r="O1962" t="s">
        <v>22</v>
      </c>
      <c r="P1962" t="s">
        <v>24</v>
      </c>
      <c r="Q1962" t="s">
        <v>24</v>
      </c>
      <c r="R1962" t="s">
        <v>53</v>
      </c>
      <c r="S1962">
        <v>10</v>
      </c>
    </row>
    <row r="1963" spans="1:19" x14ac:dyDescent="0.3">
      <c r="A1963" s="1">
        <v>43741</v>
      </c>
      <c r="B1963">
        <v>2019</v>
      </c>
      <c r="C1963" t="s">
        <v>52</v>
      </c>
      <c r="D1963" s="4">
        <v>128380</v>
      </c>
      <c r="E1963" s="2">
        <v>202500</v>
      </c>
      <c r="F1963" t="s">
        <v>19</v>
      </c>
      <c r="G1963" t="s">
        <v>20</v>
      </c>
      <c r="H1963">
        <v>3</v>
      </c>
      <c r="I1963">
        <v>2</v>
      </c>
      <c r="J1963">
        <v>1111.6589814177564</v>
      </c>
      <c r="K1963" s="5">
        <v>1.0258995E-2</v>
      </c>
      <c r="L1963" t="s">
        <v>21</v>
      </c>
      <c r="M1963" s="4">
        <v>74120</v>
      </c>
      <c r="N1963" s="3">
        <v>182.1602</v>
      </c>
      <c r="O1963" t="s">
        <v>22</v>
      </c>
      <c r="P1963" t="s">
        <v>24</v>
      </c>
      <c r="Q1963" t="s">
        <v>24</v>
      </c>
      <c r="R1963" t="s">
        <v>53</v>
      </c>
      <c r="S1963">
        <v>10</v>
      </c>
    </row>
    <row r="1964" spans="1:19" x14ac:dyDescent="0.3">
      <c r="A1964" s="1">
        <v>43742</v>
      </c>
      <c r="B1964">
        <v>2019</v>
      </c>
      <c r="C1964" t="s">
        <v>26</v>
      </c>
      <c r="D1964" s="4">
        <v>805780</v>
      </c>
      <c r="E1964" s="2">
        <v>1325000</v>
      </c>
      <c r="F1964" t="s">
        <v>19</v>
      </c>
      <c r="G1964" t="s">
        <v>20</v>
      </c>
      <c r="H1964">
        <v>3</v>
      </c>
      <c r="I1964">
        <v>2</v>
      </c>
      <c r="J1964">
        <v>900</v>
      </c>
      <c r="K1964" s="5">
        <v>1.0258995E-2</v>
      </c>
      <c r="L1964" t="s">
        <v>27</v>
      </c>
      <c r="M1964" s="4">
        <v>519220</v>
      </c>
      <c r="N1964" s="3">
        <v>1472.2221999999999</v>
      </c>
      <c r="O1964" t="s">
        <v>22</v>
      </c>
      <c r="P1964" t="s">
        <v>28</v>
      </c>
      <c r="Q1964" t="s">
        <v>24</v>
      </c>
      <c r="R1964" t="s">
        <v>53</v>
      </c>
      <c r="S1964">
        <v>10</v>
      </c>
    </row>
    <row r="1965" spans="1:19" x14ac:dyDescent="0.3">
      <c r="A1965" s="1">
        <v>43743</v>
      </c>
      <c r="B1965">
        <v>2019</v>
      </c>
      <c r="C1965" t="s">
        <v>39</v>
      </c>
      <c r="D1965" s="4">
        <v>341880</v>
      </c>
      <c r="E1965" s="2">
        <v>435000</v>
      </c>
      <c r="F1965" t="s">
        <v>19</v>
      </c>
      <c r="G1965" t="s">
        <v>20</v>
      </c>
      <c r="H1965">
        <v>3</v>
      </c>
      <c r="I1965">
        <v>3</v>
      </c>
      <c r="J1965">
        <v>1111.6589814177564</v>
      </c>
      <c r="K1965" s="5">
        <v>1.0258995E-2</v>
      </c>
      <c r="L1965" t="s">
        <v>32</v>
      </c>
      <c r="M1965" s="4">
        <v>93120</v>
      </c>
      <c r="N1965" s="3">
        <v>391.30709999999999</v>
      </c>
      <c r="O1965" t="s">
        <v>22</v>
      </c>
      <c r="P1965" t="s">
        <v>24</v>
      </c>
      <c r="Q1965" t="s">
        <v>24</v>
      </c>
      <c r="R1965" t="s">
        <v>53</v>
      </c>
      <c r="S1965">
        <v>10</v>
      </c>
    </row>
    <row r="1966" spans="1:19" x14ac:dyDescent="0.3">
      <c r="A1966" s="1">
        <v>43744</v>
      </c>
      <c r="B1966">
        <v>2019</v>
      </c>
      <c r="C1966" t="s">
        <v>40</v>
      </c>
      <c r="D1966" s="4">
        <v>464520</v>
      </c>
      <c r="E1966" s="2">
        <v>686500</v>
      </c>
      <c r="F1966" t="s">
        <v>19</v>
      </c>
      <c r="G1966" t="s">
        <v>20</v>
      </c>
      <c r="H1966">
        <v>3</v>
      </c>
      <c r="I1966">
        <v>1</v>
      </c>
      <c r="J1966">
        <v>954</v>
      </c>
      <c r="K1966" s="5">
        <v>1.0258995E-2</v>
      </c>
      <c r="L1966" t="s">
        <v>38</v>
      </c>
      <c r="M1966" s="4">
        <v>221980</v>
      </c>
      <c r="N1966" s="3">
        <v>719.60170000000005</v>
      </c>
      <c r="O1966" t="s">
        <v>22</v>
      </c>
      <c r="P1966" t="s">
        <v>28</v>
      </c>
      <c r="Q1966" t="s">
        <v>24</v>
      </c>
      <c r="R1966" t="s">
        <v>53</v>
      </c>
      <c r="S1966">
        <v>10</v>
      </c>
    </row>
    <row r="1967" spans="1:19" x14ac:dyDescent="0.3">
      <c r="A1967" s="1">
        <v>43748</v>
      </c>
      <c r="B1967">
        <v>2019</v>
      </c>
      <c r="C1967" t="s">
        <v>26</v>
      </c>
      <c r="D1967" s="4">
        <v>226660</v>
      </c>
      <c r="E1967" s="2">
        <v>255000</v>
      </c>
      <c r="F1967" t="s">
        <v>19</v>
      </c>
      <c r="G1967" t="s">
        <v>20</v>
      </c>
      <c r="H1967">
        <v>3</v>
      </c>
      <c r="I1967">
        <v>3</v>
      </c>
      <c r="J1967">
        <v>912</v>
      </c>
      <c r="K1967" s="5">
        <v>1.0258995E-2</v>
      </c>
      <c r="L1967" t="s">
        <v>32</v>
      </c>
      <c r="M1967" s="4">
        <v>28340</v>
      </c>
      <c r="N1967" s="3">
        <v>279.6053</v>
      </c>
      <c r="O1967" t="s">
        <v>22</v>
      </c>
      <c r="P1967" t="s">
        <v>24</v>
      </c>
      <c r="Q1967" t="s">
        <v>24</v>
      </c>
      <c r="R1967" t="s">
        <v>53</v>
      </c>
      <c r="S1967">
        <v>10</v>
      </c>
    </row>
    <row r="1968" spans="1:19" x14ac:dyDescent="0.3">
      <c r="A1968" s="1">
        <v>43750</v>
      </c>
      <c r="B1968">
        <v>2019</v>
      </c>
      <c r="C1968" t="s">
        <v>40</v>
      </c>
      <c r="D1968" s="4">
        <v>920500</v>
      </c>
      <c r="E1968" s="2">
        <v>1115000</v>
      </c>
      <c r="F1968" t="s">
        <v>19</v>
      </c>
      <c r="G1968" t="s">
        <v>20</v>
      </c>
      <c r="H1968">
        <v>3</v>
      </c>
      <c r="I1968">
        <v>2</v>
      </c>
      <c r="J1968">
        <v>1111.6589814177564</v>
      </c>
      <c r="K1968" s="5">
        <v>1.0258995E-2</v>
      </c>
      <c r="L1968" t="s">
        <v>27</v>
      </c>
      <c r="M1968" s="4">
        <v>194500</v>
      </c>
      <c r="N1968" s="3">
        <v>1003.0054</v>
      </c>
      <c r="O1968" t="s">
        <v>22</v>
      </c>
      <c r="P1968" t="s">
        <v>28</v>
      </c>
      <c r="Q1968" t="s">
        <v>24</v>
      </c>
      <c r="R1968" t="s">
        <v>53</v>
      </c>
      <c r="S1968">
        <v>10</v>
      </c>
    </row>
    <row r="1969" spans="1:19" x14ac:dyDescent="0.3">
      <c r="A1969" s="1">
        <v>43751</v>
      </c>
      <c r="B1969">
        <v>2019</v>
      </c>
      <c r="C1969" t="s">
        <v>52</v>
      </c>
      <c r="D1969" s="4">
        <v>239190</v>
      </c>
      <c r="E1969" s="2">
        <v>340000</v>
      </c>
      <c r="F1969" t="s">
        <v>19</v>
      </c>
      <c r="G1969" t="s">
        <v>20</v>
      </c>
      <c r="H1969">
        <v>3</v>
      </c>
      <c r="I1969">
        <v>3</v>
      </c>
      <c r="J1969">
        <v>1111.6589814177564</v>
      </c>
      <c r="K1969" s="5">
        <v>1.0258995E-2</v>
      </c>
      <c r="L1969" t="s">
        <v>27</v>
      </c>
      <c r="M1969" s="4">
        <v>100810</v>
      </c>
      <c r="N1969" s="3">
        <v>305.8492</v>
      </c>
      <c r="O1969" t="s">
        <v>22</v>
      </c>
      <c r="P1969" t="s">
        <v>24</v>
      </c>
      <c r="Q1969" t="s">
        <v>24</v>
      </c>
      <c r="R1969" t="s">
        <v>53</v>
      </c>
      <c r="S1969">
        <v>10</v>
      </c>
    </row>
    <row r="1970" spans="1:19" x14ac:dyDescent="0.3">
      <c r="A1970" s="1">
        <v>43754</v>
      </c>
      <c r="B1970">
        <v>2019</v>
      </c>
      <c r="C1970" t="s">
        <v>40</v>
      </c>
      <c r="D1970" s="4">
        <v>363440</v>
      </c>
      <c r="E1970" s="2">
        <v>690000</v>
      </c>
      <c r="F1970" t="s">
        <v>19</v>
      </c>
      <c r="G1970" t="s">
        <v>20</v>
      </c>
      <c r="H1970">
        <v>3</v>
      </c>
      <c r="I1970">
        <v>1</v>
      </c>
      <c r="J1970">
        <v>978</v>
      </c>
      <c r="K1970" s="5">
        <v>1.0258995E-2</v>
      </c>
      <c r="L1970" t="s">
        <v>27</v>
      </c>
      <c r="M1970" s="4">
        <v>326560</v>
      </c>
      <c r="N1970" s="3">
        <v>705.52149999999995</v>
      </c>
      <c r="O1970" t="s">
        <v>22</v>
      </c>
      <c r="P1970" t="s">
        <v>28</v>
      </c>
      <c r="Q1970" t="s">
        <v>24</v>
      </c>
      <c r="R1970" t="s">
        <v>53</v>
      </c>
      <c r="S1970">
        <v>10</v>
      </c>
    </row>
    <row r="1971" spans="1:19" x14ac:dyDescent="0.3">
      <c r="A1971" s="1">
        <v>43755</v>
      </c>
      <c r="B1971">
        <v>2019</v>
      </c>
      <c r="C1971" t="s">
        <v>52</v>
      </c>
      <c r="D1971" s="4">
        <v>250460</v>
      </c>
      <c r="E1971" s="2">
        <v>318000</v>
      </c>
      <c r="F1971" t="s">
        <v>19</v>
      </c>
      <c r="G1971" t="s">
        <v>20</v>
      </c>
      <c r="H1971">
        <v>3</v>
      </c>
      <c r="I1971">
        <v>3</v>
      </c>
      <c r="J1971">
        <v>963</v>
      </c>
      <c r="K1971" s="5">
        <v>1.0258995E-2</v>
      </c>
      <c r="L1971" t="s">
        <v>32</v>
      </c>
      <c r="M1971" s="4">
        <v>67540</v>
      </c>
      <c r="N1971" s="3">
        <v>330.21809999999999</v>
      </c>
      <c r="O1971" t="s">
        <v>22</v>
      </c>
      <c r="P1971" t="s">
        <v>24</v>
      </c>
      <c r="Q1971" t="s">
        <v>24</v>
      </c>
      <c r="R1971" t="s">
        <v>53</v>
      </c>
      <c r="S1971">
        <v>10</v>
      </c>
    </row>
    <row r="1972" spans="1:19" x14ac:dyDescent="0.3">
      <c r="A1972" s="1">
        <v>43758</v>
      </c>
      <c r="B1972">
        <v>2019</v>
      </c>
      <c r="C1972" t="s">
        <v>52</v>
      </c>
      <c r="D1972" s="4">
        <v>135380</v>
      </c>
      <c r="E1972" s="2">
        <v>205000</v>
      </c>
      <c r="F1972" t="s">
        <v>19</v>
      </c>
      <c r="G1972" t="s">
        <v>20</v>
      </c>
      <c r="H1972">
        <v>3</v>
      </c>
      <c r="I1972">
        <v>2</v>
      </c>
      <c r="J1972">
        <v>970</v>
      </c>
      <c r="K1972" s="5">
        <v>1.0258995E-2</v>
      </c>
      <c r="L1972" t="s">
        <v>27</v>
      </c>
      <c r="M1972" s="4">
        <v>69620</v>
      </c>
      <c r="N1972" s="3">
        <v>211.34020000000001</v>
      </c>
      <c r="O1972" t="s">
        <v>22</v>
      </c>
      <c r="P1972" t="s">
        <v>24</v>
      </c>
      <c r="Q1972" t="s">
        <v>24</v>
      </c>
      <c r="R1972" t="s">
        <v>53</v>
      </c>
      <c r="S1972">
        <v>10</v>
      </c>
    </row>
    <row r="1973" spans="1:19" x14ac:dyDescent="0.3">
      <c r="A1973" s="1">
        <v>43761</v>
      </c>
      <c r="B1973">
        <v>2019</v>
      </c>
      <c r="C1973" t="s">
        <v>26</v>
      </c>
      <c r="D1973" s="4">
        <v>358120</v>
      </c>
      <c r="E1973" s="2">
        <v>548000</v>
      </c>
      <c r="F1973" t="s">
        <v>19</v>
      </c>
      <c r="G1973" t="s">
        <v>20</v>
      </c>
      <c r="H1973">
        <v>3</v>
      </c>
      <c r="I1973">
        <v>3</v>
      </c>
      <c r="J1973">
        <v>933</v>
      </c>
      <c r="K1973" s="5">
        <v>1.0258995E-2</v>
      </c>
      <c r="L1973" t="s">
        <v>32</v>
      </c>
      <c r="M1973" s="4">
        <v>189880</v>
      </c>
      <c r="N1973" s="3">
        <v>587.35260000000005</v>
      </c>
      <c r="O1973" t="s">
        <v>22</v>
      </c>
      <c r="P1973" t="s">
        <v>24</v>
      </c>
      <c r="Q1973" t="s">
        <v>24</v>
      </c>
      <c r="R1973" t="s">
        <v>53</v>
      </c>
      <c r="S1973">
        <v>10</v>
      </c>
    </row>
    <row r="1974" spans="1:19" x14ac:dyDescent="0.3">
      <c r="A1974" s="1">
        <v>43762</v>
      </c>
      <c r="B1974">
        <v>2019</v>
      </c>
      <c r="C1974" t="s">
        <v>39</v>
      </c>
      <c r="D1974" s="4">
        <v>444584.20699999999</v>
      </c>
      <c r="E1974" s="2">
        <v>739500</v>
      </c>
      <c r="F1974" t="s">
        <v>19</v>
      </c>
      <c r="G1974" t="s">
        <v>20</v>
      </c>
      <c r="H1974">
        <v>3</v>
      </c>
      <c r="I1974">
        <v>3</v>
      </c>
      <c r="J1974">
        <v>998</v>
      </c>
      <c r="K1974" s="5">
        <v>1.0258995E-2</v>
      </c>
      <c r="L1974" t="s">
        <v>21</v>
      </c>
      <c r="M1974" s="4">
        <v>294915.79300000001</v>
      </c>
      <c r="N1974" s="3">
        <v>740.98199999999997</v>
      </c>
      <c r="O1974" t="s">
        <v>22</v>
      </c>
      <c r="P1974" t="s">
        <v>28</v>
      </c>
      <c r="Q1974" t="s">
        <v>24</v>
      </c>
      <c r="R1974" t="s">
        <v>53</v>
      </c>
      <c r="S1974">
        <v>10</v>
      </c>
    </row>
    <row r="1975" spans="1:19" x14ac:dyDescent="0.3">
      <c r="A1975" s="1">
        <v>43763</v>
      </c>
      <c r="B1975">
        <v>2019</v>
      </c>
      <c r="C1975" t="s">
        <v>52</v>
      </c>
      <c r="D1975" s="4">
        <v>147280</v>
      </c>
      <c r="E1975" s="2">
        <v>248000</v>
      </c>
      <c r="F1975" t="s">
        <v>30</v>
      </c>
      <c r="G1975" t="s">
        <v>31</v>
      </c>
      <c r="H1975">
        <v>4</v>
      </c>
      <c r="I1975">
        <v>3</v>
      </c>
      <c r="J1975">
        <v>1496</v>
      </c>
      <c r="K1975" s="5">
        <v>1.0258995E-2</v>
      </c>
      <c r="L1975" t="s">
        <v>21</v>
      </c>
      <c r="M1975" s="4">
        <v>100720</v>
      </c>
      <c r="N1975" s="3">
        <v>165.77539999999999</v>
      </c>
      <c r="O1975" t="s">
        <v>22</v>
      </c>
      <c r="P1975" t="s">
        <v>24</v>
      </c>
      <c r="Q1975" t="s">
        <v>34</v>
      </c>
      <c r="R1975" t="s">
        <v>53</v>
      </c>
      <c r="S1975">
        <v>10</v>
      </c>
    </row>
    <row r="1976" spans="1:19" x14ac:dyDescent="0.3">
      <c r="A1976" s="1">
        <v>43764</v>
      </c>
      <c r="B1976">
        <v>2019</v>
      </c>
      <c r="C1976" t="s">
        <v>29</v>
      </c>
      <c r="D1976" s="4">
        <v>119220</v>
      </c>
      <c r="E1976" s="2">
        <v>258000</v>
      </c>
      <c r="F1976" t="s">
        <v>19</v>
      </c>
      <c r="G1976" t="s">
        <v>20</v>
      </c>
      <c r="H1976">
        <v>3</v>
      </c>
      <c r="I1976">
        <v>1</v>
      </c>
      <c r="J1976">
        <v>1089</v>
      </c>
      <c r="K1976" s="5">
        <v>1.0258995E-2</v>
      </c>
      <c r="L1976" t="s">
        <v>21</v>
      </c>
      <c r="M1976" s="4">
        <v>138780</v>
      </c>
      <c r="N1976" s="3">
        <v>236.91460000000001</v>
      </c>
      <c r="O1976" t="s">
        <v>22</v>
      </c>
      <c r="P1976" t="s">
        <v>24</v>
      </c>
      <c r="Q1976" t="s">
        <v>24</v>
      </c>
      <c r="R1976" t="s">
        <v>53</v>
      </c>
      <c r="S1976">
        <v>10</v>
      </c>
    </row>
    <row r="1977" spans="1:19" x14ac:dyDescent="0.3">
      <c r="A1977" s="1">
        <v>43765</v>
      </c>
      <c r="B1977">
        <v>2019</v>
      </c>
      <c r="C1977" t="s">
        <v>29</v>
      </c>
      <c r="D1977" s="4">
        <v>71520</v>
      </c>
      <c r="E1977" s="2">
        <v>60000</v>
      </c>
      <c r="F1977" t="s">
        <v>19</v>
      </c>
      <c r="G1977" t="s">
        <v>20</v>
      </c>
      <c r="H1977">
        <v>3</v>
      </c>
      <c r="I1977">
        <v>1</v>
      </c>
      <c r="J1977">
        <v>932</v>
      </c>
      <c r="K1977" s="5">
        <v>1.0258995E-2</v>
      </c>
      <c r="L1977" t="s">
        <v>32</v>
      </c>
      <c r="M1977" s="4">
        <v>-11520</v>
      </c>
      <c r="N1977" s="3">
        <v>64.377700000000004</v>
      </c>
      <c r="O1977" t="s">
        <v>33</v>
      </c>
      <c r="P1977" t="s">
        <v>23</v>
      </c>
      <c r="Q1977" t="s">
        <v>24</v>
      </c>
      <c r="R1977" t="s">
        <v>53</v>
      </c>
      <c r="S1977">
        <v>10</v>
      </c>
    </row>
    <row r="1978" spans="1:19" x14ac:dyDescent="0.3">
      <c r="A1978" s="1">
        <v>43768</v>
      </c>
      <c r="B1978">
        <v>2019</v>
      </c>
      <c r="C1978" t="s">
        <v>39</v>
      </c>
      <c r="D1978" s="4">
        <v>308840</v>
      </c>
      <c r="E1978" s="2">
        <v>469000</v>
      </c>
      <c r="F1978" t="s">
        <v>19</v>
      </c>
      <c r="G1978" t="s">
        <v>20</v>
      </c>
      <c r="H1978">
        <v>3</v>
      </c>
      <c r="I1978">
        <v>1</v>
      </c>
      <c r="J1978">
        <v>1111.6589814177564</v>
      </c>
      <c r="K1978" s="5">
        <v>1.0258995E-2</v>
      </c>
      <c r="L1978" t="s">
        <v>27</v>
      </c>
      <c r="M1978" s="4">
        <v>160160</v>
      </c>
      <c r="N1978" s="3">
        <v>421.892</v>
      </c>
      <c r="O1978" t="s">
        <v>22</v>
      </c>
      <c r="P1978" t="s">
        <v>24</v>
      </c>
      <c r="Q1978" t="s">
        <v>24</v>
      </c>
      <c r="R1978" t="s">
        <v>53</v>
      </c>
      <c r="S1978">
        <v>10</v>
      </c>
    </row>
    <row r="1979" spans="1:19" x14ac:dyDescent="0.3">
      <c r="A1979" s="1">
        <v>43770</v>
      </c>
      <c r="B1979">
        <v>2019</v>
      </c>
      <c r="C1979" t="s">
        <v>35</v>
      </c>
      <c r="D1979" s="4">
        <v>689150</v>
      </c>
      <c r="E1979" s="2">
        <v>1250000</v>
      </c>
      <c r="F1979" t="s">
        <v>19</v>
      </c>
      <c r="G1979" t="s">
        <v>20</v>
      </c>
      <c r="H1979">
        <v>3</v>
      </c>
      <c r="I1979">
        <v>1</v>
      </c>
      <c r="J1979">
        <v>902</v>
      </c>
      <c r="K1979" s="5">
        <v>1.0258995E-2</v>
      </c>
      <c r="L1979" t="s">
        <v>38</v>
      </c>
      <c r="M1979" s="4">
        <v>560850</v>
      </c>
      <c r="N1979" s="3">
        <v>1385.8092999999999</v>
      </c>
      <c r="O1979" t="s">
        <v>22</v>
      </c>
      <c r="P1979" t="s">
        <v>28</v>
      </c>
      <c r="Q1979" t="s">
        <v>24</v>
      </c>
      <c r="R1979" t="s">
        <v>54</v>
      </c>
      <c r="S1979">
        <v>11</v>
      </c>
    </row>
    <row r="1980" spans="1:19" x14ac:dyDescent="0.3">
      <c r="A1980" s="1">
        <v>43771</v>
      </c>
      <c r="B1980">
        <v>2019</v>
      </c>
      <c r="C1980" t="s">
        <v>40</v>
      </c>
      <c r="D1980" s="4">
        <v>174090</v>
      </c>
      <c r="E1980" s="2">
        <v>259000</v>
      </c>
      <c r="F1980" t="s">
        <v>19</v>
      </c>
      <c r="G1980" t="s">
        <v>20</v>
      </c>
      <c r="H1980">
        <v>3</v>
      </c>
      <c r="I1980">
        <v>2</v>
      </c>
      <c r="J1980">
        <v>970</v>
      </c>
      <c r="K1980" s="5">
        <v>1.0258995E-2</v>
      </c>
      <c r="L1980" t="s">
        <v>32</v>
      </c>
      <c r="M1980" s="4">
        <v>84910</v>
      </c>
      <c r="N1980" s="3">
        <v>267.01029999999997</v>
      </c>
      <c r="O1980" t="s">
        <v>22</v>
      </c>
      <c r="P1980" t="s">
        <v>24</v>
      </c>
      <c r="Q1980" t="s">
        <v>24</v>
      </c>
      <c r="R1980" t="s">
        <v>54</v>
      </c>
      <c r="S1980">
        <v>11</v>
      </c>
    </row>
    <row r="1981" spans="1:19" x14ac:dyDescent="0.3">
      <c r="A1981" s="1">
        <v>43772</v>
      </c>
      <c r="B1981">
        <v>2019</v>
      </c>
      <c r="C1981" t="s">
        <v>40</v>
      </c>
      <c r="D1981" s="4">
        <v>444584.20699999999</v>
      </c>
      <c r="E1981" s="2">
        <v>1069500</v>
      </c>
      <c r="F1981" t="s">
        <v>19</v>
      </c>
      <c r="G1981" t="s">
        <v>20</v>
      </c>
      <c r="H1981">
        <v>3</v>
      </c>
      <c r="I1981">
        <v>3</v>
      </c>
      <c r="J1981">
        <v>1045</v>
      </c>
      <c r="K1981" s="5">
        <v>1.0258995E-2</v>
      </c>
      <c r="L1981" t="s">
        <v>32</v>
      </c>
      <c r="M1981" s="4">
        <v>624915.79299999995</v>
      </c>
      <c r="N1981" s="3">
        <v>1023.4450000000001</v>
      </c>
      <c r="O1981" t="s">
        <v>22</v>
      </c>
      <c r="P1981" t="s">
        <v>28</v>
      </c>
      <c r="Q1981" t="s">
        <v>24</v>
      </c>
      <c r="R1981" t="s">
        <v>54</v>
      </c>
      <c r="S1981">
        <v>11</v>
      </c>
    </row>
    <row r="1982" spans="1:19" x14ac:dyDescent="0.3">
      <c r="A1982" s="1">
        <v>43778</v>
      </c>
      <c r="B1982">
        <v>2019</v>
      </c>
      <c r="C1982" t="s">
        <v>29</v>
      </c>
      <c r="D1982" s="4">
        <v>103020</v>
      </c>
      <c r="E1982" s="2">
        <v>120000</v>
      </c>
      <c r="F1982" t="s">
        <v>19</v>
      </c>
      <c r="G1982" t="s">
        <v>20</v>
      </c>
      <c r="H1982">
        <v>3</v>
      </c>
      <c r="I1982">
        <v>1</v>
      </c>
      <c r="J1982">
        <v>956</v>
      </c>
      <c r="K1982" s="5">
        <v>1.0258995E-2</v>
      </c>
      <c r="L1982" t="s">
        <v>21</v>
      </c>
      <c r="M1982" s="4">
        <v>16980</v>
      </c>
      <c r="N1982" s="3">
        <v>125.523</v>
      </c>
      <c r="O1982" t="s">
        <v>22</v>
      </c>
      <c r="P1982" t="s">
        <v>23</v>
      </c>
      <c r="Q1982" t="s">
        <v>24</v>
      </c>
      <c r="R1982" t="s">
        <v>54</v>
      </c>
      <c r="S1982">
        <v>11</v>
      </c>
    </row>
    <row r="1983" spans="1:19" x14ac:dyDescent="0.3">
      <c r="A1983" s="1">
        <v>43782</v>
      </c>
      <c r="B1983">
        <v>2019</v>
      </c>
      <c r="C1983" t="s">
        <v>29</v>
      </c>
      <c r="D1983" s="4">
        <v>147590</v>
      </c>
      <c r="E1983" s="2">
        <v>215400</v>
      </c>
      <c r="F1983" t="s">
        <v>30</v>
      </c>
      <c r="G1983" t="s">
        <v>31</v>
      </c>
      <c r="H1983">
        <v>4</v>
      </c>
      <c r="I1983">
        <v>4</v>
      </c>
      <c r="J1983">
        <v>1301</v>
      </c>
      <c r="K1983" s="5">
        <v>1.0258995E-2</v>
      </c>
      <c r="L1983" t="s">
        <v>27</v>
      </c>
      <c r="M1983" s="4">
        <v>67810</v>
      </c>
      <c r="N1983" s="3">
        <v>165.565</v>
      </c>
      <c r="O1983" t="s">
        <v>22</v>
      </c>
      <c r="P1983" t="s">
        <v>24</v>
      </c>
      <c r="Q1983" t="s">
        <v>34</v>
      </c>
      <c r="R1983" t="s">
        <v>54</v>
      </c>
      <c r="S1983">
        <v>11</v>
      </c>
    </row>
    <row r="1984" spans="1:19" x14ac:dyDescent="0.3">
      <c r="A1984" s="1">
        <v>43784</v>
      </c>
      <c r="B1984">
        <v>2019</v>
      </c>
      <c r="C1984" t="s">
        <v>29</v>
      </c>
      <c r="D1984" s="4">
        <v>96560</v>
      </c>
      <c r="E1984" s="2">
        <v>97500</v>
      </c>
      <c r="F1984" t="s">
        <v>19</v>
      </c>
      <c r="G1984" t="s">
        <v>20</v>
      </c>
      <c r="H1984">
        <v>3</v>
      </c>
      <c r="I1984">
        <v>2</v>
      </c>
      <c r="J1984">
        <v>931</v>
      </c>
      <c r="K1984" s="5">
        <v>1.0258995E-2</v>
      </c>
      <c r="L1984" t="s">
        <v>32</v>
      </c>
      <c r="M1984" s="4">
        <v>940</v>
      </c>
      <c r="N1984" s="3">
        <v>104.7261</v>
      </c>
      <c r="O1984" t="s">
        <v>22</v>
      </c>
      <c r="P1984" t="s">
        <v>23</v>
      </c>
      <c r="Q1984" t="s">
        <v>24</v>
      </c>
      <c r="R1984" t="s">
        <v>54</v>
      </c>
      <c r="S1984">
        <v>11</v>
      </c>
    </row>
    <row r="1985" spans="1:19" x14ac:dyDescent="0.3">
      <c r="A1985" s="1">
        <v>43785</v>
      </c>
      <c r="B1985">
        <v>2019</v>
      </c>
      <c r="C1985" t="s">
        <v>35</v>
      </c>
      <c r="D1985" s="4">
        <v>1093960</v>
      </c>
      <c r="E1985" s="2">
        <v>1970000</v>
      </c>
      <c r="F1985" t="s">
        <v>19</v>
      </c>
      <c r="G1985" t="s">
        <v>20</v>
      </c>
      <c r="H1985">
        <v>3</v>
      </c>
      <c r="I1985">
        <v>1</v>
      </c>
      <c r="J1985">
        <v>996</v>
      </c>
      <c r="K1985" s="5">
        <v>1.0258995E-2</v>
      </c>
      <c r="L1985" t="s">
        <v>21</v>
      </c>
      <c r="M1985" s="4">
        <v>876040</v>
      </c>
      <c r="N1985" s="3">
        <v>1977.9115999999999</v>
      </c>
      <c r="O1985" t="s">
        <v>22</v>
      </c>
      <c r="P1985" t="s">
        <v>28</v>
      </c>
      <c r="Q1985" t="s">
        <v>24</v>
      </c>
      <c r="R1985" t="s">
        <v>54</v>
      </c>
      <c r="S1985">
        <v>11</v>
      </c>
    </row>
    <row r="1986" spans="1:19" x14ac:dyDescent="0.3">
      <c r="A1986" s="1">
        <v>43786</v>
      </c>
      <c r="B1986">
        <v>2019</v>
      </c>
      <c r="C1986" t="s">
        <v>52</v>
      </c>
      <c r="D1986" s="4">
        <v>158830</v>
      </c>
      <c r="E1986" s="2">
        <v>270000</v>
      </c>
      <c r="F1986" t="s">
        <v>19</v>
      </c>
      <c r="G1986" t="s">
        <v>20</v>
      </c>
      <c r="H1986">
        <v>3</v>
      </c>
      <c r="I1986">
        <v>1</v>
      </c>
      <c r="J1986">
        <v>963</v>
      </c>
      <c r="K1986" s="5">
        <v>1.0258995E-2</v>
      </c>
      <c r="L1986" t="s">
        <v>27</v>
      </c>
      <c r="M1986" s="4">
        <v>111170</v>
      </c>
      <c r="N1986" s="3">
        <v>280.37380000000002</v>
      </c>
      <c r="O1986" t="s">
        <v>22</v>
      </c>
      <c r="P1986" t="s">
        <v>24</v>
      </c>
      <c r="Q1986" t="s">
        <v>24</v>
      </c>
      <c r="R1986" t="s">
        <v>54</v>
      </c>
      <c r="S1986">
        <v>11</v>
      </c>
    </row>
    <row r="1987" spans="1:19" x14ac:dyDescent="0.3">
      <c r="A1987" s="1">
        <v>43789</v>
      </c>
      <c r="B1987">
        <v>2019</v>
      </c>
      <c r="C1987" t="s">
        <v>26</v>
      </c>
      <c r="D1987" s="4">
        <v>398980</v>
      </c>
      <c r="E1987" s="2">
        <v>530000</v>
      </c>
      <c r="F1987" t="s">
        <v>19</v>
      </c>
      <c r="G1987" t="s">
        <v>20</v>
      </c>
      <c r="H1987">
        <v>3</v>
      </c>
      <c r="I1987">
        <v>3</v>
      </c>
      <c r="J1987">
        <v>947</v>
      </c>
      <c r="K1987" s="5">
        <v>1.0258995E-2</v>
      </c>
      <c r="L1987" t="s">
        <v>32</v>
      </c>
      <c r="M1987" s="4">
        <v>131020</v>
      </c>
      <c r="N1987" s="3">
        <v>559.66210000000001</v>
      </c>
      <c r="O1987" t="s">
        <v>22</v>
      </c>
      <c r="P1987" t="s">
        <v>24</v>
      </c>
      <c r="Q1987" t="s">
        <v>24</v>
      </c>
      <c r="R1987" t="s">
        <v>54</v>
      </c>
      <c r="S1987">
        <v>11</v>
      </c>
    </row>
    <row r="1988" spans="1:19" x14ac:dyDescent="0.3">
      <c r="A1988" s="1">
        <v>43790</v>
      </c>
      <c r="B1988">
        <v>2019</v>
      </c>
      <c r="C1988" t="s">
        <v>40</v>
      </c>
      <c r="D1988" s="4">
        <v>2092130</v>
      </c>
      <c r="E1988" s="2">
        <v>2900000</v>
      </c>
      <c r="F1988" t="s">
        <v>19</v>
      </c>
      <c r="G1988" t="s">
        <v>20</v>
      </c>
      <c r="H1988">
        <v>3</v>
      </c>
      <c r="I1988">
        <v>2</v>
      </c>
      <c r="J1988">
        <v>1098</v>
      </c>
      <c r="K1988" s="5">
        <v>1.0258995E-2</v>
      </c>
      <c r="L1988" t="s">
        <v>32</v>
      </c>
      <c r="M1988" s="4">
        <v>807870</v>
      </c>
      <c r="N1988" s="3">
        <v>2641.1658000000002</v>
      </c>
      <c r="O1988" t="s">
        <v>22</v>
      </c>
      <c r="P1988" t="s">
        <v>28</v>
      </c>
      <c r="Q1988" t="s">
        <v>24</v>
      </c>
      <c r="R1988" t="s">
        <v>54</v>
      </c>
      <c r="S1988">
        <v>11</v>
      </c>
    </row>
    <row r="1989" spans="1:19" x14ac:dyDescent="0.3">
      <c r="A1989" s="1">
        <v>43796</v>
      </c>
      <c r="B1989">
        <v>2019</v>
      </c>
      <c r="C1989" t="s">
        <v>29</v>
      </c>
      <c r="D1989" s="4">
        <v>101110</v>
      </c>
      <c r="E1989" s="2">
        <v>41000</v>
      </c>
      <c r="F1989" t="s">
        <v>30</v>
      </c>
      <c r="G1989" t="s">
        <v>31</v>
      </c>
      <c r="H1989">
        <v>4</v>
      </c>
      <c r="I1989">
        <v>2</v>
      </c>
      <c r="J1989">
        <v>1447</v>
      </c>
      <c r="K1989" s="5">
        <v>1.0258995E-2</v>
      </c>
      <c r="L1989" t="s">
        <v>38</v>
      </c>
      <c r="M1989" s="4">
        <v>-60110</v>
      </c>
      <c r="N1989" s="3">
        <v>28.334499999999998</v>
      </c>
      <c r="O1989" t="s">
        <v>33</v>
      </c>
      <c r="P1989" t="s">
        <v>23</v>
      </c>
      <c r="Q1989" t="s">
        <v>34</v>
      </c>
      <c r="R1989" t="s">
        <v>54</v>
      </c>
      <c r="S1989">
        <v>11</v>
      </c>
    </row>
    <row r="1990" spans="1:19" x14ac:dyDescent="0.3">
      <c r="A1990" s="1">
        <v>43797</v>
      </c>
      <c r="B1990">
        <v>2019</v>
      </c>
      <c r="C1990" t="s">
        <v>40</v>
      </c>
      <c r="D1990" s="4">
        <v>116800</v>
      </c>
      <c r="E1990" s="2">
        <v>60000</v>
      </c>
      <c r="F1990" t="s">
        <v>30</v>
      </c>
      <c r="G1990" t="s">
        <v>31</v>
      </c>
      <c r="H1990">
        <v>4</v>
      </c>
      <c r="I1990">
        <v>2</v>
      </c>
      <c r="J1990">
        <v>1427</v>
      </c>
      <c r="K1990" s="5">
        <v>1.0258995E-2</v>
      </c>
      <c r="L1990" t="s">
        <v>38</v>
      </c>
      <c r="M1990" s="4">
        <v>-56800</v>
      </c>
      <c r="N1990" s="3">
        <v>42.046300000000002</v>
      </c>
      <c r="O1990" t="s">
        <v>33</v>
      </c>
      <c r="P1990" t="s">
        <v>23</v>
      </c>
      <c r="Q1990" t="s">
        <v>34</v>
      </c>
      <c r="R1990" t="s">
        <v>54</v>
      </c>
      <c r="S1990">
        <v>11</v>
      </c>
    </row>
    <row r="1991" spans="1:19" x14ac:dyDescent="0.3">
      <c r="A1991" s="1">
        <v>43799</v>
      </c>
      <c r="B1991">
        <v>2019</v>
      </c>
      <c r="C1991" t="s">
        <v>26</v>
      </c>
      <c r="D1991" s="4">
        <v>222190</v>
      </c>
      <c r="E1991" s="2">
        <v>379000</v>
      </c>
      <c r="F1991" t="s">
        <v>19</v>
      </c>
      <c r="G1991" t="s">
        <v>20</v>
      </c>
      <c r="H1991">
        <v>3</v>
      </c>
      <c r="I1991">
        <v>2</v>
      </c>
      <c r="J1991">
        <v>1040</v>
      </c>
      <c r="K1991" s="5">
        <v>1.0258995E-2</v>
      </c>
      <c r="L1991" t="s">
        <v>32</v>
      </c>
      <c r="M1991" s="4">
        <v>156810</v>
      </c>
      <c r="N1991" s="3">
        <v>364.42309999999998</v>
      </c>
      <c r="O1991" t="s">
        <v>22</v>
      </c>
      <c r="P1991" t="s">
        <v>24</v>
      </c>
      <c r="Q1991" t="s">
        <v>24</v>
      </c>
      <c r="R1991" t="s">
        <v>54</v>
      </c>
      <c r="S1991">
        <v>11</v>
      </c>
    </row>
    <row r="1992" spans="1:19" x14ac:dyDescent="0.3">
      <c r="A1992" s="1">
        <v>43800</v>
      </c>
      <c r="B1992">
        <v>2019</v>
      </c>
      <c r="C1992" t="s">
        <v>29</v>
      </c>
      <c r="D1992" s="4">
        <v>444584.20699999999</v>
      </c>
      <c r="E1992" s="2">
        <v>117000</v>
      </c>
      <c r="F1992" t="s">
        <v>19</v>
      </c>
      <c r="G1992" t="s">
        <v>20</v>
      </c>
      <c r="H1992">
        <v>3</v>
      </c>
      <c r="I1992">
        <v>1</v>
      </c>
      <c r="J1992">
        <v>1111.6589814177564</v>
      </c>
      <c r="K1992" s="5">
        <v>1.0258995E-2</v>
      </c>
      <c r="L1992" t="s">
        <v>38</v>
      </c>
      <c r="M1992" s="4">
        <v>-327584.20699999999</v>
      </c>
      <c r="N1992" s="3">
        <v>105.24809999999999</v>
      </c>
      <c r="O1992" t="s">
        <v>33</v>
      </c>
      <c r="P1992" t="s">
        <v>23</v>
      </c>
      <c r="Q1992" t="s">
        <v>24</v>
      </c>
      <c r="R1992" t="s">
        <v>55</v>
      </c>
      <c r="S1992">
        <v>12</v>
      </c>
    </row>
    <row r="1993" spans="1:19" x14ac:dyDescent="0.3">
      <c r="A1993" s="1">
        <v>43803</v>
      </c>
      <c r="B1993">
        <v>2019</v>
      </c>
      <c r="C1993" t="s">
        <v>52</v>
      </c>
      <c r="D1993" s="4">
        <v>122010</v>
      </c>
      <c r="E1993" s="2">
        <v>205000</v>
      </c>
      <c r="F1993" t="s">
        <v>19</v>
      </c>
      <c r="G1993" t="s">
        <v>20</v>
      </c>
      <c r="H1993">
        <v>3</v>
      </c>
      <c r="I1993">
        <v>3</v>
      </c>
      <c r="J1993">
        <v>930</v>
      </c>
      <c r="K1993" s="5">
        <v>1.0258995E-2</v>
      </c>
      <c r="L1993" t="s">
        <v>21</v>
      </c>
      <c r="M1993" s="4">
        <v>82990</v>
      </c>
      <c r="N1993" s="3">
        <v>220.43010000000001</v>
      </c>
      <c r="O1993" t="s">
        <v>22</v>
      </c>
      <c r="P1993" t="s">
        <v>24</v>
      </c>
      <c r="Q1993" t="s">
        <v>24</v>
      </c>
      <c r="R1993" t="s">
        <v>55</v>
      </c>
      <c r="S1993">
        <v>12</v>
      </c>
    </row>
    <row r="1994" spans="1:19" x14ac:dyDescent="0.3">
      <c r="A1994" s="1">
        <v>43804</v>
      </c>
      <c r="B1994">
        <v>2019</v>
      </c>
      <c r="C1994" t="s">
        <v>40</v>
      </c>
      <c r="D1994" s="4">
        <v>553490</v>
      </c>
      <c r="E1994" s="2">
        <v>610000</v>
      </c>
      <c r="F1994" t="s">
        <v>30</v>
      </c>
      <c r="G1994" t="s">
        <v>31</v>
      </c>
      <c r="H1994">
        <v>4</v>
      </c>
      <c r="I1994">
        <v>3</v>
      </c>
      <c r="J1994">
        <v>1256</v>
      </c>
      <c r="K1994" s="5">
        <v>1.0258995E-2</v>
      </c>
      <c r="L1994" t="s">
        <v>32</v>
      </c>
      <c r="M1994" s="4">
        <v>56510</v>
      </c>
      <c r="N1994" s="3">
        <v>485.66879999999998</v>
      </c>
      <c r="O1994" t="s">
        <v>22</v>
      </c>
      <c r="P1994" t="s">
        <v>28</v>
      </c>
      <c r="Q1994" t="s">
        <v>24</v>
      </c>
      <c r="R1994" t="s">
        <v>55</v>
      </c>
      <c r="S1994">
        <v>12</v>
      </c>
    </row>
    <row r="1995" spans="1:19" x14ac:dyDescent="0.3">
      <c r="A1995" s="1">
        <v>43805</v>
      </c>
      <c r="B1995">
        <v>2019</v>
      </c>
      <c r="C1995" t="s">
        <v>29</v>
      </c>
      <c r="D1995" s="4">
        <v>144450</v>
      </c>
      <c r="E1995" s="2">
        <v>279900</v>
      </c>
      <c r="F1995" t="s">
        <v>30</v>
      </c>
      <c r="G1995" t="s">
        <v>31</v>
      </c>
      <c r="H1995">
        <v>4</v>
      </c>
      <c r="I1995">
        <v>4</v>
      </c>
      <c r="J1995">
        <v>1270</v>
      </c>
      <c r="K1995" s="5">
        <v>1.0258995E-2</v>
      </c>
      <c r="L1995" t="s">
        <v>27</v>
      </c>
      <c r="M1995" s="4">
        <v>135450</v>
      </c>
      <c r="N1995" s="3">
        <v>220.3937</v>
      </c>
      <c r="O1995" t="s">
        <v>22</v>
      </c>
      <c r="P1995" t="s">
        <v>24</v>
      </c>
      <c r="Q1995" t="s">
        <v>24</v>
      </c>
      <c r="R1995" t="s">
        <v>55</v>
      </c>
      <c r="S1995">
        <v>12</v>
      </c>
    </row>
    <row r="1996" spans="1:19" x14ac:dyDescent="0.3">
      <c r="A1996" s="1">
        <v>43806</v>
      </c>
      <c r="B1996">
        <v>2019</v>
      </c>
      <c r="C1996" t="s">
        <v>39</v>
      </c>
      <c r="D1996" s="4">
        <v>4161570</v>
      </c>
      <c r="E1996" s="2">
        <v>5862500</v>
      </c>
      <c r="F1996" t="s">
        <v>19</v>
      </c>
      <c r="G1996" t="s">
        <v>20</v>
      </c>
      <c r="H1996">
        <v>3</v>
      </c>
      <c r="I1996">
        <v>2</v>
      </c>
      <c r="J1996">
        <v>1111.6589814177564</v>
      </c>
      <c r="K1996" s="5">
        <v>1.0258995E-2</v>
      </c>
      <c r="L1996" t="s">
        <v>32</v>
      </c>
      <c r="M1996" s="4">
        <v>1700930</v>
      </c>
      <c r="N1996" s="3">
        <v>5273.6496999999999</v>
      </c>
      <c r="O1996" t="s">
        <v>22</v>
      </c>
      <c r="P1996" t="s">
        <v>28</v>
      </c>
      <c r="Q1996" t="s">
        <v>24</v>
      </c>
      <c r="R1996" t="s">
        <v>55</v>
      </c>
      <c r="S1996">
        <v>12</v>
      </c>
    </row>
    <row r="1997" spans="1:19" x14ac:dyDescent="0.3">
      <c r="A1997" s="1">
        <v>43807</v>
      </c>
      <c r="B1997">
        <v>2019</v>
      </c>
      <c r="C1997" t="s">
        <v>39</v>
      </c>
      <c r="D1997" s="4">
        <v>444584.20699999999</v>
      </c>
      <c r="E1997" s="2">
        <v>1295000</v>
      </c>
      <c r="F1997" t="s">
        <v>19</v>
      </c>
      <c r="G1997" t="s">
        <v>20</v>
      </c>
      <c r="H1997">
        <v>3</v>
      </c>
      <c r="I1997">
        <v>3</v>
      </c>
      <c r="J1997">
        <v>911</v>
      </c>
      <c r="K1997" s="5">
        <v>1.0258995E-2</v>
      </c>
      <c r="L1997" t="s">
        <v>21</v>
      </c>
      <c r="M1997" s="4">
        <v>850415.79299999995</v>
      </c>
      <c r="N1997" s="3">
        <v>1421.5147999999999</v>
      </c>
      <c r="O1997" t="s">
        <v>22</v>
      </c>
      <c r="P1997" t="s">
        <v>28</v>
      </c>
      <c r="Q1997" t="s">
        <v>24</v>
      </c>
      <c r="R1997" t="s">
        <v>55</v>
      </c>
      <c r="S1997">
        <v>12</v>
      </c>
    </row>
    <row r="1998" spans="1:19" x14ac:dyDescent="0.3">
      <c r="A1998" s="1">
        <v>43810</v>
      </c>
      <c r="B1998">
        <v>2019</v>
      </c>
      <c r="C1998" t="s">
        <v>29</v>
      </c>
      <c r="D1998" s="4">
        <v>111390</v>
      </c>
      <c r="E1998" s="2">
        <v>198000</v>
      </c>
      <c r="F1998" t="s">
        <v>19</v>
      </c>
      <c r="G1998" t="s">
        <v>20</v>
      </c>
      <c r="H1998">
        <v>3</v>
      </c>
      <c r="I1998">
        <v>3</v>
      </c>
      <c r="J1998">
        <v>961</v>
      </c>
      <c r="K1998" s="5">
        <v>1.0258995E-2</v>
      </c>
      <c r="L1998" t="s">
        <v>27</v>
      </c>
      <c r="M1998" s="4">
        <v>86610</v>
      </c>
      <c r="N1998" s="3">
        <v>206.03540000000001</v>
      </c>
      <c r="O1998" t="s">
        <v>22</v>
      </c>
      <c r="P1998" t="s">
        <v>23</v>
      </c>
      <c r="Q1998" t="s">
        <v>24</v>
      </c>
      <c r="R1998" t="s">
        <v>55</v>
      </c>
      <c r="S1998">
        <v>12</v>
      </c>
    </row>
    <row r="1999" spans="1:19" x14ac:dyDescent="0.3">
      <c r="A1999" s="1">
        <v>43812</v>
      </c>
      <c r="B1999">
        <v>2019</v>
      </c>
      <c r="C1999" t="s">
        <v>29</v>
      </c>
      <c r="D1999" s="4">
        <v>129610</v>
      </c>
      <c r="E1999" s="2">
        <v>89228</v>
      </c>
      <c r="F1999" t="s">
        <v>19</v>
      </c>
      <c r="G1999" t="s">
        <v>20</v>
      </c>
      <c r="H1999">
        <v>3</v>
      </c>
      <c r="I1999">
        <v>3</v>
      </c>
      <c r="J1999">
        <v>941</v>
      </c>
      <c r="K1999" s="5">
        <v>1.0258995E-2</v>
      </c>
      <c r="L1999" t="s">
        <v>32</v>
      </c>
      <c r="M1999" s="4">
        <v>-40382</v>
      </c>
      <c r="N1999" s="3">
        <v>94.822500000000005</v>
      </c>
      <c r="O1999" t="s">
        <v>33</v>
      </c>
      <c r="P1999" t="s">
        <v>23</v>
      </c>
      <c r="Q1999" t="s">
        <v>24</v>
      </c>
      <c r="R1999" t="s">
        <v>55</v>
      </c>
      <c r="S1999">
        <v>12</v>
      </c>
    </row>
    <row r="2000" spans="1:19" x14ac:dyDescent="0.3">
      <c r="A2000" s="1">
        <v>43813</v>
      </c>
      <c r="B2000">
        <v>2019</v>
      </c>
      <c r="C2000" t="s">
        <v>29</v>
      </c>
      <c r="D2000" s="4">
        <v>121760</v>
      </c>
      <c r="E2000" s="2">
        <v>120000</v>
      </c>
      <c r="F2000" t="s">
        <v>36</v>
      </c>
      <c r="G2000" t="s">
        <v>37</v>
      </c>
      <c r="H2000">
        <v>6</v>
      </c>
      <c r="I2000">
        <v>4</v>
      </c>
      <c r="J2000">
        <v>2108</v>
      </c>
      <c r="K2000" s="5">
        <v>1.0258995E-2</v>
      </c>
      <c r="L2000" t="s">
        <v>27</v>
      </c>
      <c r="M2000" s="4">
        <v>-1760</v>
      </c>
      <c r="N2000" s="3">
        <v>56.926000000000002</v>
      </c>
      <c r="O2000" t="s">
        <v>33</v>
      </c>
      <c r="P2000" t="s">
        <v>23</v>
      </c>
      <c r="Q2000" t="s">
        <v>34</v>
      </c>
      <c r="R2000" t="s">
        <v>55</v>
      </c>
      <c r="S2000">
        <v>12</v>
      </c>
    </row>
    <row r="2001" spans="1:19" x14ac:dyDescent="0.3">
      <c r="A2001" s="1">
        <v>43814</v>
      </c>
      <c r="B2001">
        <v>2019</v>
      </c>
      <c r="C2001" t="s">
        <v>35</v>
      </c>
      <c r="D2001" s="4">
        <v>885640</v>
      </c>
      <c r="E2001" s="2">
        <v>1230000</v>
      </c>
      <c r="F2001" t="s">
        <v>19</v>
      </c>
      <c r="G2001" t="s">
        <v>20</v>
      </c>
      <c r="H2001">
        <v>3</v>
      </c>
      <c r="I2001">
        <v>2</v>
      </c>
      <c r="J2001">
        <v>952</v>
      </c>
      <c r="K2001" s="5">
        <v>1.0258995E-2</v>
      </c>
      <c r="L2001" t="s">
        <v>32</v>
      </c>
      <c r="M2001" s="4">
        <v>344360</v>
      </c>
      <c r="N2001" s="3">
        <v>1292.0168000000001</v>
      </c>
      <c r="O2001" t="s">
        <v>22</v>
      </c>
      <c r="P2001" t="s">
        <v>28</v>
      </c>
      <c r="Q2001" t="s">
        <v>24</v>
      </c>
      <c r="R2001" t="s">
        <v>55</v>
      </c>
      <c r="S2001">
        <v>12</v>
      </c>
    </row>
    <row r="2002" spans="1:19" x14ac:dyDescent="0.3">
      <c r="A2002" s="1">
        <v>43817</v>
      </c>
      <c r="B2002">
        <v>2019</v>
      </c>
      <c r="C2002" t="s">
        <v>29</v>
      </c>
      <c r="D2002" s="4">
        <v>444584.20699999999</v>
      </c>
      <c r="E2002" s="2">
        <v>84500</v>
      </c>
      <c r="F2002" t="s">
        <v>19</v>
      </c>
      <c r="G2002" t="s">
        <v>20</v>
      </c>
      <c r="H2002">
        <v>3</v>
      </c>
      <c r="I2002">
        <v>1</v>
      </c>
      <c r="J2002">
        <v>964</v>
      </c>
      <c r="K2002" s="5">
        <v>1.0258995E-2</v>
      </c>
      <c r="L2002" t="s">
        <v>21</v>
      </c>
      <c r="M2002" s="4">
        <v>-360084.20699999999</v>
      </c>
      <c r="N2002" s="3">
        <v>87.655600000000007</v>
      </c>
      <c r="O2002" t="s">
        <v>33</v>
      </c>
      <c r="P2002" t="s">
        <v>23</v>
      </c>
      <c r="Q2002" t="s">
        <v>24</v>
      </c>
      <c r="R2002" t="s">
        <v>55</v>
      </c>
      <c r="S2002">
        <v>12</v>
      </c>
    </row>
    <row r="2003" spans="1:19" x14ac:dyDescent="0.3">
      <c r="A2003" s="1">
        <v>43818</v>
      </c>
      <c r="B2003">
        <v>2019</v>
      </c>
      <c r="C2003" t="s">
        <v>39</v>
      </c>
      <c r="D2003" s="4">
        <v>317660</v>
      </c>
      <c r="E2003" s="2">
        <v>360000</v>
      </c>
      <c r="F2003" t="s">
        <v>19</v>
      </c>
      <c r="G2003" t="s">
        <v>20</v>
      </c>
      <c r="H2003">
        <v>3</v>
      </c>
      <c r="I2003">
        <v>3</v>
      </c>
      <c r="J2003">
        <v>1111.6589814177564</v>
      </c>
      <c r="K2003" s="5">
        <v>1.0258995E-2</v>
      </c>
      <c r="L2003" t="s">
        <v>38</v>
      </c>
      <c r="M2003" s="4">
        <v>42340</v>
      </c>
      <c r="N2003" s="3">
        <v>323.84030000000001</v>
      </c>
      <c r="O2003" t="s">
        <v>22</v>
      </c>
      <c r="P2003" t="s">
        <v>24</v>
      </c>
      <c r="Q2003" t="s">
        <v>24</v>
      </c>
      <c r="R2003" t="s">
        <v>55</v>
      </c>
      <c r="S2003">
        <v>12</v>
      </c>
    </row>
    <row r="2004" spans="1:19" x14ac:dyDescent="0.3">
      <c r="A2004" s="1">
        <v>43825</v>
      </c>
      <c r="B2004">
        <v>2019</v>
      </c>
      <c r="C2004" t="s">
        <v>52</v>
      </c>
      <c r="D2004" s="4">
        <v>444584.20699999999</v>
      </c>
      <c r="E2004" s="2">
        <v>215000</v>
      </c>
      <c r="F2004" t="s">
        <v>19</v>
      </c>
      <c r="G2004" t="s">
        <v>20</v>
      </c>
      <c r="H2004">
        <v>3</v>
      </c>
      <c r="I2004">
        <v>2</v>
      </c>
      <c r="J2004">
        <v>1080</v>
      </c>
      <c r="K2004" s="5">
        <v>1.0258995E-2</v>
      </c>
      <c r="L2004" t="s">
        <v>32</v>
      </c>
      <c r="M2004" s="4">
        <v>-229584.20699999999</v>
      </c>
      <c r="N2004" s="3">
        <v>199.07409999999999</v>
      </c>
      <c r="O2004" t="s">
        <v>33</v>
      </c>
      <c r="P2004" t="s">
        <v>24</v>
      </c>
      <c r="Q2004" t="s">
        <v>24</v>
      </c>
      <c r="R2004" t="s">
        <v>55</v>
      </c>
      <c r="S2004">
        <v>12</v>
      </c>
    </row>
    <row r="2005" spans="1:19" x14ac:dyDescent="0.3">
      <c r="A2005" s="1">
        <v>43828</v>
      </c>
      <c r="B2005">
        <v>2019</v>
      </c>
      <c r="C2005" t="s">
        <v>35</v>
      </c>
      <c r="D2005" s="4">
        <v>4357640</v>
      </c>
      <c r="E2005" s="2">
        <v>5511000</v>
      </c>
      <c r="F2005" t="s">
        <v>19</v>
      </c>
      <c r="G2005" t="s">
        <v>20</v>
      </c>
      <c r="H2005">
        <v>3</v>
      </c>
      <c r="I2005">
        <v>1</v>
      </c>
      <c r="J2005">
        <v>1029</v>
      </c>
      <c r="K2005" s="5">
        <v>1.0258995E-2</v>
      </c>
      <c r="L2005" t="s">
        <v>27</v>
      </c>
      <c r="M2005" s="4">
        <v>1153360</v>
      </c>
      <c r="N2005" s="3">
        <v>5355.6850999999997</v>
      </c>
      <c r="O2005" t="s">
        <v>22</v>
      </c>
      <c r="P2005" t="s">
        <v>28</v>
      </c>
      <c r="Q2005" t="s">
        <v>24</v>
      </c>
      <c r="R2005" t="s">
        <v>55</v>
      </c>
      <c r="S2005">
        <v>12</v>
      </c>
    </row>
    <row r="2006" spans="1:19" x14ac:dyDescent="0.3">
      <c r="A2006" s="1">
        <v>43832</v>
      </c>
      <c r="B2006">
        <v>2020</v>
      </c>
      <c r="C2006" t="s">
        <v>29</v>
      </c>
      <c r="D2006" s="4">
        <v>116830</v>
      </c>
      <c r="E2006" s="2">
        <v>137550</v>
      </c>
      <c r="F2006" t="s">
        <v>19</v>
      </c>
      <c r="G2006" t="s">
        <v>20</v>
      </c>
      <c r="H2006">
        <v>3</v>
      </c>
      <c r="I2006">
        <v>1</v>
      </c>
      <c r="J2006">
        <v>1050</v>
      </c>
      <c r="K2006" s="5">
        <v>1.0254394999999999E-2</v>
      </c>
      <c r="L2006" t="s">
        <v>21</v>
      </c>
      <c r="M2006" s="4">
        <v>20720</v>
      </c>
      <c r="N2006" s="3">
        <v>131</v>
      </c>
      <c r="O2006" t="s">
        <v>22</v>
      </c>
      <c r="P2006" t="s">
        <v>23</v>
      </c>
      <c r="Q2006" t="s">
        <v>24</v>
      </c>
      <c r="R2006" t="s">
        <v>25</v>
      </c>
      <c r="S2006">
        <v>1</v>
      </c>
    </row>
    <row r="2007" spans="1:19" x14ac:dyDescent="0.3">
      <c r="A2007" s="1">
        <v>43833</v>
      </c>
      <c r="B2007">
        <v>2020</v>
      </c>
      <c r="C2007" t="s">
        <v>35</v>
      </c>
      <c r="D2007" s="4">
        <v>663180</v>
      </c>
      <c r="E2007" s="2">
        <v>1010000</v>
      </c>
      <c r="F2007" t="s">
        <v>19</v>
      </c>
      <c r="G2007" t="s">
        <v>20</v>
      </c>
      <c r="H2007">
        <v>3</v>
      </c>
      <c r="I2007">
        <v>3</v>
      </c>
      <c r="J2007">
        <v>1111.6589814177564</v>
      </c>
      <c r="K2007" s="5">
        <v>1.0254394999999999E-2</v>
      </c>
      <c r="L2007" t="s">
        <v>21</v>
      </c>
      <c r="M2007" s="4">
        <v>346820</v>
      </c>
      <c r="N2007" s="3">
        <v>908.55200000000002</v>
      </c>
      <c r="O2007" t="s">
        <v>22</v>
      </c>
      <c r="P2007" t="s">
        <v>28</v>
      </c>
      <c r="Q2007" t="s">
        <v>24</v>
      </c>
      <c r="R2007" t="s">
        <v>25</v>
      </c>
      <c r="S2007">
        <v>1</v>
      </c>
    </row>
    <row r="2008" spans="1:19" x14ac:dyDescent="0.3">
      <c r="A2008" s="1">
        <v>43835</v>
      </c>
      <c r="B2008">
        <v>2020</v>
      </c>
      <c r="C2008" t="s">
        <v>39</v>
      </c>
      <c r="D2008" s="4">
        <v>265510</v>
      </c>
      <c r="E2008" s="2">
        <v>418000</v>
      </c>
      <c r="F2008" t="s">
        <v>19</v>
      </c>
      <c r="G2008" t="s">
        <v>20</v>
      </c>
      <c r="H2008">
        <v>3</v>
      </c>
      <c r="I2008">
        <v>1</v>
      </c>
      <c r="J2008">
        <v>1058</v>
      </c>
      <c r="K2008" s="5">
        <v>1.0254394999999999E-2</v>
      </c>
      <c r="L2008" t="s">
        <v>38</v>
      </c>
      <c r="M2008" s="4">
        <v>152490</v>
      </c>
      <c r="N2008" s="3">
        <v>395.08510000000001</v>
      </c>
      <c r="O2008" t="s">
        <v>22</v>
      </c>
      <c r="P2008" t="s">
        <v>24</v>
      </c>
      <c r="Q2008" t="s">
        <v>24</v>
      </c>
      <c r="R2008" t="s">
        <v>25</v>
      </c>
      <c r="S2008">
        <v>1</v>
      </c>
    </row>
    <row r="2009" spans="1:19" x14ac:dyDescent="0.3">
      <c r="A2009" s="1">
        <v>43838</v>
      </c>
      <c r="B2009">
        <v>2020</v>
      </c>
      <c r="C2009" t="s">
        <v>39</v>
      </c>
      <c r="D2009" s="4">
        <v>444584.20699999999</v>
      </c>
      <c r="E2009" s="2">
        <v>255000</v>
      </c>
      <c r="F2009" t="s">
        <v>19</v>
      </c>
      <c r="G2009" t="s">
        <v>20</v>
      </c>
      <c r="H2009">
        <v>3</v>
      </c>
      <c r="I2009">
        <v>1</v>
      </c>
      <c r="J2009">
        <v>927</v>
      </c>
      <c r="K2009" s="5">
        <v>1.0254394999999999E-2</v>
      </c>
      <c r="L2009" t="s">
        <v>32</v>
      </c>
      <c r="M2009" s="4">
        <v>-189584.20699999999</v>
      </c>
      <c r="N2009" s="3">
        <v>275.08089999999999</v>
      </c>
      <c r="O2009" t="s">
        <v>33</v>
      </c>
      <c r="P2009" t="s">
        <v>24</v>
      </c>
      <c r="Q2009" t="s">
        <v>24</v>
      </c>
      <c r="R2009" t="s">
        <v>25</v>
      </c>
      <c r="S2009">
        <v>1</v>
      </c>
    </row>
    <row r="2010" spans="1:19" x14ac:dyDescent="0.3">
      <c r="A2010" s="1">
        <v>43839</v>
      </c>
      <c r="B2010">
        <v>2020</v>
      </c>
      <c r="C2010" t="s">
        <v>29</v>
      </c>
      <c r="D2010" s="4">
        <v>120860</v>
      </c>
      <c r="E2010" s="2">
        <v>51000</v>
      </c>
      <c r="F2010" t="s">
        <v>19</v>
      </c>
      <c r="G2010" t="s">
        <v>20</v>
      </c>
      <c r="H2010">
        <v>3</v>
      </c>
      <c r="I2010">
        <v>2</v>
      </c>
      <c r="J2010">
        <v>1111.6589814177564</v>
      </c>
      <c r="K2010" s="5">
        <v>1.0254394999999999E-2</v>
      </c>
      <c r="L2010" t="s">
        <v>32</v>
      </c>
      <c r="M2010" s="4">
        <v>-69860</v>
      </c>
      <c r="N2010" s="3">
        <v>45.877400000000002</v>
      </c>
      <c r="O2010" t="s">
        <v>33</v>
      </c>
      <c r="P2010" t="s">
        <v>23</v>
      </c>
      <c r="Q2010" t="s">
        <v>24</v>
      </c>
      <c r="R2010" t="s">
        <v>25</v>
      </c>
      <c r="S2010">
        <v>1</v>
      </c>
    </row>
    <row r="2011" spans="1:19" x14ac:dyDescent="0.3">
      <c r="A2011" s="1">
        <v>43840</v>
      </c>
      <c r="B2011">
        <v>2020</v>
      </c>
      <c r="C2011" t="s">
        <v>40</v>
      </c>
      <c r="D2011" s="4">
        <v>466120</v>
      </c>
      <c r="E2011" s="2">
        <v>617500</v>
      </c>
      <c r="F2011" t="s">
        <v>19</v>
      </c>
      <c r="G2011" t="s">
        <v>20</v>
      </c>
      <c r="H2011">
        <v>3</v>
      </c>
      <c r="I2011">
        <v>2</v>
      </c>
      <c r="J2011">
        <v>1012</v>
      </c>
      <c r="K2011" s="5">
        <v>1.0254394999999999E-2</v>
      </c>
      <c r="L2011" t="s">
        <v>27</v>
      </c>
      <c r="M2011" s="4">
        <v>151380</v>
      </c>
      <c r="N2011" s="3">
        <v>610.17790000000002</v>
      </c>
      <c r="O2011" t="s">
        <v>22</v>
      </c>
      <c r="P2011" t="s">
        <v>28</v>
      </c>
      <c r="Q2011" t="s">
        <v>24</v>
      </c>
      <c r="R2011" t="s">
        <v>25</v>
      </c>
      <c r="S2011">
        <v>1</v>
      </c>
    </row>
    <row r="2012" spans="1:19" x14ac:dyDescent="0.3">
      <c r="A2012" s="1">
        <v>43846</v>
      </c>
      <c r="B2012">
        <v>2020</v>
      </c>
      <c r="C2012" t="s">
        <v>29</v>
      </c>
      <c r="D2012" s="4">
        <v>105740</v>
      </c>
      <c r="E2012" s="2">
        <v>111000</v>
      </c>
      <c r="F2012" t="s">
        <v>30</v>
      </c>
      <c r="G2012" t="s">
        <v>31</v>
      </c>
      <c r="H2012">
        <v>4</v>
      </c>
      <c r="I2012">
        <v>2</v>
      </c>
      <c r="J2012">
        <v>1111.6589814177564</v>
      </c>
      <c r="K2012" s="5">
        <v>1.0254394999999999E-2</v>
      </c>
      <c r="L2012" t="s">
        <v>27</v>
      </c>
      <c r="M2012" s="4">
        <v>5260</v>
      </c>
      <c r="N2012" s="3">
        <v>99.850800000000007</v>
      </c>
      <c r="O2012" t="s">
        <v>22</v>
      </c>
      <c r="P2012" t="s">
        <v>23</v>
      </c>
      <c r="Q2012" t="s">
        <v>24</v>
      </c>
      <c r="R2012" t="s">
        <v>25</v>
      </c>
      <c r="S2012">
        <v>1</v>
      </c>
    </row>
    <row r="2013" spans="1:19" x14ac:dyDescent="0.3">
      <c r="A2013" s="1">
        <v>43847</v>
      </c>
      <c r="B2013">
        <v>2020</v>
      </c>
      <c r="C2013" t="s">
        <v>39</v>
      </c>
      <c r="D2013" s="4">
        <v>316960</v>
      </c>
      <c r="E2013" s="2">
        <v>333247</v>
      </c>
      <c r="F2013" t="s">
        <v>19</v>
      </c>
      <c r="G2013" t="s">
        <v>20</v>
      </c>
      <c r="H2013">
        <v>3</v>
      </c>
      <c r="I2013">
        <v>3</v>
      </c>
      <c r="J2013">
        <v>985</v>
      </c>
      <c r="K2013" s="5">
        <v>1.0254394999999999E-2</v>
      </c>
      <c r="L2013" t="s">
        <v>38</v>
      </c>
      <c r="M2013" s="4">
        <v>16287</v>
      </c>
      <c r="N2013" s="3">
        <v>338.3218</v>
      </c>
      <c r="O2013" t="s">
        <v>22</v>
      </c>
      <c r="P2013" t="s">
        <v>24</v>
      </c>
      <c r="Q2013" t="s">
        <v>24</v>
      </c>
      <c r="R2013" t="s">
        <v>25</v>
      </c>
      <c r="S2013">
        <v>1</v>
      </c>
    </row>
    <row r="2014" spans="1:19" x14ac:dyDescent="0.3">
      <c r="A2014" s="1">
        <v>43859</v>
      </c>
      <c r="B2014">
        <v>2020</v>
      </c>
      <c r="C2014" t="s">
        <v>29</v>
      </c>
      <c r="D2014" s="4">
        <v>154310</v>
      </c>
      <c r="E2014" s="2">
        <v>210000</v>
      </c>
      <c r="F2014" t="s">
        <v>19</v>
      </c>
      <c r="G2014" t="s">
        <v>20</v>
      </c>
      <c r="H2014">
        <v>3</v>
      </c>
      <c r="I2014">
        <v>2</v>
      </c>
      <c r="J2014">
        <v>1111.6589814177564</v>
      </c>
      <c r="K2014" s="5">
        <v>1.0254394999999999E-2</v>
      </c>
      <c r="L2014" t="s">
        <v>38</v>
      </c>
      <c r="M2014" s="4">
        <v>55690</v>
      </c>
      <c r="N2014" s="3">
        <v>188.90690000000001</v>
      </c>
      <c r="O2014" t="s">
        <v>22</v>
      </c>
      <c r="P2014" t="s">
        <v>24</v>
      </c>
      <c r="Q2014" t="s">
        <v>24</v>
      </c>
      <c r="R2014" t="s">
        <v>25</v>
      </c>
      <c r="S2014">
        <v>1</v>
      </c>
    </row>
    <row r="2015" spans="1:19" x14ac:dyDescent="0.3">
      <c r="A2015" s="1">
        <v>43861</v>
      </c>
      <c r="B2015">
        <v>2020</v>
      </c>
      <c r="C2015" t="s">
        <v>35</v>
      </c>
      <c r="D2015" s="4">
        <v>2349830</v>
      </c>
      <c r="E2015" s="2">
        <v>4425000</v>
      </c>
      <c r="F2015" t="s">
        <v>19</v>
      </c>
      <c r="G2015" t="s">
        <v>20</v>
      </c>
      <c r="H2015">
        <v>3</v>
      </c>
      <c r="I2015">
        <v>2</v>
      </c>
      <c r="J2015">
        <v>1111.6589814177564</v>
      </c>
      <c r="K2015" s="5">
        <v>1.0254394999999999E-2</v>
      </c>
      <c r="L2015" t="s">
        <v>38</v>
      </c>
      <c r="M2015" s="4">
        <v>2075170</v>
      </c>
      <c r="N2015" s="3">
        <v>3980.5373</v>
      </c>
      <c r="O2015" t="s">
        <v>22</v>
      </c>
      <c r="P2015" t="s">
        <v>28</v>
      </c>
      <c r="Q2015" t="s">
        <v>24</v>
      </c>
      <c r="R2015" t="s">
        <v>25</v>
      </c>
      <c r="S2015">
        <v>1</v>
      </c>
    </row>
    <row r="2016" spans="1:19" x14ac:dyDescent="0.3">
      <c r="A2016" s="1">
        <v>43862</v>
      </c>
      <c r="B2016">
        <v>2020</v>
      </c>
      <c r="C2016" t="s">
        <v>39</v>
      </c>
      <c r="D2016" s="4">
        <v>444584.20699999999</v>
      </c>
      <c r="E2016" s="2">
        <v>1015000</v>
      </c>
      <c r="F2016" t="s">
        <v>19</v>
      </c>
      <c r="G2016" t="s">
        <v>20</v>
      </c>
      <c r="H2016">
        <v>3</v>
      </c>
      <c r="I2016">
        <v>1</v>
      </c>
      <c r="J2016">
        <v>1044</v>
      </c>
      <c r="K2016" s="5">
        <v>1.0254394999999999E-2</v>
      </c>
      <c r="L2016" t="s">
        <v>32</v>
      </c>
      <c r="M2016" s="4">
        <v>570415.79299999995</v>
      </c>
      <c r="N2016" s="3">
        <v>972.22220000000004</v>
      </c>
      <c r="O2016" t="s">
        <v>22</v>
      </c>
      <c r="P2016" t="s">
        <v>28</v>
      </c>
      <c r="Q2016" t="s">
        <v>24</v>
      </c>
      <c r="R2016" t="s">
        <v>41</v>
      </c>
      <c r="S2016">
        <v>2</v>
      </c>
    </row>
    <row r="2017" spans="1:19" x14ac:dyDescent="0.3">
      <c r="A2017" s="1">
        <v>43867</v>
      </c>
      <c r="B2017">
        <v>2020</v>
      </c>
      <c r="C2017" t="s">
        <v>29</v>
      </c>
      <c r="D2017" s="4">
        <v>70780</v>
      </c>
      <c r="E2017" s="2">
        <v>160000</v>
      </c>
      <c r="F2017" t="s">
        <v>30</v>
      </c>
      <c r="G2017" t="s">
        <v>31</v>
      </c>
      <c r="H2017">
        <v>4</v>
      </c>
      <c r="I2017">
        <v>3</v>
      </c>
      <c r="J2017">
        <v>1111.6589814177564</v>
      </c>
      <c r="K2017" s="5">
        <v>1.0254394999999999E-2</v>
      </c>
      <c r="L2017" t="s">
        <v>38</v>
      </c>
      <c r="M2017" s="4">
        <v>89220</v>
      </c>
      <c r="N2017" s="3">
        <v>143.929</v>
      </c>
      <c r="O2017" t="s">
        <v>22</v>
      </c>
      <c r="P2017" t="s">
        <v>23</v>
      </c>
      <c r="Q2017" t="s">
        <v>24</v>
      </c>
      <c r="R2017" t="s">
        <v>41</v>
      </c>
      <c r="S2017">
        <v>2</v>
      </c>
    </row>
    <row r="2018" spans="1:19" x14ac:dyDescent="0.3">
      <c r="A2018" s="1">
        <v>43870</v>
      </c>
      <c r="B2018">
        <v>2020</v>
      </c>
      <c r="C2018" t="s">
        <v>29</v>
      </c>
      <c r="D2018" s="4">
        <v>138770</v>
      </c>
      <c r="E2018" s="2">
        <v>220000</v>
      </c>
      <c r="F2018" t="s">
        <v>19</v>
      </c>
      <c r="G2018" t="s">
        <v>20</v>
      </c>
      <c r="H2018">
        <v>3</v>
      </c>
      <c r="I2018">
        <v>2</v>
      </c>
      <c r="J2018">
        <v>912</v>
      </c>
      <c r="K2018" s="5">
        <v>1.0254394999999999E-2</v>
      </c>
      <c r="L2018" t="s">
        <v>21</v>
      </c>
      <c r="M2018" s="4">
        <v>81230</v>
      </c>
      <c r="N2018" s="3">
        <v>241.22810000000001</v>
      </c>
      <c r="O2018" t="s">
        <v>22</v>
      </c>
      <c r="P2018" t="s">
        <v>24</v>
      </c>
      <c r="Q2018" t="s">
        <v>24</v>
      </c>
      <c r="R2018" t="s">
        <v>41</v>
      </c>
      <c r="S2018">
        <v>2</v>
      </c>
    </row>
    <row r="2019" spans="1:19" x14ac:dyDescent="0.3">
      <c r="A2019" s="1">
        <v>43873</v>
      </c>
      <c r="B2019">
        <v>2020</v>
      </c>
      <c r="C2019" t="s">
        <v>39</v>
      </c>
      <c r="D2019" s="4">
        <v>354410</v>
      </c>
      <c r="E2019" s="2">
        <v>300000</v>
      </c>
      <c r="F2019" t="s">
        <v>19</v>
      </c>
      <c r="G2019" t="s">
        <v>20</v>
      </c>
      <c r="H2019">
        <v>3</v>
      </c>
      <c r="I2019">
        <v>3</v>
      </c>
      <c r="J2019">
        <v>1003</v>
      </c>
      <c r="K2019" s="5">
        <v>1.0254394999999999E-2</v>
      </c>
      <c r="L2019" t="s">
        <v>27</v>
      </c>
      <c r="M2019" s="4">
        <v>-54410</v>
      </c>
      <c r="N2019" s="3">
        <v>299.10270000000003</v>
      </c>
      <c r="O2019" t="s">
        <v>33</v>
      </c>
      <c r="P2019" t="s">
        <v>24</v>
      </c>
      <c r="Q2019" t="s">
        <v>24</v>
      </c>
      <c r="R2019" t="s">
        <v>41</v>
      </c>
      <c r="S2019">
        <v>2</v>
      </c>
    </row>
    <row r="2020" spans="1:19" x14ac:dyDescent="0.3">
      <c r="A2020" s="1">
        <v>43876</v>
      </c>
      <c r="B2020">
        <v>2020</v>
      </c>
      <c r="C2020" t="s">
        <v>40</v>
      </c>
      <c r="D2020" s="4">
        <v>444584.20699999999</v>
      </c>
      <c r="E2020" s="2">
        <v>98800</v>
      </c>
      <c r="F2020" t="s">
        <v>42</v>
      </c>
      <c r="G2020" t="s">
        <v>43</v>
      </c>
      <c r="H2020">
        <v>8</v>
      </c>
      <c r="I2020">
        <v>8</v>
      </c>
      <c r="J2020">
        <v>2495</v>
      </c>
      <c r="K2020" s="5">
        <v>1.0254394999999999E-2</v>
      </c>
      <c r="L2020" t="s">
        <v>38</v>
      </c>
      <c r="M2020" s="4">
        <v>-345784.20699999999</v>
      </c>
      <c r="N2020" s="3">
        <v>39.599200000000003</v>
      </c>
      <c r="O2020" t="s">
        <v>33</v>
      </c>
      <c r="P2020" t="s">
        <v>23</v>
      </c>
      <c r="Q2020" t="s">
        <v>34</v>
      </c>
      <c r="R2020" t="s">
        <v>41</v>
      </c>
      <c r="S2020">
        <v>2</v>
      </c>
    </row>
    <row r="2021" spans="1:19" x14ac:dyDescent="0.3">
      <c r="A2021" s="1">
        <v>43881</v>
      </c>
      <c r="B2021">
        <v>2020</v>
      </c>
      <c r="C2021" t="s">
        <v>35</v>
      </c>
      <c r="D2021" s="4">
        <v>1039500</v>
      </c>
      <c r="E2021" s="2">
        <v>1500000</v>
      </c>
      <c r="F2021" t="s">
        <v>19</v>
      </c>
      <c r="G2021" t="s">
        <v>20</v>
      </c>
      <c r="H2021">
        <v>3</v>
      </c>
      <c r="I2021">
        <v>2</v>
      </c>
      <c r="J2021">
        <v>1005</v>
      </c>
      <c r="K2021" s="5">
        <v>1.0254394999999999E-2</v>
      </c>
      <c r="L2021" t="s">
        <v>27</v>
      </c>
      <c r="M2021" s="4">
        <v>460500</v>
      </c>
      <c r="N2021" s="3">
        <v>1492.5373</v>
      </c>
      <c r="O2021" t="s">
        <v>22</v>
      </c>
      <c r="P2021" t="s">
        <v>28</v>
      </c>
      <c r="Q2021" t="s">
        <v>24</v>
      </c>
      <c r="R2021" t="s">
        <v>41</v>
      </c>
      <c r="S2021">
        <v>2</v>
      </c>
    </row>
    <row r="2022" spans="1:19" x14ac:dyDescent="0.3">
      <c r="A2022" s="1">
        <v>43883</v>
      </c>
      <c r="B2022">
        <v>2020</v>
      </c>
      <c r="C2022" t="s">
        <v>29</v>
      </c>
      <c r="D2022" s="4">
        <v>141820</v>
      </c>
      <c r="E2022" s="2">
        <v>200000</v>
      </c>
      <c r="F2022" t="s">
        <v>19</v>
      </c>
      <c r="G2022" t="s">
        <v>20</v>
      </c>
      <c r="H2022">
        <v>3</v>
      </c>
      <c r="I2022">
        <v>2</v>
      </c>
      <c r="J2022">
        <v>956</v>
      </c>
      <c r="K2022" s="5">
        <v>1.0254394999999999E-2</v>
      </c>
      <c r="L2022" t="s">
        <v>32</v>
      </c>
      <c r="M2022" s="4">
        <v>58180</v>
      </c>
      <c r="N2022" s="3">
        <v>209.20500000000001</v>
      </c>
      <c r="O2022" t="s">
        <v>22</v>
      </c>
      <c r="P2022" t="s">
        <v>24</v>
      </c>
      <c r="Q2022" t="s">
        <v>24</v>
      </c>
      <c r="R2022" t="s">
        <v>41</v>
      </c>
      <c r="S2022">
        <v>2</v>
      </c>
    </row>
    <row r="2023" spans="1:19" x14ac:dyDescent="0.3">
      <c r="A2023" s="1">
        <v>43884</v>
      </c>
      <c r="B2023">
        <v>2020</v>
      </c>
      <c r="C2023" t="s">
        <v>29</v>
      </c>
      <c r="D2023" s="4">
        <v>94360</v>
      </c>
      <c r="E2023" s="2">
        <v>90000</v>
      </c>
      <c r="F2023" t="s">
        <v>30</v>
      </c>
      <c r="G2023" t="s">
        <v>31</v>
      </c>
      <c r="H2023">
        <v>4</v>
      </c>
      <c r="I2023">
        <v>3</v>
      </c>
      <c r="J2023">
        <v>1200</v>
      </c>
      <c r="K2023" s="5">
        <v>1.0254394999999999E-2</v>
      </c>
      <c r="L2023" t="s">
        <v>21</v>
      </c>
      <c r="M2023" s="4">
        <v>-4360</v>
      </c>
      <c r="N2023" s="3">
        <v>75</v>
      </c>
      <c r="O2023" t="s">
        <v>33</v>
      </c>
      <c r="P2023" t="s">
        <v>23</v>
      </c>
      <c r="Q2023" t="s">
        <v>24</v>
      </c>
      <c r="R2023" t="s">
        <v>41</v>
      </c>
      <c r="S2023">
        <v>2</v>
      </c>
    </row>
    <row r="2024" spans="1:19" x14ac:dyDescent="0.3">
      <c r="A2024" s="1">
        <v>43887</v>
      </c>
      <c r="B2024">
        <v>2020</v>
      </c>
      <c r="C2024" t="s">
        <v>39</v>
      </c>
      <c r="D2024" s="4">
        <v>207690</v>
      </c>
      <c r="E2024" s="2">
        <v>226700</v>
      </c>
      <c r="F2024" t="s">
        <v>19</v>
      </c>
      <c r="G2024" t="s">
        <v>20</v>
      </c>
      <c r="H2024">
        <v>3</v>
      </c>
      <c r="I2024">
        <v>1</v>
      </c>
      <c r="J2024">
        <v>931</v>
      </c>
      <c r="K2024" s="5">
        <v>1.0254394999999999E-2</v>
      </c>
      <c r="L2024" t="s">
        <v>21</v>
      </c>
      <c r="M2024" s="4">
        <v>19010</v>
      </c>
      <c r="N2024" s="3">
        <v>243.5016</v>
      </c>
      <c r="O2024" t="s">
        <v>22</v>
      </c>
      <c r="P2024" t="s">
        <v>24</v>
      </c>
      <c r="Q2024" t="s">
        <v>24</v>
      </c>
      <c r="R2024" t="s">
        <v>41</v>
      </c>
      <c r="S2024">
        <v>2</v>
      </c>
    </row>
    <row r="2025" spans="1:19" x14ac:dyDescent="0.3">
      <c r="A2025" s="1">
        <v>43888</v>
      </c>
      <c r="B2025">
        <v>2020</v>
      </c>
      <c r="C2025" t="s">
        <v>35</v>
      </c>
      <c r="D2025" s="4">
        <v>393400</v>
      </c>
      <c r="E2025" s="2">
        <v>755000</v>
      </c>
      <c r="F2025" t="s">
        <v>19</v>
      </c>
      <c r="G2025" t="s">
        <v>20</v>
      </c>
      <c r="H2025">
        <v>3</v>
      </c>
      <c r="I2025">
        <v>1</v>
      </c>
      <c r="J2025">
        <v>984</v>
      </c>
      <c r="K2025" s="5">
        <v>1.0254394999999999E-2</v>
      </c>
      <c r="L2025" t="s">
        <v>32</v>
      </c>
      <c r="M2025" s="4">
        <v>361600</v>
      </c>
      <c r="N2025" s="3">
        <v>767.27639999999997</v>
      </c>
      <c r="O2025" t="s">
        <v>22</v>
      </c>
      <c r="P2025" t="s">
        <v>28</v>
      </c>
      <c r="Q2025" t="s">
        <v>24</v>
      </c>
      <c r="R2025" t="s">
        <v>41</v>
      </c>
      <c r="S2025">
        <v>2</v>
      </c>
    </row>
    <row r="2026" spans="1:19" x14ac:dyDescent="0.3">
      <c r="A2026" s="1">
        <v>43891</v>
      </c>
      <c r="B2026">
        <v>2020</v>
      </c>
      <c r="C2026" t="s">
        <v>26</v>
      </c>
      <c r="D2026" s="4">
        <v>1975335</v>
      </c>
      <c r="E2026" s="2">
        <v>2800000</v>
      </c>
      <c r="F2026" t="s">
        <v>19</v>
      </c>
      <c r="G2026" t="s">
        <v>20</v>
      </c>
      <c r="H2026">
        <v>3</v>
      </c>
      <c r="I2026">
        <v>2</v>
      </c>
      <c r="J2026">
        <v>1091</v>
      </c>
      <c r="K2026" s="5">
        <v>1.0254394999999999E-2</v>
      </c>
      <c r="L2026" t="s">
        <v>27</v>
      </c>
      <c r="M2026" s="4">
        <v>824665</v>
      </c>
      <c r="N2026" s="3">
        <v>2566.4528</v>
      </c>
      <c r="O2026" t="s">
        <v>22</v>
      </c>
      <c r="P2026" t="s">
        <v>28</v>
      </c>
      <c r="Q2026" t="s">
        <v>24</v>
      </c>
      <c r="R2026" t="s">
        <v>44</v>
      </c>
      <c r="S2026">
        <v>3</v>
      </c>
    </row>
    <row r="2027" spans="1:19" x14ac:dyDescent="0.3">
      <c r="A2027" s="1">
        <v>43892</v>
      </c>
      <c r="B2027">
        <v>2020</v>
      </c>
      <c r="C2027" t="s">
        <v>29</v>
      </c>
      <c r="D2027" s="4">
        <v>104630</v>
      </c>
      <c r="E2027" s="2">
        <v>172000</v>
      </c>
      <c r="F2027" t="s">
        <v>19</v>
      </c>
      <c r="G2027" t="s">
        <v>20</v>
      </c>
      <c r="H2027">
        <v>3</v>
      </c>
      <c r="I2027">
        <v>2</v>
      </c>
      <c r="J2027">
        <v>919</v>
      </c>
      <c r="K2027" s="5">
        <v>1.0254394999999999E-2</v>
      </c>
      <c r="L2027" t="s">
        <v>32</v>
      </c>
      <c r="M2027" s="4">
        <v>67370</v>
      </c>
      <c r="N2027" s="3">
        <v>187.16</v>
      </c>
      <c r="O2027" t="s">
        <v>22</v>
      </c>
      <c r="P2027" t="s">
        <v>23</v>
      </c>
      <c r="Q2027" t="s">
        <v>24</v>
      </c>
      <c r="R2027" t="s">
        <v>44</v>
      </c>
      <c r="S2027">
        <v>3</v>
      </c>
    </row>
    <row r="2028" spans="1:19" x14ac:dyDescent="0.3">
      <c r="A2028" s="1">
        <v>43895</v>
      </c>
      <c r="B2028">
        <v>2020</v>
      </c>
      <c r="C2028" t="s">
        <v>29</v>
      </c>
      <c r="D2028" s="4">
        <v>345690</v>
      </c>
      <c r="E2028" s="2">
        <v>675000</v>
      </c>
      <c r="F2028" t="s">
        <v>19</v>
      </c>
      <c r="G2028" t="s">
        <v>20</v>
      </c>
      <c r="H2028">
        <v>3</v>
      </c>
      <c r="I2028">
        <v>3</v>
      </c>
      <c r="J2028">
        <v>1024</v>
      </c>
      <c r="K2028" s="5">
        <v>1.0254394999999999E-2</v>
      </c>
      <c r="L2028" t="s">
        <v>27</v>
      </c>
      <c r="M2028" s="4">
        <v>329310</v>
      </c>
      <c r="N2028" s="3">
        <v>659.17970000000003</v>
      </c>
      <c r="O2028" t="s">
        <v>22</v>
      </c>
      <c r="P2028" t="s">
        <v>28</v>
      </c>
      <c r="Q2028" t="s">
        <v>24</v>
      </c>
      <c r="R2028" t="s">
        <v>44</v>
      </c>
      <c r="S2028">
        <v>3</v>
      </c>
    </row>
    <row r="2029" spans="1:19" x14ac:dyDescent="0.3">
      <c r="A2029" s="1">
        <v>43896</v>
      </c>
      <c r="B2029">
        <v>2020</v>
      </c>
      <c r="C2029" t="s">
        <v>35</v>
      </c>
      <c r="D2029" s="4">
        <v>444584.20699999999</v>
      </c>
      <c r="E2029" s="2">
        <v>2050000</v>
      </c>
      <c r="F2029" t="s">
        <v>19</v>
      </c>
      <c r="G2029" t="s">
        <v>20</v>
      </c>
      <c r="H2029">
        <v>3</v>
      </c>
      <c r="I2029">
        <v>3</v>
      </c>
      <c r="J2029">
        <v>953</v>
      </c>
      <c r="K2029" s="5">
        <v>1.0254394999999999E-2</v>
      </c>
      <c r="L2029" t="s">
        <v>32</v>
      </c>
      <c r="M2029" s="4">
        <v>1605415.7930000001</v>
      </c>
      <c r="N2029" s="3">
        <v>2151.1017999999999</v>
      </c>
      <c r="O2029" t="s">
        <v>22</v>
      </c>
      <c r="P2029" t="s">
        <v>28</v>
      </c>
      <c r="Q2029" t="s">
        <v>24</v>
      </c>
      <c r="R2029" t="s">
        <v>44</v>
      </c>
      <c r="S2029">
        <v>3</v>
      </c>
    </row>
    <row r="2030" spans="1:19" x14ac:dyDescent="0.3">
      <c r="A2030" s="1">
        <v>43898</v>
      </c>
      <c r="B2030">
        <v>2020</v>
      </c>
      <c r="C2030" t="s">
        <v>39</v>
      </c>
      <c r="D2030" s="4">
        <v>612080</v>
      </c>
      <c r="E2030" s="2">
        <v>1355000</v>
      </c>
      <c r="F2030" t="s">
        <v>19</v>
      </c>
      <c r="G2030" t="s">
        <v>20</v>
      </c>
      <c r="H2030">
        <v>3</v>
      </c>
      <c r="I2030">
        <v>3</v>
      </c>
      <c r="J2030">
        <v>921</v>
      </c>
      <c r="K2030" s="5">
        <v>1.0254394999999999E-2</v>
      </c>
      <c r="L2030" t="s">
        <v>38</v>
      </c>
      <c r="M2030" s="4">
        <v>742920</v>
      </c>
      <c r="N2030" s="3">
        <v>1471.2268999999999</v>
      </c>
      <c r="O2030" t="s">
        <v>22</v>
      </c>
      <c r="P2030" t="s">
        <v>28</v>
      </c>
      <c r="Q2030" t="s">
        <v>24</v>
      </c>
      <c r="R2030" t="s">
        <v>44</v>
      </c>
      <c r="S2030">
        <v>3</v>
      </c>
    </row>
    <row r="2031" spans="1:19" x14ac:dyDescent="0.3">
      <c r="A2031" s="1">
        <v>43899</v>
      </c>
      <c r="B2031">
        <v>2020</v>
      </c>
      <c r="C2031" t="s">
        <v>29</v>
      </c>
      <c r="D2031" s="4">
        <v>126690</v>
      </c>
      <c r="E2031" s="2">
        <v>250000</v>
      </c>
      <c r="F2031" t="s">
        <v>30</v>
      </c>
      <c r="G2031" t="s">
        <v>31</v>
      </c>
      <c r="H2031">
        <v>4</v>
      </c>
      <c r="I2031">
        <v>2</v>
      </c>
      <c r="J2031">
        <v>1111.6589814177564</v>
      </c>
      <c r="K2031" s="5">
        <v>1.0254394999999999E-2</v>
      </c>
      <c r="L2031" t="s">
        <v>32</v>
      </c>
      <c r="M2031" s="4">
        <v>123310</v>
      </c>
      <c r="N2031" s="3">
        <v>224.88910000000001</v>
      </c>
      <c r="O2031" t="s">
        <v>22</v>
      </c>
      <c r="P2031" t="s">
        <v>24</v>
      </c>
      <c r="Q2031" t="s">
        <v>24</v>
      </c>
      <c r="R2031" t="s">
        <v>44</v>
      </c>
      <c r="S2031">
        <v>3</v>
      </c>
    </row>
    <row r="2032" spans="1:19" x14ac:dyDescent="0.3">
      <c r="A2032" s="1">
        <v>43902</v>
      </c>
      <c r="B2032">
        <v>2020</v>
      </c>
      <c r="C2032" t="s">
        <v>26</v>
      </c>
      <c r="D2032" s="4">
        <v>489650</v>
      </c>
      <c r="E2032" s="2">
        <v>731000</v>
      </c>
      <c r="F2032" t="s">
        <v>19</v>
      </c>
      <c r="G2032" t="s">
        <v>20</v>
      </c>
      <c r="H2032">
        <v>3</v>
      </c>
      <c r="I2032">
        <v>1</v>
      </c>
      <c r="J2032">
        <v>950</v>
      </c>
      <c r="K2032" s="5">
        <v>1.0254394999999999E-2</v>
      </c>
      <c r="L2032" t="s">
        <v>27</v>
      </c>
      <c r="M2032" s="4">
        <v>241350</v>
      </c>
      <c r="N2032" s="3">
        <v>769.47370000000001</v>
      </c>
      <c r="O2032" t="s">
        <v>22</v>
      </c>
      <c r="P2032" t="s">
        <v>28</v>
      </c>
      <c r="Q2032" t="s">
        <v>24</v>
      </c>
      <c r="R2032" t="s">
        <v>44</v>
      </c>
      <c r="S2032">
        <v>3</v>
      </c>
    </row>
    <row r="2033" spans="1:19" x14ac:dyDescent="0.3">
      <c r="A2033" s="1">
        <v>43909</v>
      </c>
      <c r="B2033">
        <v>2020</v>
      </c>
      <c r="C2033" t="s">
        <v>29</v>
      </c>
      <c r="D2033" s="4">
        <v>148120</v>
      </c>
      <c r="E2033" s="2">
        <v>267000</v>
      </c>
      <c r="F2033" t="s">
        <v>19</v>
      </c>
      <c r="G2033" t="s">
        <v>20</v>
      </c>
      <c r="H2033">
        <v>3</v>
      </c>
      <c r="I2033">
        <v>3</v>
      </c>
      <c r="J2033">
        <v>1058</v>
      </c>
      <c r="K2033" s="5">
        <v>1.0254394999999999E-2</v>
      </c>
      <c r="L2033" t="s">
        <v>38</v>
      </c>
      <c r="M2033" s="4">
        <v>118880</v>
      </c>
      <c r="N2033" s="3">
        <v>252.3629</v>
      </c>
      <c r="O2033" t="s">
        <v>22</v>
      </c>
      <c r="P2033" t="s">
        <v>24</v>
      </c>
      <c r="Q2033" t="s">
        <v>24</v>
      </c>
      <c r="R2033" t="s">
        <v>44</v>
      </c>
      <c r="S2033">
        <v>3</v>
      </c>
    </row>
    <row r="2034" spans="1:19" x14ac:dyDescent="0.3">
      <c r="A2034" s="1">
        <v>43911</v>
      </c>
      <c r="B2034">
        <v>2020</v>
      </c>
      <c r="C2034" t="s">
        <v>29</v>
      </c>
      <c r="D2034" s="4">
        <v>94560</v>
      </c>
      <c r="E2034" s="2">
        <v>107500</v>
      </c>
      <c r="F2034" t="s">
        <v>19</v>
      </c>
      <c r="G2034" t="s">
        <v>20</v>
      </c>
      <c r="H2034">
        <v>3</v>
      </c>
      <c r="I2034">
        <v>2</v>
      </c>
      <c r="J2034">
        <v>991</v>
      </c>
      <c r="K2034" s="5">
        <v>1.0254394999999999E-2</v>
      </c>
      <c r="L2034" t="s">
        <v>21</v>
      </c>
      <c r="M2034" s="4">
        <v>12940</v>
      </c>
      <c r="N2034" s="3">
        <v>108.47629999999999</v>
      </c>
      <c r="O2034" t="s">
        <v>22</v>
      </c>
      <c r="P2034" t="s">
        <v>23</v>
      </c>
      <c r="Q2034" t="s">
        <v>24</v>
      </c>
      <c r="R2034" t="s">
        <v>44</v>
      </c>
      <c r="S2034">
        <v>3</v>
      </c>
    </row>
    <row r="2035" spans="1:19" x14ac:dyDescent="0.3">
      <c r="A2035" s="1">
        <v>43913</v>
      </c>
      <c r="B2035">
        <v>2020</v>
      </c>
      <c r="C2035" t="s">
        <v>39</v>
      </c>
      <c r="D2035" s="4">
        <v>233310</v>
      </c>
      <c r="E2035" s="2">
        <v>260000</v>
      </c>
      <c r="F2035" t="s">
        <v>19</v>
      </c>
      <c r="G2035" t="s">
        <v>20</v>
      </c>
      <c r="H2035">
        <v>3</v>
      </c>
      <c r="I2035">
        <v>1</v>
      </c>
      <c r="J2035">
        <v>1086</v>
      </c>
      <c r="K2035" s="5">
        <v>1.0254394999999999E-2</v>
      </c>
      <c r="L2035" t="s">
        <v>27</v>
      </c>
      <c r="M2035" s="4">
        <v>26690</v>
      </c>
      <c r="N2035" s="3">
        <v>239.41069999999999</v>
      </c>
      <c r="O2035" t="s">
        <v>22</v>
      </c>
      <c r="P2035" t="s">
        <v>24</v>
      </c>
      <c r="Q2035" t="s">
        <v>24</v>
      </c>
      <c r="R2035" t="s">
        <v>44</v>
      </c>
      <c r="S2035">
        <v>3</v>
      </c>
    </row>
    <row r="2036" spans="1:19" x14ac:dyDescent="0.3">
      <c r="A2036" s="1">
        <v>43917</v>
      </c>
      <c r="B2036">
        <v>2020</v>
      </c>
      <c r="C2036" t="s">
        <v>29</v>
      </c>
      <c r="D2036" s="4">
        <v>444584.20699999999</v>
      </c>
      <c r="E2036" s="2">
        <v>135000</v>
      </c>
      <c r="F2036" t="s">
        <v>19</v>
      </c>
      <c r="G2036" t="s">
        <v>20</v>
      </c>
      <c r="H2036">
        <v>3</v>
      </c>
      <c r="I2036">
        <v>2</v>
      </c>
      <c r="J2036">
        <v>1057</v>
      </c>
      <c r="K2036" s="5">
        <v>1.0254394999999999E-2</v>
      </c>
      <c r="L2036" t="s">
        <v>32</v>
      </c>
      <c r="M2036" s="4">
        <v>-309584.20699999999</v>
      </c>
      <c r="N2036" s="3">
        <v>127.72</v>
      </c>
      <c r="O2036" t="s">
        <v>33</v>
      </c>
      <c r="P2036" t="s">
        <v>23</v>
      </c>
      <c r="Q2036" t="s">
        <v>24</v>
      </c>
      <c r="R2036" t="s">
        <v>44</v>
      </c>
      <c r="S2036">
        <v>3</v>
      </c>
    </row>
    <row r="2037" spans="1:19" x14ac:dyDescent="0.3">
      <c r="A2037" s="1">
        <v>43919</v>
      </c>
      <c r="B2037">
        <v>2020</v>
      </c>
      <c r="C2037" t="s">
        <v>52</v>
      </c>
      <c r="D2037" s="4">
        <v>141820</v>
      </c>
      <c r="E2037" s="2">
        <v>269000</v>
      </c>
      <c r="F2037" t="s">
        <v>30</v>
      </c>
      <c r="G2037" t="s">
        <v>31</v>
      </c>
      <c r="H2037">
        <v>4</v>
      </c>
      <c r="I2037">
        <v>2</v>
      </c>
      <c r="J2037">
        <v>1372</v>
      </c>
      <c r="K2037" s="5">
        <v>1.0254394999999999E-2</v>
      </c>
      <c r="L2037" t="s">
        <v>38</v>
      </c>
      <c r="M2037" s="4">
        <v>127180</v>
      </c>
      <c r="N2037" s="3">
        <v>196.0641</v>
      </c>
      <c r="O2037" t="s">
        <v>22</v>
      </c>
      <c r="P2037" t="s">
        <v>24</v>
      </c>
      <c r="Q2037" t="s">
        <v>34</v>
      </c>
      <c r="R2037" t="s">
        <v>44</v>
      </c>
      <c r="S2037">
        <v>3</v>
      </c>
    </row>
    <row r="2038" spans="1:19" x14ac:dyDescent="0.3">
      <c r="A2038" s="1">
        <v>43923</v>
      </c>
      <c r="B2038">
        <v>2020</v>
      </c>
      <c r="C2038" t="s">
        <v>52</v>
      </c>
      <c r="D2038" s="4">
        <v>155820</v>
      </c>
      <c r="E2038" s="2">
        <v>238000</v>
      </c>
      <c r="F2038" t="s">
        <v>19</v>
      </c>
      <c r="G2038" t="s">
        <v>20</v>
      </c>
      <c r="H2038">
        <v>3</v>
      </c>
      <c r="I2038">
        <v>1</v>
      </c>
      <c r="J2038">
        <v>949</v>
      </c>
      <c r="K2038" s="5">
        <v>1.0254394999999999E-2</v>
      </c>
      <c r="L2038" t="s">
        <v>27</v>
      </c>
      <c r="M2038" s="4">
        <v>82180</v>
      </c>
      <c r="N2038" s="3">
        <v>250.7903</v>
      </c>
      <c r="O2038" t="s">
        <v>22</v>
      </c>
      <c r="P2038" t="s">
        <v>24</v>
      </c>
      <c r="Q2038" t="s">
        <v>24</v>
      </c>
      <c r="R2038" t="s">
        <v>45</v>
      </c>
      <c r="S2038">
        <v>4</v>
      </c>
    </row>
    <row r="2039" spans="1:19" x14ac:dyDescent="0.3">
      <c r="A2039" s="1">
        <v>43924</v>
      </c>
      <c r="B2039">
        <v>2020</v>
      </c>
      <c r="C2039" t="s">
        <v>35</v>
      </c>
      <c r="D2039" s="4">
        <v>2007110</v>
      </c>
      <c r="E2039" s="2">
        <v>3500000</v>
      </c>
      <c r="F2039" t="s">
        <v>19</v>
      </c>
      <c r="G2039" t="s">
        <v>20</v>
      </c>
      <c r="H2039">
        <v>3</v>
      </c>
      <c r="I2039">
        <v>1</v>
      </c>
      <c r="J2039">
        <v>909</v>
      </c>
      <c r="K2039" s="5">
        <v>1.0254394999999999E-2</v>
      </c>
      <c r="L2039" t="s">
        <v>38</v>
      </c>
      <c r="M2039" s="4">
        <v>1492890</v>
      </c>
      <c r="N2039" s="3">
        <v>3850.3850000000002</v>
      </c>
      <c r="O2039" t="s">
        <v>22</v>
      </c>
      <c r="P2039" t="s">
        <v>28</v>
      </c>
      <c r="Q2039" t="s">
        <v>24</v>
      </c>
      <c r="R2039" t="s">
        <v>45</v>
      </c>
      <c r="S2039">
        <v>4</v>
      </c>
    </row>
    <row r="2040" spans="1:19" x14ac:dyDescent="0.3">
      <c r="A2040" s="1">
        <v>43925</v>
      </c>
      <c r="B2040">
        <v>2020</v>
      </c>
      <c r="C2040" t="s">
        <v>52</v>
      </c>
      <c r="D2040" s="4">
        <v>278600</v>
      </c>
      <c r="E2040" s="2">
        <v>432000</v>
      </c>
      <c r="F2040" t="s">
        <v>19</v>
      </c>
      <c r="G2040" t="s">
        <v>20</v>
      </c>
      <c r="H2040">
        <v>3</v>
      </c>
      <c r="I2040">
        <v>2</v>
      </c>
      <c r="J2040">
        <v>900</v>
      </c>
      <c r="K2040" s="5">
        <v>1.0254394999999999E-2</v>
      </c>
      <c r="L2040" t="s">
        <v>27</v>
      </c>
      <c r="M2040" s="4">
        <v>153400</v>
      </c>
      <c r="N2040" s="3">
        <v>480</v>
      </c>
      <c r="O2040" t="s">
        <v>22</v>
      </c>
      <c r="P2040" t="s">
        <v>24</v>
      </c>
      <c r="Q2040" t="s">
        <v>24</v>
      </c>
      <c r="R2040" t="s">
        <v>45</v>
      </c>
      <c r="S2040">
        <v>4</v>
      </c>
    </row>
    <row r="2041" spans="1:19" x14ac:dyDescent="0.3">
      <c r="A2041" s="1">
        <v>43926</v>
      </c>
      <c r="B2041">
        <v>2020</v>
      </c>
      <c r="C2041" t="s">
        <v>39</v>
      </c>
      <c r="D2041" s="4">
        <v>322770</v>
      </c>
      <c r="E2041" s="2">
        <v>310800</v>
      </c>
      <c r="F2041" t="s">
        <v>19</v>
      </c>
      <c r="G2041" t="s">
        <v>20</v>
      </c>
      <c r="H2041">
        <v>3</v>
      </c>
      <c r="I2041">
        <v>2</v>
      </c>
      <c r="J2041">
        <v>1012</v>
      </c>
      <c r="K2041" s="5">
        <v>1.0254394999999999E-2</v>
      </c>
      <c r="L2041" t="s">
        <v>27</v>
      </c>
      <c r="M2041" s="4">
        <v>-11970</v>
      </c>
      <c r="N2041" s="3">
        <v>307.1146</v>
      </c>
      <c r="O2041" t="s">
        <v>33</v>
      </c>
      <c r="P2041" t="s">
        <v>24</v>
      </c>
      <c r="Q2041" t="s">
        <v>24</v>
      </c>
      <c r="R2041" t="s">
        <v>45</v>
      </c>
      <c r="S2041">
        <v>4</v>
      </c>
    </row>
    <row r="2042" spans="1:19" x14ac:dyDescent="0.3">
      <c r="A2042" s="1">
        <v>43927</v>
      </c>
      <c r="B2042">
        <v>2020</v>
      </c>
      <c r="C2042" t="s">
        <v>26</v>
      </c>
      <c r="D2042" s="4">
        <v>511310</v>
      </c>
      <c r="E2042" s="2">
        <v>715000</v>
      </c>
      <c r="F2042" t="s">
        <v>19</v>
      </c>
      <c r="G2042" t="s">
        <v>20</v>
      </c>
      <c r="H2042">
        <v>3</v>
      </c>
      <c r="I2042">
        <v>3</v>
      </c>
      <c r="J2042">
        <v>1074</v>
      </c>
      <c r="K2042" s="5">
        <v>1.0254394999999999E-2</v>
      </c>
      <c r="L2042" t="s">
        <v>21</v>
      </c>
      <c r="M2042" s="4">
        <v>203690</v>
      </c>
      <c r="N2042" s="3">
        <v>665.73559999999998</v>
      </c>
      <c r="O2042" t="s">
        <v>22</v>
      </c>
      <c r="P2042" t="s">
        <v>28</v>
      </c>
      <c r="Q2042" t="s">
        <v>24</v>
      </c>
      <c r="R2042" t="s">
        <v>45</v>
      </c>
      <c r="S2042">
        <v>4</v>
      </c>
    </row>
    <row r="2043" spans="1:19" x14ac:dyDescent="0.3">
      <c r="A2043" s="1">
        <v>43930</v>
      </c>
      <c r="B2043">
        <v>2020</v>
      </c>
      <c r="C2043" t="s">
        <v>52</v>
      </c>
      <c r="D2043" s="4">
        <v>294840</v>
      </c>
      <c r="E2043" s="2">
        <v>525000</v>
      </c>
      <c r="F2043" t="s">
        <v>19</v>
      </c>
      <c r="G2043" t="s">
        <v>20</v>
      </c>
      <c r="H2043">
        <v>3</v>
      </c>
      <c r="I2043">
        <v>1</v>
      </c>
      <c r="J2043">
        <v>1028</v>
      </c>
      <c r="K2043" s="5">
        <v>1.0254394999999999E-2</v>
      </c>
      <c r="L2043" t="s">
        <v>38</v>
      </c>
      <c r="M2043" s="4">
        <v>230160</v>
      </c>
      <c r="N2043" s="3">
        <v>510.7004</v>
      </c>
      <c r="O2043" t="s">
        <v>22</v>
      </c>
      <c r="P2043" t="s">
        <v>24</v>
      </c>
      <c r="Q2043" t="s">
        <v>24</v>
      </c>
      <c r="R2043" t="s">
        <v>45</v>
      </c>
      <c r="S2043">
        <v>4</v>
      </c>
    </row>
    <row r="2044" spans="1:19" x14ac:dyDescent="0.3">
      <c r="A2044" s="1">
        <v>43931</v>
      </c>
      <c r="B2044">
        <v>2020</v>
      </c>
      <c r="C2044" t="s">
        <v>29</v>
      </c>
      <c r="D2044" s="4">
        <v>106310</v>
      </c>
      <c r="E2044" s="2">
        <v>161500</v>
      </c>
      <c r="F2044" t="s">
        <v>19</v>
      </c>
      <c r="G2044" t="s">
        <v>20</v>
      </c>
      <c r="H2044">
        <v>3</v>
      </c>
      <c r="I2044">
        <v>1</v>
      </c>
      <c r="J2044">
        <v>1031</v>
      </c>
      <c r="K2044" s="5">
        <v>1.0254394999999999E-2</v>
      </c>
      <c r="L2044" t="s">
        <v>27</v>
      </c>
      <c r="M2044" s="4">
        <v>55190</v>
      </c>
      <c r="N2044" s="3">
        <v>156.64400000000001</v>
      </c>
      <c r="O2044" t="s">
        <v>22</v>
      </c>
      <c r="P2044" t="s">
        <v>23</v>
      </c>
      <c r="Q2044" t="s">
        <v>24</v>
      </c>
      <c r="R2044" t="s">
        <v>45</v>
      </c>
      <c r="S2044">
        <v>4</v>
      </c>
    </row>
    <row r="2045" spans="1:19" x14ac:dyDescent="0.3">
      <c r="A2045" s="1">
        <v>43932</v>
      </c>
      <c r="B2045">
        <v>2020</v>
      </c>
      <c r="C2045" t="s">
        <v>39</v>
      </c>
      <c r="D2045" s="4">
        <v>444584.20699999999</v>
      </c>
      <c r="E2045" s="2">
        <v>410000</v>
      </c>
      <c r="F2045" t="s">
        <v>19</v>
      </c>
      <c r="G2045" t="s">
        <v>20</v>
      </c>
      <c r="H2045">
        <v>3</v>
      </c>
      <c r="I2045">
        <v>2</v>
      </c>
      <c r="J2045">
        <v>1007</v>
      </c>
      <c r="K2045" s="5">
        <v>1.0254394999999999E-2</v>
      </c>
      <c r="L2045" t="s">
        <v>27</v>
      </c>
      <c r="M2045" s="4">
        <v>-34584.207000000002</v>
      </c>
      <c r="N2045" s="3">
        <v>407.15</v>
      </c>
      <c r="O2045" t="s">
        <v>33</v>
      </c>
      <c r="P2045" t="s">
        <v>24</v>
      </c>
      <c r="Q2045" t="s">
        <v>24</v>
      </c>
      <c r="R2045" t="s">
        <v>45</v>
      </c>
      <c r="S2045">
        <v>4</v>
      </c>
    </row>
    <row r="2046" spans="1:19" x14ac:dyDescent="0.3">
      <c r="A2046" s="1">
        <v>43933</v>
      </c>
      <c r="B2046">
        <v>2020</v>
      </c>
      <c r="C2046" t="s">
        <v>26</v>
      </c>
      <c r="D2046" s="4">
        <v>253720</v>
      </c>
      <c r="E2046" s="2">
        <v>310000</v>
      </c>
      <c r="F2046" t="s">
        <v>19</v>
      </c>
      <c r="G2046" t="s">
        <v>20</v>
      </c>
      <c r="H2046">
        <v>3</v>
      </c>
      <c r="I2046">
        <v>3</v>
      </c>
      <c r="J2046">
        <v>1111.6589814177564</v>
      </c>
      <c r="K2046" s="5">
        <v>1.0254394999999999E-2</v>
      </c>
      <c r="L2046" t="s">
        <v>38</v>
      </c>
      <c r="M2046" s="4">
        <v>56280</v>
      </c>
      <c r="N2046" s="3">
        <v>278.86250000000001</v>
      </c>
      <c r="O2046" t="s">
        <v>22</v>
      </c>
      <c r="P2046" t="s">
        <v>24</v>
      </c>
      <c r="Q2046" t="s">
        <v>24</v>
      </c>
      <c r="R2046" t="s">
        <v>45</v>
      </c>
      <c r="S2046">
        <v>4</v>
      </c>
    </row>
    <row r="2047" spans="1:19" x14ac:dyDescent="0.3">
      <c r="A2047" s="1">
        <v>43934</v>
      </c>
      <c r="B2047">
        <v>2020</v>
      </c>
      <c r="C2047" t="s">
        <v>26</v>
      </c>
      <c r="D2047" s="4">
        <v>783120</v>
      </c>
      <c r="E2047" s="2">
        <v>1006000</v>
      </c>
      <c r="F2047" t="s">
        <v>19</v>
      </c>
      <c r="G2047" t="s">
        <v>20</v>
      </c>
      <c r="H2047">
        <v>3</v>
      </c>
      <c r="I2047">
        <v>3</v>
      </c>
      <c r="J2047">
        <v>952</v>
      </c>
      <c r="K2047" s="5">
        <v>1.0254394999999999E-2</v>
      </c>
      <c r="L2047" t="s">
        <v>21</v>
      </c>
      <c r="M2047" s="4">
        <v>222880</v>
      </c>
      <c r="N2047" s="3">
        <v>1056.7227</v>
      </c>
      <c r="O2047" t="s">
        <v>22</v>
      </c>
      <c r="P2047" t="s">
        <v>28</v>
      </c>
      <c r="Q2047" t="s">
        <v>24</v>
      </c>
      <c r="R2047" t="s">
        <v>45</v>
      </c>
      <c r="S2047">
        <v>4</v>
      </c>
    </row>
    <row r="2048" spans="1:19" x14ac:dyDescent="0.3">
      <c r="A2048" s="1">
        <v>43937</v>
      </c>
      <c r="B2048">
        <v>2020</v>
      </c>
      <c r="C2048" t="s">
        <v>35</v>
      </c>
      <c r="D2048" s="4">
        <v>1323420</v>
      </c>
      <c r="E2048" s="2">
        <v>1795000</v>
      </c>
      <c r="F2048" t="s">
        <v>19</v>
      </c>
      <c r="G2048" t="s">
        <v>20</v>
      </c>
      <c r="H2048">
        <v>3</v>
      </c>
      <c r="I2048">
        <v>3</v>
      </c>
      <c r="J2048">
        <v>1030</v>
      </c>
      <c r="K2048" s="5">
        <v>1.0254394999999999E-2</v>
      </c>
      <c r="L2048" t="s">
        <v>27</v>
      </c>
      <c r="M2048" s="4">
        <v>471580</v>
      </c>
      <c r="N2048" s="3">
        <v>1742.7184</v>
      </c>
      <c r="O2048" t="s">
        <v>22</v>
      </c>
      <c r="P2048" t="s">
        <v>28</v>
      </c>
      <c r="Q2048" t="s">
        <v>24</v>
      </c>
      <c r="R2048" t="s">
        <v>45</v>
      </c>
      <c r="S2048">
        <v>4</v>
      </c>
    </row>
    <row r="2049" spans="1:19" x14ac:dyDescent="0.3">
      <c r="A2049" s="1">
        <v>43938</v>
      </c>
      <c r="B2049">
        <v>2020</v>
      </c>
      <c r="C2049" t="s">
        <v>29</v>
      </c>
      <c r="D2049" s="4">
        <v>111190</v>
      </c>
      <c r="E2049" s="2">
        <v>131200</v>
      </c>
      <c r="F2049" t="s">
        <v>30</v>
      </c>
      <c r="G2049" t="s">
        <v>31</v>
      </c>
      <c r="H2049">
        <v>4</v>
      </c>
      <c r="I2049">
        <v>3</v>
      </c>
      <c r="J2049">
        <v>1482</v>
      </c>
      <c r="K2049" s="5">
        <v>1.0254394999999999E-2</v>
      </c>
      <c r="L2049" t="s">
        <v>32</v>
      </c>
      <c r="M2049" s="4">
        <v>20010</v>
      </c>
      <c r="N2049" s="3">
        <v>88.528999999999996</v>
      </c>
      <c r="O2049" t="s">
        <v>22</v>
      </c>
      <c r="P2049" t="s">
        <v>23</v>
      </c>
      <c r="Q2049" t="s">
        <v>34</v>
      </c>
      <c r="R2049" t="s">
        <v>45</v>
      </c>
      <c r="S2049">
        <v>4</v>
      </c>
    </row>
    <row r="2050" spans="1:19" x14ac:dyDescent="0.3">
      <c r="A2050" s="1">
        <v>43939</v>
      </c>
      <c r="B2050">
        <v>2020</v>
      </c>
      <c r="C2050" t="s">
        <v>35</v>
      </c>
      <c r="D2050" s="4">
        <v>1360380</v>
      </c>
      <c r="E2050" s="2">
        <v>1925000</v>
      </c>
      <c r="F2050" t="s">
        <v>19</v>
      </c>
      <c r="G2050" t="s">
        <v>20</v>
      </c>
      <c r="H2050">
        <v>3</v>
      </c>
      <c r="I2050">
        <v>2</v>
      </c>
      <c r="J2050">
        <v>948</v>
      </c>
      <c r="K2050" s="5">
        <v>1.0254394999999999E-2</v>
      </c>
      <c r="L2050" t="s">
        <v>21</v>
      </c>
      <c r="M2050" s="4">
        <v>564620</v>
      </c>
      <c r="N2050" s="3">
        <v>2030.5907</v>
      </c>
      <c r="O2050" t="s">
        <v>22</v>
      </c>
      <c r="P2050" t="s">
        <v>28</v>
      </c>
      <c r="Q2050" t="s">
        <v>24</v>
      </c>
      <c r="R2050" t="s">
        <v>45</v>
      </c>
      <c r="S2050">
        <v>4</v>
      </c>
    </row>
    <row r="2051" spans="1:19" x14ac:dyDescent="0.3">
      <c r="A2051" s="1">
        <v>43940</v>
      </c>
      <c r="B2051">
        <v>2020</v>
      </c>
      <c r="C2051" t="s">
        <v>52</v>
      </c>
      <c r="D2051" s="4">
        <v>190960</v>
      </c>
      <c r="E2051" s="2">
        <v>147500</v>
      </c>
      <c r="F2051" t="s">
        <v>19</v>
      </c>
      <c r="G2051" t="s">
        <v>20</v>
      </c>
      <c r="H2051">
        <v>3</v>
      </c>
      <c r="I2051">
        <v>1</v>
      </c>
      <c r="J2051">
        <v>948</v>
      </c>
      <c r="K2051" s="5">
        <v>1.0254394999999999E-2</v>
      </c>
      <c r="L2051" t="s">
        <v>32</v>
      </c>
      <c r="M2051" s="4">
        <v>-43460</v>
      </c>
      <c r="N2051" s="3">
        <v>155.5907</v>
      </c>
      <c r="O2051" t="s">
        <v>33</v>
      </c>
      <c r="P2051" t="s">
        <v>23</v>
      </c>
      <c r="Q2051" t="s">
        <v>24</v>
      </c>
      <c r="R2051" t="s">
        <v>45</v>
      </c>
      <c r="S2051">
        <v>4</v>
      </c>
    </row>
    <row r="2052" spans="1:19" x14ac:dyDescent="0.3">
      <c r="A2052" s="1">
        <v>43944</v>
      </c>
      <c r="B2052">
        <v>2020</v>
      </c>
      <c r="C2052" t="s">
        <v>52</v>
      </c>
      <c r="D2052" s="4">
        <v>157080</v>
      </c>
      <c r="E2052" s="2">
        <v>222549</v>
      </c>
      <c r="F2052" t="s">
        <v>19</v>
      </c>
      <c r="G2052" t="s">
        <v>20</v>
      </c>
      <c r="H2052">
        <v>3</v>
      </c>
      <c r="I2052">
        <v>2</v>
      </c>
      <c r="J2052">
        <v>1100</v>
      </c>
      <c r="K2052" s="5">
        <v>1.0254394999999999E-2</v>
      </c>
      <c r="L2052" t="s">
        <v>32</v>
      </c>
      <c r="M2052" s="4">
        <v>65469</v>
      </c>
      <c r="N2052" s="3">
        <v>202.31729999999999</v>
      </c>
      <c r="O2052" t="s">
        <v>22</v>
      </c>
      <c r="P2052" t="s">
        <v>24</v>
      </c>
      <c r="Q2052" t="s">
        <v>24</v>
      </c>
      <c r="R2052" t="s">
        <v>45</v>
      </c>
      <c r="S2052">
        <v>4</v>
      </c>
    </row>
    <row r="2053" spans="1:19" x14ac:dyDescent="0.3">
      <c r="A2053" s="1">
        <v>43947</v>
      </c>
      <c r="B2053">
        <v>2020</v>
      </c>
      <c r="C2053" t="s">
        <v>26</v>
      </c>
      <c r="D2053" s="4">
        <v>508120</v>
      </c>
      <c r="E2053" s="2">
        <v>999000</v>
      </c>
      <c r="F2053" t="s">
        <v>19</v>
      </c>
      <c r="G2053" t="s">
        <v>20</v>
      </c>
      <c r="H2053">
        <v>3</v>
      </c>
      <c r="I2053">
        <v>1</v>
      </c>
      <c r="J2053">
        <v>1090</v>
      </c>
      <c r="K2053" s="5">
        <v>1.0254394999999999E-2</v>
      </c>
      <c r="L2053" t="s">
        <v>27</v>
      </c>
      <c r="M2053" s="4">
        <v>490880</v>
      </c>
      <c r="N2053" s="3">
        <v>916.51379999999995</v>
      </c>
      <c r="O2053" t="s">
        <v>22</v>
      </c>
      <c r="P2053" t="s">
        <v>28</v>
      </c>
      <c r="Q2053" t="s">
        <v>24</v>
      </c>
      <c r="R2053" t="s">
        <v>45</v>
      </c>
      <c r="S2053">
        <v>4</v>
      </c>
    </row>
    <row r="2054" spans="1:19" x14ac:dyDescent="0.3">
      <c r="A2054" s="1">
        <v>43948</v>
      </c>
      <c r="B2054">
        <v>2020</v>
      </c>
      <c r="C2054" t="s">
        <v>39</v>
      </c>
      <c r="D2054" s="4">
        <v>444584.20699999999</v>
      </c>
      <c r="E2054" s="2">
        <v>1470000</v>
      </c>
      <c r="F2054" t="s">
        <v>19</v>
      </c>
      <c r="G2054" t="s">
        <v>20</v>
      </c>
      <c r="H2054">
        <v>3</v>
      </c>
      <c r="I2054">
        <v>2</v>
      </c>
      <c r="J2054">
        <v>1111.6589814177564</v>
      </c>
      <c r="K2054" s="5">
        <v>1.0254394999999999E-2</v>
      </c>
      <c r="L2054" t="s">
        <v>27</v>
      </c>
      <c r="M2054" s="4">
        <v>1025415.7929999999</v>
      </c>
      <c r="N2054" s="3">
        <v>1322.348</v>
      </c>
      <c r="O2054" t="s">
        <v>22</v>
      </c>
      <c r="P2054" t="s">
        <v>28</v>
      </c>
      <c r="Q2054" t="s">
        <v>24</v>
      </c>
      <c r="R2054" t="s">
        <v>45</v>
      </c>
      <c r="S2054">
        <v>4</v>
      </c>
    </row>
    <row r="2055" spans="1:19" x14ac:dyDescent="0.3">
      <c r="A2055" s="1">
        <v>43951</v>
      </c>
      <c r="B2055">
        <v>2020</v>
      </c>
      <c r="C2055" t="s">
        <v>35</v>
      </c>
      <c r="D2055" s="4">
        <v>866320</v>
      </c>
      <c r="E2055" s="2">
        <v>1225000</v>
      </c>
      <c r="F2055" t="s">
        <v>19</v>
      </c>
      <c r="G2055" t="s">
        <v>20</v>
      </c>
      <c r="H2055">
        <v>3</v>
      </c>
      <c r="I2055">
        <v>1</v>
      </c>
      <c r="J2055">
        <v>1096</v>
      </c>
      <c r="K2055" s="5">
        <v>1.0254394999999999E-2</v>
      </c>
      <c r="L2055" t="s">
        <v>21</v>
      </c>
      <c r="M2055" s="4">
        <v>358680</v>
      </c>
      <c r="N2055" s="3">
        <v>1117.7007000000001</v>
      </c>
      <c r="O2055" t="s">
        <v>22</v>
      </c>
      <c r="P2055" t="s">
        <v>28</v>
      </c>
      <c r="Q2055" t="s">
        <v>24</v>
      </c>
      <c r="R2055" t="s">
        <v>45</v>
      </c>
      <c r="S2055">
        <v>4</v>
      </c>
    </row>
    <row r="2056" spans="1:19" x14ac:dyDescent="0.3">
      <c r="A2056" s="1">
        <v>43952</v>
      </c>
      <c r="B2056">
        <v>2020</v>
      </c>
      <c r="C2056" t="s">
        <v>29</v>
      </c>
      <c r="D2056" s="4">
        <v>306460</v>
      </c>
      <c r="E2056" s="2">
        <v>300000</v>
      </c>
      <c r="F2056" t="s">
        <v>19</v>
      </c>
      <c r="G2056" t="s">
        <v>20</v>
      </c>
      <c r="H2056">
        <v>3</v>
      </c>
      <c r="I2056">
        <v>3</v>
      </c>
      <c r="J2056">
        <v>1057</v>
      </c>
      <c r="K2056" s="5">
        <v>1.0254394999999999E-2</v>
      </c>
      <c r="L2056" t="s">
        <v>21</v>
      </c>
      <c r="M2056" s="4">
        <v>-6460</v>
      </c>
      <c r="N2056" s="3">
        <v>283.82209999999998</v>
      </c>
      <c r="O2056" t="s">
        <v>33</v>
      </c>
      <c r="P2056" t="s">
        <v>24</v>
      </c>
      <c r="Q2056" t="s">
        <v>24</v>
      </c>
      <c r="R2056" t="s">
        <v>47</v>
      </c>
      <c r="S2056">
        <v>5</v>
      </c>
    </row>
    <row r="2057" spans="1:19" x14ac:dyDescent="0.3">
      <c r="A2057" s="1">
        <v>43953</v>
      </c>
      <c r="B2057">
        <v>2020</v>
      </c>
      <c r="C2057" t="s">
        <v>52</v>
      </c>
      <c r="D2057" s="4">
        <v>116480</v>
      </c>
      <c r="E2057" s="2">
        <v>200000</v>
      </c>
      <c r="F2057" t="s">
        <v>19</v>
      </c>
      <c r="G2057" t="s">
        <v>20</v>
      </c>
      <c r="H2057">
        <v>3</v>
      </c>
      <c r="I2057">
        <v>3</v>
      </c>
      <c r="J2057">
        <v>1009</v>
      </c>
      <c r="K2057" s="5">
        <v>1.0254394999999999E-2</v>
      </c>
      <c r="L2057" t="s">
        <v>21</v>
      </c>
      <c r="M2057" s="4">
        <v>83520</v>
      </c>
      <c r="N2057" s="3">
        <v>198.21610000000001</v>
      </c>
      <c r="O2057" t="s">
        <v>22</v>
      </c>
      <c r="P2057" t="s">
        <v>24</v>
      </c>
      <c r="Q2057" t="s">
        <v>24</v>
      </c>
      <c r="R2057" t="s">
        <v>47</v>
      </c>
      <c r="S2057">
        <v>5</v>
      </c>
    </row>
    <row r="2058" spans="1:19" x14ac:dyDescent="0.3">
      <c r="A2058" s="1">
        <v>43954</v>
      </c>
      <c r="B2058">
        <v>2020</v>
      </c>
      <c r="C2058" t="s">
        <v>29</v>
      </c>
      <c r="D2058" s="4">
        <v>157240</v>
      </c>
      <c r="E2058" s="2">
        <v>195600</v>
      </c>
      <c r="F2058" t="s">
        <v>19</v>
      </c>
      <c r="G2058" t="s">
        <v>20</v>
      </c>
      <c r="H2058">
        <v>3</v>
      </c>
      <c r="I2058">
        <v>2</v>
      </c>
      <c r="J2058">
        <v>1111.6589814177564</v>
      </c>
      <c r="K2058" s="5">
        <v>1.0254394999999999E-2</v>
      </c>
      <c r="L2058" t="s">
        <v>32</v>
      </c>
      <c r="M2058" s="4">
        <v>38360</v>
      </c>
      <c r="N2058" s="3">
        <v>175.95320000000001</v>
      </c>
      <c r="O2058" t="s">
        <v>22</v>
      </c>
      <c r="P2058" t="s">
        <v>23</v>
      </c>
      <c r="Q2058" t="s">
        <v>24</v>
      </c>
      <c r="R2058" t="s">
        <v>47</v>
      </c>
      <c r="S2058">
        <v>5</v>
      </c>
    </row>
    <row r="2059" spans="1:19" x14ac:dyDescent="0.3">
      <c r="A2059" s="1">
        <v>43955</v>
      </c>
      <c r="B2059">
        <v>2020</v>
      </c>
      <c r="C2059" t="s">
        <v>40</v>
      </c>
      <c r="D2059" s="4">
        <v>178430</v>
      </c>
      <c r="E2059" s="2">
        <v>275000</v>
      </c>
      <c r="F2059" t="s">
        <v>19</v>
      </c>
      <c r="G2059" t="s">
        <v>20</v>
      </c>
      <c r="H2059">
        <v>3</v>
      </c>
      <c r="I2059">
        <v>1</v>
      </c>
      <c r="J2059">
        <v>1111.6589814177564</v>
      </c>
      <c r="K2059" s="5">
        <v>1.0254394999999999E-2</v>
      </c>
      <c r="L2059" t="s">
        <v>32</v>
      </c>
      <c r="M2059" s="4">
        <v>96570</v>
      </c>
      <c r="N2059" s="3">
        <v>247.37799999999999</v>
      </c>
      <c r="O2059" t="s">
        <v>22</v>
      </c>
      <c r="P2059" t="s">
        <v>24</v>
      </c>
      <c r="Q2059" t="s">
        <v>24</v>
      </c>
      <c r="R2059" t="s">
        <v>47</v>
      </c>
      <c r="S2059">
        <v>5</v>
      </c>
    </row>
    <row r="2060" spans="1:19" x14ac:dyDescent="0.3">
      <c r="A2060" s="1">
        <v>43958</v>
      </c>
      <c r="B2060">
        <v>2020</v>
      </c>
      <c r="C2060" t="s">
        <v>29</v>
      </c>
      <c r="D2060" s="4">
        <v>280760</v>
      </c>
      <c r="E2060" s="2">
        <v>180000</v>
      </c>
      <c r="F2060" t="s">
        <v>19</v>
      </c>
      <c r="G2060" t="s">
        <v>20</v>
      </c>
      <c r="H2060">
        <v>3</v>
      </c>
      <c r="I2060">
        <v>3</v>
      </c>
      <c r="J2060">
        <v>906</v>
      </c>
      <c r="K2060" s="5">
        <v>1.0254394999999999E-2</v>
      </c>
      <c r="L2060" t="s">
        <v>32</v>
      </c>
      <c r="M2060" s="4">
        <v>-100760</v>
      </c>
      <c r="N2060" s="3">
        <v>198.6755</v>
      </c>
      <c r="O2060" t="s">
        <v>33</v>
      </c>
      <c r="P2060" t="s">
        <v>23</v>
      </c>
      <c r="Q2060" t="s">
        <v>24</v>
      </c>
      <c r="R2060" t="s">
        <v>47</v>
      </c>
      <c r="S2060">
        <v>5</v>
      </c>
    </row>
    <row r="2061" spans="1:19" x14ac:dyDescent="0.3">
      <c r="A2061" s="1">
        <v>43959</v>
      </c>
      <c r="B2061">
        <v>2020</v>
      </c>
      <c r="C2061" t="s">
        <v>26</v>
      </c>
      <c r="D2061" s="4">
        <v>208710</v>
      </c>
      <c r="E2061" s="2">
        <v>425500</v>
      </c>
      <c r="F2061" t="s">
        <v>30</v>
      </c>
      <c r="G2061" t="s">
        <v>31</v>
      </c>
      <c r="H2061">
        <v>4</v>
      </c>
      <c r="I2061">
        <v>3</v>
      </c>
      <c r="J2061">
        <v>1223</v>
      </c>
      <c r="K2061" s="5">
        <v>1.0254394999999999E-2</v>
      </c>
      <c r="L2061" t="s">
        <v>38</v>
      </c>
      <c r="M2061" s="4">
        <v>216790</v>
      </c>
      <c r="N2061" s="3">
        <v>347.91500000000002</v>
      </c>
      <c r="O2061" t="s">
        <v>22</v>
      </c>
      <c r="P2061" t="s">
        <v>24</v>
      </c>
      <c r="Q2061" t="s">
        <v>24</v>
      </c>
      <c r="R2061" t="s">
        <v>47</v>
      </c>
      <c r="S2061">
        <v>5</v>
      </c>
    </row>
    <row r="2062" spans="1:19" x14ac:dyDescent="0.3">
      <c r="A2062" s="1">
        <v>43960</v>
      </c>
      <c r="B2062">
        <v>2020</v>
      </c>
      <c r="C2062" t="s">
        <v>39</v>
      </c>
      <c r="D2062" s="4">
        <v>344960</v>
      </c>
      <c r="E2062" s="2">
        <v>625000</v>
      </c>
      <c r="F2062" t="s">
        <v>19</v>
      </c>
      <c r="G2062" t="s">
        <v>20</v>
      </c>
      <c r="H2062">
        <v>3</v>
      </c>
      <c r="I2062">
        <v>1</v>
      </c>
      <c r="J2062">
        <v>1084</v>
      </c>
      <c r="K2062" s="5">
        <v>1.0254394999999999E-2</v>
      </c>
      <c r="L2062" t="s">
        <v>21</v>
      </c>
      <c r="M2062" s="4">
        <v>280040</v>
      </c>
      <c r="N2062" s="3">
        <v>576.56830000000002</v>
      </c>
      <c r="O2062" t="s">
        <v>22</v>
      </c>
      <c r="P2062" t="s">
        <v>28</v>
      </c>
      <c r="Q2062" t="s">
        <v>24</v>
      </c>
      <c r="R2062" t="s">
        <v>47</v>
      </c>
      <c r="S2062">
        <v>5</v>
      </c>
    </row>
    <row r="2063" spans="1:19" x14ac:dyDescent="0.3">
      <c r="A2063" s="1">
        <v>43961</v>
      </c>
      <c r="B2063">
        <v>2020</v>
      </c>
      <c r="C2063" t="s">
        <v>26</v>
      </c>
      <c r="D2063" s="4">
        <v>262440</v>
      </c>
      <c r="E2063" s="2">
        <v>426500</v>
      </c>
      <c r="F2063" t="s">
        <v>19</v>
      </c>
      <c r="G2063" t="s">
        <v>20</v>
      </c>
      <c r="H2063">
        <v>3</v>
      </c>
      <c r="I2063">
        <v>1</v>
      </c>
      <c r="J2063">
        <v>948</v>
      </c>
      <c r="K2063" s="5">
        <v>1.0254394999999999E-2</v>
      </c>
      <c r="L2063" t="s">
        <v>21</v>
      </c>
      <c r="M2063" s="4">
        <v>164060</v>
      </c>
      <c r="N2063" s="3">
        <v>449.89449999999999</v>
      </c>
      <c r="O2063" t="s">
        <v>22</v>
      </c>
      <c r="P2063" t="s">
        <v>24</v>
      </c>
      <c r="Q2063" t="s">
        <v>24</v>
      </c>
      <c r="R2063" t="s">
        <v>47</v>
      </c>
      <c r="S2063">
        <v>5</v>
      </c>
    </row>
    <row r="2064" spans="1:19" x14ac:dyDescent="0.3">
      <c r="A2064" s="1">
        <v>43965</v>
      </c>
      <c r="B2064">
        <v>2020</v>
      </c>
      <c r="C2064" t="s">
        <v>26</v>
      </c>
      <c r="D2064" s="4">
        <v>515760</v>
      </c>
      <c r="E2064" s="2">
        <v>665000</v>
      </c>
      <c r="F2064" t="s">
        <v>19</v>
      </c>
      <c r="G2064" t="s">
        <v>20</v>
      </c>
      <c r="H2064">
        <v>3</v>
      </c>
      <c r="I2064">
        <v>1</v>
      </c>
      <c r="J2064">
        <v>1111.6589814177564</v>
      </c>
      <c r="K2064" s="5">
        <v>1.0254394999999999E-2</v>
      </c>
      <c r="L2064" t="s">
        <v>32</v>
      </c>
      <c r="M2064" s="4">
        <v>149240</v>
      </c>
      <c r="N2064" s="3">
        <v>598.20500000000004</v>
      </c>
      <c r="O2064" t="s">
        <v>22</v>
      </c>
      <c r="P2064" t="s">
        <v>28</v>
      </c>
      <c r="Q2064" t="s">
        <v>24</v>
      </c>
      <c r="R2064" t="s">
        <v>47</v>
      </c>
      <c r="S2064">
        <v>5</v>
      </c>
    </row>
    <row r="2065" spans="1:19" x14ac:dyDescent="0.3">
      <c r="A2065" s="1">
        <v>43966</v>
      </c>
      <c r="B2065">
        <v>2020</v>
      </c>
      <c r="C2065" t="s">
        <v>35</v>
      </c>
      <c r="D2065" s="4">
        <v>1128190</v>
      </c>
      <c r="E2065" s="2">
        <v>1865000</v>
      </c>
      <c r="F2065" t="s">
        <v>19</v>
      </c>
      <c r="G2065" t="s">
        <v>20</v>
      </c>
      <c r="H2065">
        <v>3</v>
      </c>
      <c r="I2065">
        <v>1</v>
      </c>
      <c r="J2065">
        <v>987</v>
      </c>
      <c r="K2065" s="5">
        <v>1.0254394999999999E-2</v>
      </c>
      <c r="L2065" t="s">
        <v>32</v>
      </c>
      <c r="M2065" s="4">
        <v>736810</v>
      </c>
      <c r="N2065" s="3">
        <v>1889.5643</v>
      </c>
      <c r="O2065" t="s">
        <v>22</v>
      </c>
      <c r="P2065" t="s">
        <v>28</v>
      </c>
      <c r="Q2065" t="s">
        <v>24</v>
      </c>
      <c r="R2065" t="s">
        <v>47</v>
      </c>
      <c r="S2065">
        <v>5</v>
      </c>
    </row>
    <row r="2066" spans="1:19" x14ac:dyDescent="0.3">
      <c r="A2066" s="1">
        <v>43967</v>
      </c>
      <c r="B2066">
        <v>2020</v>
      </c>
      <c r="C2066" t="s">
        <v>26</v>
      </c>
      <c r="D2066" s="4">
        <v>335480</v>
      </c>
      <c r="E2066" s="2">
        <v>600000</v>
      </c>
      <c r="F2066" t="s">
        <v>19</v>
      </c>
      <c r="G2066" t="s">
        <v>20</v>
      </c>
      <c r="H2066">
        <v>3</v>
      </c>
      <c r="I2066">
        <v>2</v>
      </c>
      <c r="J2066">
        <v>928</v>
      </c>
      <c r="K2066" s="5">
        <v>1.0254394999999999E-2</v>
      </c>
      <c r="L2066" t="s">
        <v>27</v>
      </c>
      <c r="M2066" s="4">
        <v>264520</v>
      </c>
      <c r="N2066" s="3">
        <v>646.55169999999998</v>
      </c>
      <c r="O2066" t="s">
        <v>22</v>
      </c>
      <c r="P2066" t="s">
        <v>28</v>
      </c>
      <c r="Q2066" t="s">
        <v>24</v>
      </c>
      <c r="R2066" t="s">
        <v>47</v>
      </c>
      <c r="S2066">
        <v>5</v>
      </c>
    </row>
    <row r="2067" spans="1:19" x14ac:dyDescent="0.3">
      <c r="A2067" s="1">
        <v>43968</v>
      </c>
      <c r="B2067">
        <v>2020</v>
      </c>
      <c r="C2067" t="s">
        <v>29</v>
      </c>
      <c r="D2067" s="4">
        <v>106120</v>
      </c>
      <c r="E2067" s="2">
        <v>167000</v>
      </c>
      <c r="F2067" t="s">
        <v>19</v>
      </c>
      <c r="G2067" t="s">
        <v>20</v>
      </c>
      <c r="H2067">
        <v>3</v>
      </c>
      <c r="I2067">
        <v>3</v>
      </c>
      <c r="J2067">
        <v>934</v>
      </c>
      <c r="K2067" s="5">
        <v>1.0254394999999999E-2</v>
      </c>
      <c r="L2067" t="s">
        <v>38</v>
      </c>
      <c r="M2067" s="4">
        <v>60880</v>
      </c>
      <c r="N2067" s="3">
        <v>178.80090000000001</v>
      </c>
      <c r="O2067" t="s">
        <v>22</v>
      </c>
      <c r="P2067" t="s">
        <v>23</v>
      </c>
      <c r="Q2067" t="s">
        <v>24</v>
      </c>
      <c r="R2067" t="s">
        <v>47</v>
      </c>
      <c r="S2067">
        <v>5</v>
      </c>
    </row>
    <row r="2068" spans="1:19" x14ac:dyDescent="0.3">
      <c r="A2068" s="1">
        <v>43969</v>
      </c>
      <c r="B2068">
        <v>2020</v>
      </c>
      <c r="C2068" t="s">
        <v>35</v>
      </c>
      <c r="D2068" s="4">
        <v>3642380</v>
      </c>
      <c r="E2068" s="2">
        <v>4250000</v>
      </c>
      <c r="F2068" t="s">
        <v>19</v>
      </c>
      <c r="G2068" t="s">
        <v>20</v>
      </c>
      <c r="H2068">
        <v>3</v>
      </c>
      <c r="I2068">
        <v>2</v>
      </c>
      <c r="J2068">
        <v>916</v>
      </c>
      <c r="K2068" s="5">
        <v>1.0254394999999999E-2</v>
      </c>
      <c r="L2068" t="s">
        <v>38</v>
      </c>
      <c r="M2068" s="4">
        <v>607620</v>
      </c>
      <c r="N2068" s="3">
        <v>4639.7380000000003</v>
      </c>
      <c r="O2068" t="s">
        <v>22</v>
      </c>
      <c r="P2068" t="s">
        <v>28</v>
      </c>
      <c r="Q2068" t="s">
        <v>24</v>
      </c>
      <c r="R2068" t="s">
        <v>47</v>
      </c>
      <c r="S2068">
        <v>5</v>
      </c>
    </row>
    <row r="2069" spans="1:19" x14ac:dyDescent="0.3">
      <c r="A2069" s="1">
        <v>43972</v>
      </c>
      <c r="B2069">
        <v>2020</v>
      </c>
      <c r="C2069" t="s">
        <v>29</v>
      </c>
      <c r="D2069" s="4">
        <v>159310</v>
      </c>
      <c r="E2069" s="2">
        <v>240000</v>
      </c>
      <c r="F2069" t="s">
        <v>36</v>
      </c>
      <c r="G2069" t="s">
        <v>37</v>
      </c>
      <c r="H2069">
        <v>6</v>
      </c>
      <c r="I2069">
        <v>5</v>
      </c>
      <c r="J2069">
        <v>2053</v>
      </c>
      <c r="K2069" s="5">
        <v>1.0254394999999999E-2</v>
      </c>
      <c r="L2069" t="s">
        <v>32</v>
      </c>
      <c r="M2069" s="4">
        <v>80690</v>
      </c>
      <c r="N2069" s="3">
        <v>116.9021</v>
      </c>
      <c r="O2069" t="s">
        <v>22</v>
      </c>
      <c r="P2069" t="s">
        <v>24</v>
      </c>
      <c r="Q2069" t="s">
        <v>34</v>
      </c>
      <c r="R2069" t="s">
        <v>47</v>
      </c>
      <c r="S2069">
        <v>5</v>
      </c>
    </row>
    <row r="2070" spans="1:19" x14ac:dyDescent="0.3">
      <c r="A2070" s="1">
        <v>43973</v>
      </c>
      <c r="B2070">
        <v>2020</v>
      </c>
      <c r="C2070" t="s">
        <v>35</v>
      </c>
      <c r="D2070" s="4">
        <v>1224230</v>
      </c>
      <c r="E2070" s="2">
        <v>2495000</v>
      </c>
      <c r="F2070" t="s">
        <v>19</v>
      </c>
      <c r="G2070" t="s">
        <v>20</v>
      </c>
      <c r="H2070">
        <v>3</v>
      </c>
      <c r="I2070">
        <v>2</v>
      </c>
      <c r="J2070">
        <v>956</v>
      </c>
      <c r="K2070" s="5">
        <v>1.0254394999999999E-2</v>
      </c>
      <c r="L2070" t="s">
        <v>32</v>
      </c>
      <c r="M2070" s="4">
        <v>1270770</v>
      </c>
      <c r="N2070" s="3">
        <v>2609.8326000000002</v>
      </c>
      <c r="O2070" t="s">
        <v>22</v>
      </c>
      <c r="P2070" t="s">
        <v>28</v>
      </c>
      <c r="Q2070" t="s">
        <v>24</v>
      </c>
      <c r="R2070" t="s">
        <v>47</v>
      </c>
      <c r="S2070">
        <v>5</v>
      </c>
    </row>
    <row r="2071" spans="1:19" x14ac:dyDescent="0.3">
      <c r="A2071" s="1">
        <v>43974</v>
      </c>
      <c r="B2071">
        <v>2020</v>
      </c>
      <c r="C2071" t="s">
        <v>39</v>
      </c>
      <c r="D2071" s="4">
        <v>354690</v>
      </c>
      <c r="E2071" s="2">
        <v>695000</v>
      </c>
      <c r="F2071" t="s">
        <v>19</v>
      </c>
      <c r="G2071" t="s">
        <v>20</v>
      </c>
      <c r="H2071">
        <v>3</v>
      </c>
      <c r="I2071">
        <v>1</v>
      </c>
      <c r="J2071">
        <v>1111.6589814177564</v>
      </c>
      <c r="K2071" s="5">
        <v>1.0254394999999999E-2</v>
      </c>
      <c r="L2071" t="s">
        <v>32</v>
      </c>
      <c r="M2071" s="4">
        <v>340310</v>
      </c>
      <c r="N2071" s="3">
        <v>625.19169999999997</v>
      </c>
      <c r="O2071" t="s">
        <v>22</v>
      </c>
      <c r="P2071" t="s">
        <v>28</v>
      </c>
      <c r="Q2071" t="s">
        <v>24</v>
      </c>
      <c r="R2071" t="s">
        <v>47</v>
      </c>
      <c r="S2071">
        <v>5</v>
      </c>
    </row>
    <row r="2072" spans="1:19" x14ac:dyDescent="0.3">
      <c r="A2072" s="1">
        <v>43976</v>
      </c>
      <c r="B2072">
        <v>2020</v>
      </c>
      <c r="C2072" t="s">
        <v>29</v>
      </c>
      <c r="D2072" s="4">
        <v>88830</v>
      </c>
      <c r="E2072" s="2">
        <v>165000</v>
      </c>
      <c r="F2072" t="s">
        <v>19</v>
      </c>
      <c r="G2072" t="s">
        <v>20</v>
      </c>
      <c r="H2072">
        <v>3</v>
      </c>
      <c r="I2072">
        <v>1</v>
      </c>
      <c r="J2072">
        <v>1017</v>
      </c>
      <c r="K2072" s="5">
        <v>1.0254394999999999E-2</v>
      </c>
      <c r="L2072" t="s">
        <v>21</v>
      </c>
      <c r="M2072" s="4">
        <v>76170</v>
      </c>
      <c r="N2072" s="3">
        <v>162.24189999999999</v>
      </c>
      <c r="O2072" t="s">
        <v>22</v>
      </c>
      <c r="P2072" t="s">
        <v>23</v>
      </c>
      <c r="Q2072" t="s">
        <v>24</v>
      </c>
      <c r="R2072" t="s">
        <v>47</v>
      </c>
      <c r="S2072">
        <v>5</v>
      </c>
    </row>
    <row r="2073" spans="1:19" x14ac:dyDescent="0.3">
      <c r="A2073" s="1">
        <v>43980</v>
      </c>
      <c r="B2073">
        <v>2020</v>
      </c>
      <c r="C2073" t="s">
        <v>26</v>
      </c>
      <c r="D2073" s="4">
        <v>362800</v>
      </c>
      <c r="E2073" s="2">
        <v>595000</v>
      </c>
      <c r="F2073" t="s">
        <v>19</v>
      </c>
      <c r="G2073" t="s">
        <v>20</v>
      </c>
      <c r="H2073">
        <v>3</v>
      </c>
      <c r="I2073">
        <v>1</v>
      </c>
      <c r="J2073">
        <v>1089</v>
      </c>
      <c r="K2073" s="5">
        <v>1.0254394999999999E-2</v>
      </c>
      <c r="L2073" t="s">
        <v>21</v>
      </c>
      <c r="M2073" s="4">
        <v>232200</v>
      </c>
      <c r="N2073" s="3">
        <v>546.37279999999998</v>
      </c>
      <c r="O2073" t="s">
        <v>22</v>
      </c>
      <c r="P2073" t="s">
        <v>24</v>
      </c>
      <c r="Q2073" t="s">
        <v>24</v>
      </c>
      <c r="R2073" t="s">
        <v>47</v>
      </c>
      <c r="S2073">
        <v>5</v>
      </c>
    </row>
    <row r="2074" spans="1:19" x14ac:dyDescent="0.3">
      <c r="A2074" s="1">
        <v>43981</v>
      </c>
      <c r="B2074">
        <v>2020</v>
      </c>
      <c r="C2074" t="s">
        <v>52</v>
      </c>
      <c r="D2074" s="4">
        <v>309820</v>
      </c>
      <c r="E2074" s="2">
        <v>385000</v>
      </c>
      <c r="F2074" t="s">
        <v>19</v>
      </c>
      <c r="G2074" t="s">
        <v>20</v>
      </c>
      <c r="H2074">
        <v>3</v>
      </c>
      <c r="I2074">
        <v>3</v>
      </c>
      <c r="J2074">
        <v>962</v>
      </c>
      <c r="K2074" s="5">
        <v>1.0254394999999999E-2</v>
      </c>
      <c r="L2074" t="s">
        <v>38</v>
      </c>
      <c r="M2074" s="4">
        <v>75180</v>
      </c>
      <c r="N2074" s="3">
        <v>400.2079</v>
      </c>
      <c r="O2074" t="s">
        <v>22</v>
      </c>
      <c r="P2074" t="s">
        <v>24</v>
      </c>
      <c r="Q2074" t="s">
        <v>24</v>
      </c>
      <c r="R2074" t="s">
        <v>47</v>
      </c>
      <c r="S2074">
        <v>5</v>
      </c>
    </row>
    <row r="2075" spans="1:19" x14ac:dyDescent="0.3">
      <c r="A2075" s="1">
        <v>43983</v>
      </c>
      <c r="B2075">
        <v>2020</v>
      </c>
      <c r="C2075" t="s">
        <v>35</v>
      </c>
      <c r="D2075" s="4">
        <v>444584.20699999999</v>
      </c>
      <c r="E2075" s="2">
        <v>1075000</v>
      </c>
      <c r="F2075" t="s">
        <v>19</v>
      </c>
      <c r="G2075" t="s">
        <v>20</v>
      </c>
      <c r="H2075">
        <v>3</v>
      </c>
      <c r="I2075">
        <v>2</v>
      </c>
      <c r="J2075">
        <v>1024</v>
      </c>
      <c r="K2075" s="5">
        <v>1.0254394999999999E-2</v>
      </c>
      <c r="L2075" t="s">
        <v>27</v>
      </c>
      <c r="M2075" s="4">
        <v>630415.79299999995</v>
      </c>
      <c r="N2075" s="3">
        <v>1049.8046999999999</v>
      </c>
      <c r="O2075" t="s">
        <v>22</v>
      </c>
      <c r="P2075" t="s">
        <v>28</v>
      </c>
      <c r="Q2075" t="s">
        <v>24</v>
      </c>
      <c r="R2075" t="s">
        <v>48</v>
      </c>
      <c r="S2075">
        <v>6</v>
      </c>
    </row>
    <row r="2076" spans="1:19" x14ac:dyDescent="0.3">
      <c r="A2076" s="1">
        <v>43986</v>
      </c>
      <c r="B2076">
        <v>2020</v>
      </c>
      <c r="C2076" t="s">
        <v>52</v>
      </c>
      <c r="D2076" s="4">
        <v>186060</v>
      </c>
      <c r="E2076" s="2">
        <v>263000</v>
      </c>
      <c r="F2076" t="s">
        <v>19</v>
      </c>
      <c r="G2076" t="s">
        <v>20</v>
      </c>
      <c r="H2076">
        <v>3</v>
      </c>
      <c r="I2076">
        <v>2</v>
      </c>
      <c r="J2076">
        <v>911</v>
      </c>
      <c r="K2076" s="5">
        <v>1.0254394999999999E-2</v>
      </c>
      <c r="L2076" t="s">
        <v>21</v>
      </c>
      <c r="M2076" s="4">
        <v>76940</v>
      </c>
      <c r="N2076" s="3">
        <v>288.69369999999998</v>
      </c>
      <c r="O2076" t="s">
        <v>22</v>
      </c>
      <c r="P2076" t="s">
        <v>24</v>
      </c>
      <c r="Q2076" t="s">
        <v>24</v>
      </c>
      <c r="R2076" t="s">
        <v>48</v>
      </c>
      <c r="S2076">
        <v>6</v>
      </c>
    </row>
    <row r="2077" spans="1:19" x14ac:dyDescent="0.3">
      <c r="A2077" s="1">
        <v>43987</v>
      </c>
      <c r="B2077">
        <v>2020</v>
      </c>
      <c r="C2077" t="s">
        <v>39</v>
      </c>
      <c r="D2077" s="4">
        <v>310240</v>
      </c>
      <c r="E2077" s="2">
        <v>655000</v>
      </c>
      <c r="F2077" t="s">
        <v>19</v>
      </c>
      <c r="G2077" t="s">
        <v>20</v>
      </c>
      <c r="H2077">
        <v>3</v>
      </c>
      <c r="I2077">
        <v>2</v>
      </c>
      <c r="J2077">
        <v>917</v>
      </c>
      <c r="K2077" s="5">
        <v>1.0254394999999999E-2</v>
      </c>
      <c r="L2077" t="s">
        <v>32</v>
      </c>
      <c r="M2077" s="4">
        <v>344760</v>
      </c>
      <c r="N2077" s="3">
        <v>714.28570000000002</v>
      </c>
      <c r="O2077" t="s">
        <v>22</v>
      </c>
      <c r="P2077" t="s">
        <v>28</v>
      </c>
      <c r="Q2077" t="s">
        <v>24</v>
      </c>
      <c r="R2077" t="s">
        <v>48</v>
      </c>
      <c r="S2077">
        <v>6</v>
      </c>
    </row>
    <row r="2078" spans="1:19" x14ac:dyDescent="0.3">
      <c r="A2078" s="1">
        <v>43989</v>
      </c>
      <c r="B2078">
        <v>2020</v>
      </c>
      <c r="C2078" t="s">
        <v>26</v>
      </c>
      <c r="D2078" s="4">
        <v>269750</v>
      </c>
      <c r="E2078" s="2">
        <v>406000</v>
      </c>
      <c r="F2078" t="s">
        <v>19</v>
      </c>
      <c r="G2078" t="s">
        <v>20</v>
      </c>
      <c r="H2078">
        <v>3</v>
      </c>
      <c r="I2078">
        <v>2</v>
      </c>
      <c r="J2078">
        <v>1111.6589814177564</v>
      </c>
      <c r="K2078" s="5">
        <v>1.0254394999999999E-2</v>
      </c>
      <c r="L2078" t="s">
        <v>21</v>
      </c>
      <c r="M2078" s="4">
        <v>136250</v>
      </c>
      <c r="N2078" s="3">
        <v>365.2199</v>
      </c>
      <c r="O2078" t="s">
        <v>22</v>
      </c>
      <c r="P2078" t="s">
        <v>24</v>
      </c>
      <c r="Q2078" t="s">
        <v>24</v>
      </c>
      <c r="R2078" t="s">
        <v>48</v>
      </c>
      <c r="S2078">
        <v>6</v>
      </c>
    </row>
    <row r="2079" spans="1:19" x14ac:dyDescent="0.3">
      <c r="A2079" s="1">
        <v>43990</v>
      </c>
      <c r="B2079">
        <v>2020</v>
      </c>
      <c r="C2079" t="s">
        <v>29</v>
      </c>
      <c r="D2079" s="4">
        <v>444584.20699999999</v>
      </c>
      <c r="E2079" s="2">
        <v>163200</v>
      </c>
      <c r="F2079" t="s">
        <v>19</v>
      </c>
      <c r="G2079" t="s">
        <v>20</v>
      </c>
      <c r="H2079">
        <v>3</v>
      </c>
      <c r="I2079">
        <v>2</v>
      </c>
      <c r="J2079">
        <v>906</v>
      </c>
      <c r="K2079" s="5">
        <v>1.0254394999999999E-2</v>
      </c>
      <c r="L2079" t="s">
        <v>21</v>
      </c>
      <c r="M2079" s="4">
        <v>-281384.20699999999</v>
      </c>
      <c r="N2079" s="3">
        <v>180.13249999999999</v>
      </c>
      <c r="O2079" t="s">
        <v>33</v>
      </c>
      <c r="P2079" t="s">
        <v>23</v>
      </c>
      <c r="Q2079" t="s">
        <v>24</v>
      </c>
      <c r="R2079" t="s">
        <v>48</v>
      </c>
      <c r="S2079">
        <v>6</v>
      </c>
    </row>
    <row r="2080" spans="1:19" x14ac:dyDescent="0.3">
      <c r="A2080" s="1">
        <v>43993</v>
      </c>
      <c r="B2080">
        <v>2020</v>
      </c>
      <c r="C2080" t="s">
        <v>39</v>
      </c>
      <c r="D2080" s="4">
        <v>310380</v>
      </c>
      <c r="E2080" s="2">
        <v>535000</v>
      </c>
      <c r="F2080" t="s">
        <v>19</v>
      </c>
      <c r="G2080" t="s">
        <v>20</v>
      </c>
      <c r="H2080">
        <v>3</v>
      </c>
      <c r="I2080">
        <v>2</v>
      </c>
      <c r="J2080">
        <v>904</v>
      </c>
      <c r="K2080" s="5">
        <v>1.0254394999999999E-2</v>
      </c>
      <c r="L2080" t="s">
        <v>21</v>
      </c>
      <c r="M2080" s="4">
        <v>224620</v>
      </c>
      <c r="N2080" s="3">
        <v>591.81420000000003</v>
      </c>
      <c r="O2080" t="s">
        <v>22</v>
      </c>
      <c r="P2080" t="s">
        <v>24</v>
      </c>
      <c r="Q2080" t="s">
        <v>24</v>
      </c>
      <c r="R2080" t="s">
        <v>48</v>
      </c>
      <c r="S2080">
        <v>6</v>
      </c>
    </row>
    <row r="2081" spans="1:19" x14ac:dyDescent="0.3">
      <c r="A2081" s="1">
        <v>43995</v>
      </c>
      <c r="B2081">
        <v>2020</v>
      </c>
      <c r="C2081" t="s">
        <v>52</v>
      </c>
      <c r="D2081" s="4">
        <v>157150</v>
      </c>
      <c r="E2081" s="2">
        <v>255000</v>
      </c>
      <c r="F2081" t="s">
        <v>19</v>
      </c>
      <c r="G2081" t="s">
        <v>20</v>
      </c>
      <c r="H2081">
        <v>3</v>
      </c>
      <c r="I2081">
        <v>3</v>
      </c>
      <c r="J2081">
        <v>950</v>
      </c>
      <c r="K2081" s="5">
        <v>1.0254394999999999E-2</v>
      </c>
      <c r="L2081" t="s">
        <v>27</v>
      </c>
      <c r="M2081" s="4">
        <v>97850</v>
      </c>
      <c r="N2081" s="3">
        <v>268.42110000000002</v>
      </c>
      <c r="O2081" t="s">
        <v>22</v>
      </c>
      <c r="P2081" t="s">
        <v>24</v>
      </c>
      <c r="Q2081" t="s">
        <v>24</v>
      </c>
      <c r="R2081" t="s">
        <v>48</v>
      </c>
      <c r="S2081">
        <v>6</v>
      </c>
    </row>
    <row r="2082" spans="1:19" x14ac:dyDescent="0.3">
      <c r="A2082" s="1">
        <v>43996</v>
      </c>
      <c r="B2082">
        <v>2020</v>
      </c>
      <c r="C2082" t="s">
        <v>52</v>
      </c>
      <c r="D2082" s="4">
        <v>149800</v>
      </c>
      <c r="E2082" s="2">
        <v>250000</v>
      </c>
      <c r="F2082" t="s">
        <v>19</v>
      </c>
      <c r="G2082" t="s">
        <v>20</v>
      </c>
      <c r="H2082">
        <v>3</v>
      </c>
      <c r="I2082">
        <v>1</v>
      </c>
      <c r="J2082">
        <v>959</v>
      </c>
      <c r="K2082" s="5">
        <v>1.0254394999999999E-2</v>
      </c>
      <c r="L2082" t="s">
        <v>27</v>
      </c>
      <c r="M2082" s="4">
        <v>100200</v>
      </c>
      <c r="N2082" s="3">
        <v>260.68819999999999</v>
      </c>
      <c r="O2082" t="s">
        <v>22</v>
      </c>
      <c r="P2082" t="s">
        <v>24</v>
      </c>
      <c r="Q2082" t="s">
        <v>24</v>
      </c>
      <c r="R2082" t="s">
        <v>48</v>
      </c>
      <c r="S2082">
        <v>6</v>
      </c>
    </row>
    <row r="2083" spans="1:19" x14ac:dyDescent="0.3">
      <c r="A2083" s="1">
        <v>43997</v>
      </c>
      <c r="B2083">
        <v>2020</v>
      </c>
      <c r="C2083" t="s">
        <v>26</v>
      </c>
      <c r="D2083" s="4">
        <v>286690</v>
      </c>
      <c r="E2083" s="2">
        <v>414000</v>
      </c>
      <c r="F2083" t="s">
        <v>19</v>
      </c>
      <c r="G2083" t="s">
        <v>20</v>
      </c>
      <c r="H2083">
        <v>3</v>
      </c>
      <c r="I2083">
        <v>1</v>
      </c>
      <c r="J2083">
        <v>903</v>
      </c>
      <c r="K2083" s="5">
        <v>1.0254394999999999E-2</v>
      </c>
      <c r="L2083" t="s">
        <v>38</v>
      </c>
      <c r="M2083" s="4">
        <v>127310</v>
      </c>
      <c r="N2083" s="3">
        <v>458.47179999999997</v>
      </c>
      <c r="O2083" t="s">
        <v>22</v>
      </c>
      <c r="P2083" t="s">
        <v>24</v>
      </c>
      <c r="Q2083" t="s">
        <v>24</v>
      </c>
      <c r="R2083" t="s">
        <v>48</v>
      </c>
      <c r="S2083">
        <v>6</v>
      </c>
    </row>
    <row r="2084" spans="1:19" x14ac:dyDescent="0.3">
      <c r="A2084" s="1">
        <v>44001</v>
      </c>
      <c r="B2084">
        <v>2020</v>
      </c>
      <c r="C2084" t="s">
        <v>29</v>
      </c>
      <c r="D2084" s="4">
        <v>206520</v>
      </c>
      <c r="E2084" s="2">
        <v>405000</v>
      </c>
      <c r="F2084" t="s">
        <v>36</v>
      </c>
      <c r="G2084" t="s">
        <v>37</v>
      </c>
      <c r="H2084">
        <v>6</v>
      </c>
      <c r="I2084">
        <v>6</v>
      </c>
      <c r="J2084">
        <v>2177</v>
      </c>
      <c r="K2084" s="5">
        <v>1.0254394999999999E-2</v>
      </c>
      <c r="L2084" t="s">
        <v>32</v>
      </c>
      <c r="M2084" s="4">
        <v>198480</v>
      </c>
      <c r="N2084" s="3">
        <v>186.03579999999999</v>
      </c>
      <c r="O2084" t="s">
        <v>22</v>
      </c>
      <c r="P2084" t="s">
        <v>24</v>
      </c>
      <c r="Q2084" t="s">
        <v>34</v>
      </c>
      <c r="R2084" t="s">
        <v>48</v>
      </c>
      <c r="S2084">
        <v>6</v>
      </c>
    </row>
    <row r="2085" spans="1:19" x14ac:dyDescent="0.3">
      <c r="A2085" s="1">
        <v>44002</v>
      </c>
      <c r="B2085">
        <v>2020</v>
      </c>
      <c r="C2085" t="s">
        <v>39</v>
      </c>
      <c r="D2085" s="4">
        <v>336700</v>
      </c>
      <c r="E2085" s="2">
        <v>495000</v>
      </c>
      <c r="F2085" t="s">
        <v>19</v>
      </c>
      <c r="G2085" t="s">
        <v>20</v>
      </c>
      <c r="H2085">
        <v>3</v>
      </c>
      <c r="I2085">
        <v>1</v>
      </c>
      <c r="J2085">
        <v>968</v>
      </c>
      <c r="K2085" s="5">
        <v>1.0254394999999999E-2</v>
      </c>
      <c r="L2085" t="s">
        <v>38</v>
      </c>
      <c r="M2085" s="4">
        <v>158300</v>
      </c>
      <c r="N2085" s="3">
        <v>511.36360000000002</v>
      </c>
      <c r="O2085" t="s">
        <v>22</v>
      </c>
      <c r="P2085" t="s">
        <v>24</v>
      </c>
      <c r="Q2085" t="s">
        <v>24</v>
      </c>
      <c r="R2085" t="s">
        <v>48</v>
      </c>
      <c r="S2085">
        <v>6</v>
      </c>
    </row>
    <row r="2086" spans="1:19" x14ac:dyDescent="0.3">
      <c r="A2086" s="1">
        <v>44003</v>
      </c>
      <c r="B2086">
        <v>2020</v>
      </c>
      <c r="C2086" t="s">
        <v>52</v>
      </c>
      <c r="D2086" s="4">
        <v>216650</v>
      </c>
      <c r="E2086" s="2">
        <v>329900</v>
      </c>
      <c r="F2086" t="s">
        <v>19</v>
      </c>
      <c r="G2086" t="s">
        <v>20</v>
      </c>
      <c r="H2086">
        <v>3</v>
      </c>
      <c r="I2086">
        <v>3</v>
      </c>
      <c r="J2086">
        <v>1060</v>
      </c>
      <c r="K2086" s="5">
        <v>1.0254394999999999E-2</v>
      </c>
      <c r="L2086" t="s">
        <v>38</v>
      </c>
      <c r="M2086" s="4">
        <v>113250</v>
      </c>
      <c r="N2086" s="3">
        <v>311.22640000000001</v>
      </c>
      <c r="O2086" t="s">
        <v>22</v>
      </c>
      <c r="P2086" t="s">
        <v>24</v>
      </c>
      <c r="Q2086" t="s">
        <v>24</v>
      </c>
      <c r="R2086" t="s">
        <v>48</v>
      </c>
      <c r="S2086">
        <v>6</v>
      </c>
    </row>
    <row r="2087" spans="1:19" x14ac:dyDescent="0.3">
      <c r="A2087" s="1">
        <v>44004</v>
      </c>
      <c r="B2087">
        <v>2020</v>
      </c>
      <c r="C2087" t="s">
        <v>35</v>
      </c>
      <c r="D2087" s="4">
        <v>444584.20699999999</v>
      </c>
      <c r="E2087" s="2">
        <v>572500</v>
      </c>
      <c r="F2087" t="s">
        <v>19</v>
      </c>
      <c r="G2087" t="s">
        <v>20</v>
      </c>
      <c r="H2087">
        <v>3</v>
      </c>
      <c r="I2087">
        <v>1</v>
      </c>
      <c r="J2087">
        <v>920</v>
      </c>
      <c r="K2087" s="5">
        <v>1.0254394999999999E-2</v>
      </c>
      <c r="L2087" t="s">
        <v>27</v>
      </c>
      <c r="M2087" s="4">
        <v>127915.79300000001</v>
      </c>
      <c r="N2087" s="3">
        <v>622.2826</v>
      </c>
      <c r="O2087" t="s">
        <v>22</v>
      </c>
      <c r="P2087" t="s">
        <v>24</v>
      </c>
      <c r="Q2087" t="s">
        <v>24</v>
      </c>
      <c r="R2087" t="s">
        <v>48</v>
      </c>
      <c r="S2087">
        <v>6</v>
      </c>
    </row>
    <row r="2088" spans="1:19" x14ac:dyDescent="0.3">
      <c r="A2088" s="1">
        <v>44007</v>
      </c>
      <c r="B2088">
        <v>2020</v>
      </c>
      <c r="C2088" t="s">
        <v>52</v>
      </c>
      <c r="D2088" s="4">
        <v>260120</v>
      </c>
      <c r="E2088" s="2">
        <v>430000</v>
      </c>
      <c r="F2088" t="s">
        <v>19</v>
      </c>
      <c r="G2088" t="s">
        <v>20</v>
      </c>
      <c r="H2088">
        <v>3</v>
      </c>
      <c r="I2088">
        <v>3</v>
      </c>
      <c r="J2088">
        <v>1051</v>
      </c>
      <c r="K2088" s="5">
        <v>1.0254394999999999E-2</v>
      </c>
      <c r="L2088" t="s">
        <v>32</v>
      </c>
      <c r="M2088" s="4">
        <v>169880</v>
      </c>
      <c r="N2088" s="3">
        <v>409.13420000000002</v>
      </c>
      <c r="O2088" t="s">
        <v>22</v>
      </c>
      <c r="P2088" t="s">
        <v>24</v>
      </c>
      <c r="Q2088" t="s">
        <v>24</v>
      </c>
      <c r="R2088" t="s">
        <v>48</v>
      </c>
      <c r="S2088">
        <v>6</v>
      </c>
    </row>
    <row r="2089" spans="1:19" x14ac:dyDescent="0.3">
      <c r="A2089" s="1">
        <v>44008</v>
      </c>
      <c r="B2089">
        <v>2020</v>
      </c>
      <c r="C2089" t="s">
        <v>26</v>
      </c>
      <c r="D2089" s="4">
        <v>326630</v>
      </c>
      <c r="E2089" s="2">
        <v>531611</v>
      </c>
      <c r="F2089" t="s">
        <v>19</v>
      </c>
      <c r="G2089" t="s">
        <v>20</v>
      </c>
      <c r="H2089">
        <v>3</v>
      </c>
      <c r="I2089">
        <v>2</v>
      </c>
      <c r="J2089">
        <v>1111.6589814177564</v>
      </c>
      <c r="K2089" s="5">
        <v>1.0254394999999999E-2</v>
      </c>
      <c r="L2089" t="s">
        <v>38</v>
      </c>
      <c r="M2089" s="4">
        <v>204981</v>
      </c>
      <c r="N2089" s="3">
        <v>478.21409999999997</v>
      </c>
      <c r="O2089" t="s">
        <v>22</v>
      </c>
      <c r="P2089" t="s">
        <v>24</v>
      </c>
      <c r="Q2089" t="s">
        <v>24</v>
      </c>
      <c r="R2089" t="s">
        <v>48</v>
      </c>
      <c r="S2089">
        <v>6</v>
      </c>
    </row>
    <row r="2090" spans="1:19" x14ac:dyDescent="0.3">
      <c r="A2090" s="1">
        <v>44009</v>
      </c>
      <c r="B2090">
        <v>2020</v>
      </c>
      <c r="C2090" t="s">
        <v>26</v>
      </c>
      <c r="D2090" s="4">
        <v>252950</v>
      </c>
      <c r="E2090" s="2">
        <v>360000</v>
      </c>
      <c r="F2090" t="s">
        <v>19</v>
      </c>
      <c r="G2090" t="s">
        <v>20</v>
      </c>
      <c r="H2090">
        <v>3</v>
      </c>
      <c r="I2090">
        <v>2</v>
      </c>
      <c r="J2090">
        <v>909</v>
      </c>
      <c r="K2090" s="5">
        <v>1.0254394999999999E-2</v>
      </c>
      <c r="L2090" t="s">
        <v>32</v>
      </c>
      <c r="M2090" s="4">
        <v>107050</v>
      </c>
      <c r="N2090" s="3">
        <v>396.03960000000001</v>
      </c>
      <c r="O2090" t="s">
        <v>22</v>
      </c>
      <c r="P2090" t="s">
        <v>24</v>
      </c>
      <c r="Q2090" t="s">
        <v>24</v>
      </c>
      <c r="R2090" t="s">
        <v>48</v>
      </c>
      <c r="S2090">
        <v>6</v>
      </c>
    </row>
    <row r="2091" spans="1:19" x14ac:dyDescent="0.3">
      <c r="A2091" s="1">
        <v>44010</v>
      </c>
      <c r="B2091">
        <v>2020</v>
      </c>
      <c r="C2091" t="s">
        <v>40</v>
      </c>
      <c r="D2091" s="4">
        <v>524370</v>
      </c>
      <c r="E2091" s="2">
        <v>775000</v>
      </c>
      <c r="F2091" t="s">
        <v>19</v>
      </c>
      <c r="G2091" t="s">
        <v>20</v>
      </c>
      <c r="H2091">
        <v>3</v>
      </c>
      <c r="I2091">
        <v>2</v>
      </c>
      <c r="J2091">
        <v>1020</v>
      </c>
      <c r="K2091" s="5">
        <v>1.0254394999999999E-2</v>
      </c>
      <c r="L2091" t="s">
        <v>27</v>
      </c>
      <c r="M2091" s="4">
        <v>250630</v>
      </c>
      <c r="N2091" s="3">
        <v>759.8039</v>
      </c>
      <c r="O2091" t="s">
        <v>22</v>
      </c>
      <c r="P2091" t="s">
        <v>28</v>
      </c>
      <c r="Q2091" t="s">
        <v>24</v>
      </c>
      <c r="R2091" t="s">
        <v>48</v>
      </c>
      <c r="S2091">
        <v>6</v>
      </c>
    </row>
    <row r="2092" spans="1:19" x14ac:dyDescent="0.3">
      <c r="A2092" s="1">
        <v>44011</v>
      </c>
      <c r="B2092">
        <v>2020</v>
      </c>
      <c r="C2092" t="s">
        <v>52</v>
      </c>
      <c r="D2092" s="4">
        <v>209020</v>
      </c>
      <c r="E2092" s="2">
        <v>309900</v>
      </c>
      <c r="F2092" t="s">
        <v>19</v>
      </c>
      <c r="G2092" t="s">
        <v>20</v>
      </c>
      <c r="H2092">
        <v>3</v>
      </c>
      <c r="I2092">
        <v>2</v>
      </c>
      <c r="J2092">
        <v>1099</v>
      </c>
      <c r="K2092" s="5">
        <v>1.0254394999999999E-2</v>
      </c>
      <c r="L2092" t="s">
        <v>32</v>
      </c>
      <c r="M2092" s="4">
        <v>100880</v>
      </c>
      <c r="N2092" s="3">
        <v>281.98360000000002</v>
      </c>
      <c r="O2092" t="s">
        <v>22</v>
      </c>
      <c r="P2092" t="s">
        <v>24</v>
      </c>
      <c r="Q2092" t="s">
        <v>24</v>
      </c>
      <c r="R2092" t="s">
        <v>48</v>
      </c>
      <c r="S2092">
        <v>6</v>
      </c>
    </row>
    <row r="2093" spans="1:19" x14ac:dyDescent="0.3">
      <c r="A2093" s="1">
        <v>44014</v>
      </c>
      <c r="B2093">
        <v>2020</v>
      </c>
      <c r="C2093" t="s">
        <v>52</v>
      </c>
      <c r="D2093" s="4">
        <v>151200</v>
      </c>
      <c r="E2093" s="2">
        <v>265000</v>
      </c>
      <c r="F2093" t="s">
        <v>19</v>
      </c>
      <c r="G2093" t="s">
        <v>20</v>
      </c>
      <c r="H2093">
        <v>3</v>
      </c>
      <c r="I2093">
        <v>3</v>
      </c>
      <c r="J2093">
        <v>924</v>
      </c>
      <c r="K2093" s="5">
        <v>1.0254394999999999E-2</v>
      </c>
      <c r="L2093" t="s">
        <v>27</v>
      </c>
      <c r="M2093" s="4">
        <v>113800</v>
      </c>
      <c r="N2093" s="3">
        <v>286.79649999999998</v>
      </c>
      <c r="O2093" t="s">
        <v>22</v>
      </c>
      <c r="P2093" t="s">
        <v>24</v>
      </c>
      <c r="Q2093" t="s">
        <v>24</v>
      </c>
      <c r="R2093" t="s">
        <v>49</v>
      </c>
      <c r="S2093">
        <v>7</v>
      </c>
    </row>
    <row r="2094" spans="1:19" x14ac:dyDescent="0.3">
      <c r="A2094" s="1">
        <v>44015</v>
      </c>
      <c r="B2094">
        <v>2020</v>
      </c>
      <c r="C2094" t="s">
        <v>52</v>
      </c>
      <c r="D2094" s="4">
        <v>251930</v>
      </c>
      <c r="E2094" s="2">
        <v>435000</v>
      </c>
      <c r="F2094" t="s">
        <v>19</v>
      </c>
      <c r="G2094" t="s">
        <v>20</v>
      </c>
      <c r="H2094">
        <v>3</v>
      </c>
      <c r="I2094">
        <v>3</v>
      </c>
      <c r="J2094">
        <v>958</v>
      </c>
      <c r="K2094" s="5">
        <v>1.0254394999999999E-2</v>
      </c>
      <c r="L2094" t="s">
        <v>32</v>
      </c>
      <c r="M2094" s="4">
        <v>183070</v>
      </c>
      <c r="N2094" s="3">
        <v>454.07100000000003</v>
      </c>
      <c r="O2094" t="s">
        <v>22</v>
      </c>
      <c r="P2094" t="s">
        <v>24</v>
      </c>
      <c r="Q2094" t="s">
        <v>24</v>
      </c>
      <c r="R2094" t="s">
        <v>49</v>
      </c>
      <c r="S2094">
        <v>7</v>
      </c>
    </row>
    <row r="2095" spans="1:19" x14ac:dyDescent="0.3">
      <c r="A2095" s="1">
        <v>44017</v>
      </c>
      <c r="B2095">
        <v>2020</v>
      </c>
      <c r="C2095" t="s">
        <v>39</v>
      </c>
      <c r="D2095" s="4">
        <v>825160</v>
      </c>
      <c r="E2095" s="2">
        <v>1075500</v>
      </c>
      <c r="F2095" t="s">
        <v>19</v>
      </c>
      <c r="G2095" t="s">
        <v>20</v>
      </c>
      <c r="H2095">
        <v>3</v>
      </c>
      <c r="I2095">
        <v>3</v>
      </c>
      <c r="J2095">
        <v>1071</v>
      </c>
      <c r="K2095" s="5">
        <v>1.0254394999999999E-2</v>
      </c>
      <c r="L2095" t="s">
        <v>27</v>
      </c>
      <c r="M2095" s="4">
        <v>250340</v>
      </c>
      <c r="N2095" s="3">
        <v>1004.2017</v>
      </c>
      <c r="O2095" t="s">
        <v>22</v>
      </c>
      <c r="P2095" t="s">
        <v>28</v>
      </c>
      <c r="Q2095" t="s">
        <v>24</v>
      </c>
      <c r="R2095" t="s">
        <v>49</v>
      </c>
      <c r="S2095">
        <v>7</v>
      </c>
    </row>
    <row r="2096" spans="1:19" x14ac:dyDescent="0.3">
      <c r="A2096" s="1">
        <v>44018</v>
      </c>
      <c r="B2096">
        <v>2020</v>
      </c>
      <c r="C2096" t="s">
        <v>35</v>
      </c>
      <c r="D2096" s="4">
        <v>2688070</v>
      </c>
      <c r="E2096" s="2">
        <v>5230000</v>
      </c>
      <c r="F2096" t="s">
        <v>19</v>
      </c>
      <c r="G2096" t="s">
        <v>20</v>
      </c>
      <c r="H2096">
        <v>3</v>
      </c>
      <c r="I2096">
        <v>3</v>
      </c>
      <c r="J2096">
        <v>1086</v>
      </c>
      <c r="K2096" s="5">
        <v>1.0254394999999999E-2</v>
      </c>
      <c r="L2096" t="s">
        <v>38</v>
      </c>
      <c r="M2096" s="4">
        <v>2541930</v>
      </c>
      <c r="N2096" s="3">
        <v>4815.8379000000004</v>
      </c>
      <c r="O2096" t="s">
        <v>22</v>
      </c>
      <c r="P2096" t="s">
        <v>28</v>
      </c>
      <c r="Q2096" t="s">
        <v>24</v>
      </c>
      <c r="R2096" t="s">
        <v>49</v>
      </c>
      <c r="S2096">
        <v>7</v>
      </c>
    </row>
    <row r="2097" spans="1:19" x14ac:dyDescent="0.3">
      <c r="A2097" s="1">
        <v>44019</v>
      </c>
      <c r="B2097">
        <v>2020</v>
      </c>
      <c r="C2097" t="s">
        <v>35</v>
      </c>
      <c r="D2097" s="4">
        <v>1531040</v>
      </c>
      <c r="E2097" s="2">
        <v>1760000</v>
      </c>
      <c r="F2097" t="s">
        <v>19</v>
      </c>
      <c r="G2097" t="s">
        <v>20</v>
      </c>
      <c r="H2097">
        <v>3</v>
      </c>
      <c r="I2097">
        <v>3</v>
      </c>
      <c r="J2097">
        <v>1080</v>
      </c>
      <c r="K2097" s="5">
        <v>1.0254394999999999E-2</v>
      </c>
      <c r="L2097" t="s">
        <v>38</v>
      </c>
      <c r="M2097" s="4">
        <v>228960</v>
      </c>
      <c r="N2097" s="3">
        <v>1629.6296</v>
      </c>
      <c r="O2097" t="s">
        <v>22</v>
      </c>
      <c r="P2097" t="s">
        <v>28</v>
      </c>
      <c r="Q2097" t="s">
        <v>24</v>
      </c>
      <c r="R2097" t="s">
        <v>49</v>
      </c>
      <c r="S2097">
        <v>7</v>
      </c>
    </row>
    <row r="2098" spans="1:19" x14ac:dyDescent="0.3">
      <c r="A2098" s="1">
        <v>44024</v>
      </c>
      <c r="B2098">
        <v>2020</v>
      </c>
      <c r="C2098" t="s">
        <v>35</v>
      </c>
      <c r="D2098" s="4">
        <v>1139390</v>
      </c>
      <c r="E2098" s="2">
        <v>1892500</v>
      </c>
      <c r="F2098" t="s">
        <v>19</v>
      </c>
      <c r="G2098" t="s">
        <v>20</v>
      </c>
      <c r="H2098">
        <v>3</v>
      </c>
      <c r="I2098">
        <v>1</v>
      </c>
      <c r="J2098">
        <v>975</v>
      </c>
      <c r="K2098" s="5">
        <v>1.0254394999999999E-2</v>
      </c>
      <c r="L2098" t="s">
        <v>32</v>
      </c>
      <c r="M2098" s="4">
        <v>753110</v>
      </c>
      <c r="N2098" s="3">
        <v>1941.0255999999999</v>
      </c>
      <c r="O2098" t="s">
        <v>22</v>
      </c>
      <c r="P2098" t="s">
        <v>28</v>
      </c>
      <c r="Q2098" t="s">
        <v>24</v>
      </c>
      <c r="R2098" t="s">
        <v>49</v>
      </c>
      <c r="S2098">
        <v>7</v>
      </c>
    </row>
    <row r="2099" spans="1:19" x14ac:dyDescent="0.3">
      <c r="A2099" s="1">
        <v>44025</v>
      </c>
      <c r="B2099">
        <v>2020</v>
      </c>
      <c r="C2099" t="s">
        <v>40</v>
      </c>
      <c r="D2099" s="4">
        <v>2668190</v>
      </c>
      <c r="E2099" s="2">
        <v>4500000</v>
      </c>
      <c r="F2099" t="s">
        <v>19</v>
      </c>
      <c r="G2099" t="s">
        <v>20</v>
      </c>
      <c r="H2099">
        <v>3</v>
      </c>
      <c r="I2099">
        <v>1</v>
      </c>
      <c r="J2099">
        <v>927</v>
      </c>
      <c r="K2099" s="5">
        <v>1.0254394999999999E-2</v>
      </c>
      <c r="L2099" t="s">
        <v>21</v>
      </c>
      <c r="M2099" s="4">
        <v>1831810</v>
      </c>
      <c r="N2099" s="3">
        <v>4854.3689000000004</v>
      </c>
      <c r="O2099" t="s">
        <v>22</v>
      </c>
      <c r="P2099" t="s">
        <v>28</v>
      </c>
      <c r="Q2099" t="s">
        <v>24</v>
      </c>
      <c r="R2099" t="s">
        <v>49</v>
      </c>
      <c r="S2099">
        <v>7</v>
      </c>
    </row>
    <row r="2100" spans="1:19" x14ac:dyDescent="0.3">
      <c r="A2100" s="1">
        <v>44028</v>
      </c>
      <c r="B2100">
        <v>2020</v>
      </c>
      <c r="C2100" t="s">
        <v>35</v>
      </c>
      <c r="D2100" s="4">
        <v>383810</v>
      </c>
      <c r="E2100" s="2">
        <v>750000</v>
      </c>
      <c r="F2100" t="s">
        <v>19</v>
      </c>
      <c r="G2100" t="s">
        <v>20</v>
      </c>
      <c r="H2100">
        <v>3</v>
      </c>
      <c r="I2100">
        <v>1</v>
      </c>
      <c r="J2100">
        <v>1045</v>
      </c>
      <c r="K2100" s="5">
        <v>1.0254394999999999E-2</v>
      </c>
      <c r="L2100" t="s">
        <v>32</v>
      </c>
      <c r="M2100" s="4">
        <v>366190</v>
      </c>
      <c r="N2100" s="3">
        <v>717.70330000000001</v>
      </c>
      <c r="O2100" t="s">
        <v>22</v>
      </c>
      <c r="P2100" t="s">
        <v>28</v>
      </c>
      <c r="Q2100" t="s">
        <v>24</v>
      </c>
      <c r="R2100" t="s">
        <v>49</v>
      </c>
      <c r="S2100">
        <v>7</v>
      </c>
    </row>
    <row r="2101" spans="1:19" x14ac:dyDescent="0.3">
      <c r="A2101" s="1">
        <v>44031</v>
      </c>
      <c r="B2101">
        <v>2020</v>
      </c>
      <c r="C2101" t="s">
        <v>40</v>
      </c>
      <c r="D2101" s="4">
        <v>293500</v>
      </c>
      <c r="E2101" s="2">
        <v>440000</v>
      </c>
      <c r="F2101" t="s">
        <v>19</v>
      </c>
      <c r="G2101" t="s">
        <v>20</v>
      </c>
      <c r="H2101">
        <v>3</v>
      </c>
      <c r="I2101">
        <v>1</v>
      </c>
      <c r="J2101">
        <v>1111.6589814177564</v>
      </c>
      <c r="K2101" s="5">
        <v>1.0254394999999999E-2</v>
      </c>
      <c r="L2101" t="s">
        <v>21</v>
      </c>
      <c r="M2101" s="4">
        <v>146500</v>
      </c>
      <c r="N2101" s="3">
        <v>395.8048</v>
      </c>
      <c r="O2101" t="s">
        <v>22</v>
      </c>
      <c r="P2101" t="s">
        <v>24</v>
      </c>
      <c r="Q2101" t="s">
        <v>24</v>
      </c>
      <c r="R2101" t="s">
        <v>49</v>
      </c>
      <c r="S2101">
        <v>7</v>
      </c>
    </row>
    <row r="2102" spans="1:19" x14ac:dyDescent="0.3">
      <c r="A2102" s="1">
        <v>44032</v>
      </c>
      <c r="B2102">
        <v>2020</v>
      </c>
      <c r="C2102" t="s">
        <v>26</v>
      </c>
      <c r="D2102" s="4">
        <v>237800</v>
      </c>
      <c r="E2102" s="2">
        <v>475000</v>
      </c>
      <c r="F2102" t="s">
        <v>30</v>
      </c>
      <c r="G2102" t="s">
        <v>31</v>
      </c>
      <c r="H2102">
        <v>4</v>
      </c>
      <c r="I2102">
        <v>3</v>
      </c>
      <c r="J2102">
        <v>1306</v>
      </c>
      <c r="K2102" s="5">
        <v>1.0254394999999999E-2</v>
      </c>
      <c r="L2102" t="s">
        <v>21</v>
      </c>
      <c r="M2102" s="4">
        <v>237200</v>
      </c>
      <c r="N2102" s="3">
        <v>363.70600000000002</v>
      </c>
      <c r="O2102" t="s">
        <v>22</v>
      </c>
      <c r="P2102" t="s">
        <v>24</v>
      </c>
      <c r="Q2102" t="s">
        <v>34</v>
      </c>
      <c r="R2102" t="s">
        <v>49</v>
      </c>
      <c r="S2102">
        <v>7</v>
      </c>
    </row>
    <row r="2103" spans="1:19" x14ac:dyDescent="0.3">
      <c r="A2103" s="1">
        <v>44035</v>
      </c>
      <c r="B2103">
        <v>2020</v>
      </c>
      <c r="C2103" t="s">
        <v>39</v>
      </c>
      <c r="D2103" s="4">
        <v>247520</v>
      </c>
      <c r="E2103" s="2">
        <v>385000</v>
      </c>
      <c r="F2103" t="s">
        <v>19</v>
      </c>
      <c r="G2103" t="s">
        <v>20</v>
      </c>
      <c r="H2103">
        <v>3</v>
      </c>
      <c r="I2103">
        <v>2</v>
      </c>
      <c r="J2103">
        <v>1111.6589814177564</v>
      </c>
      <c r="K2103" s="5">
        <v>1.0254394999999999E-2</v>
      </c>
      <c r="L2103" t="s">
        <v>38</v>
      </c>
      <c r="M2103" s="4">
        <v>137480</v>
      </c>
      <c r="N2103" s="3">
        <v>346.32920000000001</v>
      </c>
      <c r="O2103" t="s">
        <v>22</v>
      </c>
      <c r="P2103" t="s">
        <v>24</v>
      </c>
      <c r="Q2103" t="s">
        <v>24</v>
      </c>
      <c r="R2103" t="s">
        <v>49</v>
      </c>
      <c r="S2103">
        <v>7</v>
      </c>
    </row>
    <row r="2104" spans="1:19" x14ac:dyDescent="0.3">
      <c r="A2104" s="1">
        <v>44036</v>
      </c>
      <c r="B2104">
        <v>2020</v>
      </c>
      <c r="C2104" t="s">
        <v>39</v>
      </c>
      <c r="D2104" s="4">
        <v>482510</v>
      </c>
      <c r="E2104" s="2">
        <v>695000</v>
      </c>
      <c r="F2104" t="s">
        <v>19</v>
      </c>
      <c r="G2104" t="s">
        <v>20</v>
      </c>
      <c r="H2104">
        <v>3</v>
      </c>
      <c r="I2104">
        <v>1</v>
      </c>
      <c r="J2104">
        <v>1111.6589814177564</v>
      </c>
      <c r="K2104" s="5">
        <v>1.0254394999999999E-2</v>
      </c>
      <c r="L2104" t="s">
        <v>38</v>
      </c>
      <c r="M2104" s="4">
        <v>212490</v>
      </c>
      <c r="N2104" s="3">
        <v>625.19169999999997</v>
      </c>
      <c r="O2104" t="s">
        <v>22</v>
      </c>
      <c r="P2104" t="s">
        <v>28</v>
      </c>
      <c r="Q2104" t="s">
        <v>24</v>
      </c>
      <c r="R2104" t="s">
        <v>49</v>
      </c>
      <c r="S2104">
        <v>7</v>
      </c>
    </row>
    <row r="2105" spans="1:19" x14ac:dyDescent="0.3">
      <c r="A2105" s="1">
        <v>44038</v>
      </c>
      <c r="B2105">
        <v>2020</v>
      </c>
      <c r="C2105" t="s">
        <v>29</v>
      </c>
      <c r="D2105" s="4">
        <v>81680</v>
      </c>
      <c r="E2105" s="2">
        <v>102375</v>
      </c>
      <c r="F2105" t="s">
        <v>19</v>
      </c>
      <c r="G2105" t="s">
        <v>20</v>
      </c>
      <c r="H2105">
        <v>3</v>
      </c>
      <c r="I2105">
        <v>2</v>
      </c>
      <c r="J2105">
        <v>907</v>
      </c>
      <c r="K2105" s="5">
        <v>1.0254394999999999E-2</v>
      </c>
      <c r="L2105" t="s">
        <v>32</v>
      </c>
      <c r="M2105" s="4">
        <v>20695</v>
      </c>
      <c r="N2105" s="3">
        <v>112.8721</v>
      </c>
      <c r="O2105" t="s">
        <v>22</v>
      </c>
      <c r="P2105" t="s">
        <v>23</v>
      </c>
      <c r="Q2105" t="s">
        <v>24</v>
      </c>
      <c r="R2105" t="s">
        <v>49</v>
      </c>
      <c r="S2105">
        <v>7</v>
      </c>
    </row>
    <row r="2106" spans="1:19" x14ac:dyDescent="0.3">
      <c r="A2106" s="1">
        <v>44042</v>
      </c>
      <c r="B2106">
        <v>2020</v>
      </c>
      <c r="C2106" t="s">
        <v>39</v>
      </c>
      <c r="D2106" s="4">
        <v>420490</v>
      </c>
      <c r="E2106" s="2">
        <v>470000</v>
      </c>
      <c r="F2106" t="s">
        <v>19</v>
      </c>
      <c r="G2106" t="s">
        <v>20</v>
      </c>
      <c r="H2106">
        <v>3</v>
      </c>
      <c r="I2106">
        <v>2</v>
      </c>
      <c r="J2106">
        <v>1111.6589814177564</v>
      </c>
      <c r="K2106" s="5">
        <v>1.0254394999999999E-2</v>
      </c>
      <c r="L2106" t="s">
        <v>32</v>
      </c>
      <c r="M2106" s="4">
        <v>49510</v>
      </c>
      <c r="N2106" s="3">
        <v>422.79149999999998</v>
      </c>
      <c r="O2106" t="s">
        <v>22</v>
      </c>
      <c r="P2106" t="s">
        <v>24</v>
      </c>
      <c r="Q2106" t="s">
        <v>24</v>
      </c>
      <c r="R2106" t="s">
        <v>49</v>
      </c>
      <c r="S2106">
        <v>7</v>
      </c>
    </row>
    <row r="2107" spans="1:19" x14ac:dyDescent="0.3">
      <c r="A2107" s="1">
        <v>44043</v>
      </c>
      <c r="B2107">
        <v>2020</v>
      </c>
      <c r="C2107" t="s">
        <v>39</v>
      </c>
      <c r="D2107" s="4">
        <v>882000</v>
      </c>
      <c r="E2107" s="2">
        <v>1450000</v>
      </c>
      <c r="F2107" t="s">
        <v>19</v>
      </c>
      <c r="G2107" t="s">
        <v>20</v>
      </c>
      <c r="H2107">
        <v>3</v>
      </c>
      <c r="I2107">
        <v>3</v>
      </c>
      <c r="J2107">
        <v>969</v>
      </c>
      <c r="K2107" s="5">
        <v>1.0254394999999999E-2</v>
      </c>
      <c r="L2107" t="s">
        <v>38</v>
      </c>
      <c r="M2107" s="4">
        <v>568000</v>
      </c>
      <c r="N2107" s="3">
        <v>1496.3879999999999</v>
      </c>
      <c r="O2107" t="s">
        <v>22</v>
      </c>
      <c r="P2107" t="s">
        <v>28</v>
      </c>
      <c r="Q2107" t="s">
        <v>24</v>
      </c>
      <c r="R2107" t="s">
        <v>49</v>
      </c>
      <c r="S2107">
        <v>7</v>
      </c>
    </row>
    <row r="2108" spans="1:19" x14ac:dyDescent="0.3">
      <c r="A2108" s="1">
        <v>44044</v>
      </c>
      <c r="B2108">
        <v>2020</v>
      </c>
      <c r="C2108" t="s">
        <v>39</v>
      </c>
      <c r="D2108" s="4">
        <v>349370</v>
      </c>
      <c r="E2108" s="2">
        <v>555000</v>
      </c>
      <c r="F2108" t="s">
        <v>19</v>
      </c>
      <c r="G2108" t="s">
        <v>20</v>
      </c>
      <c r="H2108">
        <v>3</v>
      </c>
      <c r="I2108">
        <v>3</v>
      </c>
      <c r="J2108">
        <v>922</v>
      </c>
      <c r="K2108" s="5">
        <v>1.0254394999999999E-2</v>
      </c>
      <c r="L2108" t="s">
        <v>38</v>
      </c>
      <c r="M2108" s="4">
        <v>205630</v>
      </c>
      <c r="N2108" s="3">
        <v>601.95230000000004</v>
      </c>
      <c r="O2108" t="s">
        <v>22</v>
      </c>
      <c r="P2108" t="s">
        <v>24</v>
      </c>
      <c r="Q2108" t="s">
        <v>24</v>
      </c>
      <c r="R2108" t="s">
        <v>50</v>
      </c>
      <c r="S2108">
        <v>8</v>
      </c>
    </row>
    <row r="2109" spans="1:19" x14ac:dyDescent="0.3">
      <c r="A2109" s="1">
        <v>44045</v>
      </c>
      <c r="B2109">
        <v>2020</v>
      </c>
      <c r="C2109" t="s">
        <v>29</v>
      </c>
      <c r="D2109" s="4">
        <v>107360</v>
      </c>
      <c r="E2109" s="2">
        <v>150000</v>
      </c>
      <c r="F2109" t="s">
        <v>30</v>
      </c>
      <c r="G2109" t="s">
        <v>31</v>
      </c>
      <c r="H2109">
        <v>4</v>
      </c>
      <c r="I2109">
        <v>3</v>
      </c>
      <c r="J2109">
        <v>1376</v>
      </c>
      <c r="K2109" s="5">
        <v>1.0254394999999999E-2</v>
      </c>
      <c r="L2109" t="s">
        <v>32</v>
      </c>
      <c r="M2109" s="4">
        <v>42640</v>
      </c>
      <c r="N2109" s="3">
        <v>109.0116</v>
      </c>
      <c r="O2109" t="s">
        <v>22</v>
      </c>
      <c r="P2109" t="s">
        <v>23</v>
      </c>
      <c r="Q2109" t="s">
        <v>34</v>
      </c>
      <c r="R2109" t="s">
        <v>50</v>
      </c>
      <c r="S2109">
        <v>8</v>
      </c>
    </row>
    <row r="2110" spans="1:19" x14ac:dyDescent="0.3">
      <c r="A2110" s="1">
        <v>44050</v>
      </c>
      <c r="B2110">
        <v>2020</v>
      </c>
      <c r="C2110" t="s">
        <v>26</v>
      </c>
      <c r="D2110" s="4">
        <v>329630</v>
      </c>
      <c r="E2110" s="2">
        <v>301000</v>
      </c>
      <c r="F2110" t="s">
        <v>19</v>
      </c>
      <c r="G2110" t="s">
        <v>20</v>
      </c>
      <c r="H2110">
        <v>3</v>
      </c>
      <c r="I2110">
        <v>1</v>
      </c>
      <c r="J2110">
        <v>1061</v>
      </c>
      <c r="K2110" s="5">
        <v>1.0254394999999999E-2</v>
      </c>
      <c r="L2110" t="s">
        <v>38</v>
      </c>
      <c r="M2110" s="4">
        <v>-28630</v>
      </c>
      <c r="N2110" s="3">
        <v>283.69459999999998</v>
      </c>
      <c r="O2110" t="s">
        <v>33</v>
      </c>
      <c r="P2110" t="s">
        <v>24</v>
      </c>
      <c r="Q2110" t="s">
        <v>24</v>
      </c>
      <c r="R2110" t="s">
        <v>50</v>
      </c>
      <c r="S2110">
        <v>8</v>
      </c>
    </row>
    <row r="2111" spans="1:19" x14ac:dyDescent="0.3">
      <c r="A2111" s="1">
        <v>44051</v>
      </c>
      <c r="B2111">
        <v>2020</v>
      </c>
      <c r="C2111" t="s">
        <v>39</v>
      </c>
      <c r="D2111" s="4">
        <v>1186990</v>
      </c>
      <c r="E2111" s="2">
        <v>1700000</v>
      </c>
      <c r="F2111" t="s">
        <v>19</v>
      </c>
      <c r="G2111" t="s">
        <v>20</v>
      </c>
      <c r="H2111">
        <v>3</v>
      </c>
      <c r="I2111">
        <v>2</v>
      </c>
      <c r="J2111">
        <v>935</v>
      </c>
      <c r="K2111" s="5">
        <v>1.0254394999999999E-2</v>
      </c>
      <c r="L2111" t="s">
        <v>38</v>
      </c>
      <c r="M2111" s="4">
        <v>513010</v>
      </c>
      <c r="N2111" s="3">
        <v>1818.1818000000001</v>
      </c>
      <c r="O2111" t="s">
        <v>22</v>
      </c>
      <c r="P2111" t="s">
        <v>28</v>
      </c>
      <c r="Q2111" t="s">
        <v>24</v>
      </c>
      <c r="R2111" t="s">
        <v>50</v>
      </c>
      <c r="S2111">
        <v>8</v>
      </c>
    </row>
    <row r="2112" spans="1:19" x14ac:dyDescent="0.3">
      <c r="A2112" s="1">
        <v>44056</v>
      </c>
      <c r="B2112">
        <v>2020</v>
      </c>
      <c r="C2112" t="s">
        <v>40</v>
      </c>
      <c r="D2112" s="4">
        <v>828730</v>
      </c>
      <c r="E2112" s="2">
        <v>949500</v>
      </c>
      <c r="F2112" t="s">
        <v>19</v>
      </c>
      <c r="G2112" t="s">
        <v>20</v>
      </c>
      <c r="H2112">
        <v>3</v>
      </c>
      <c r="I2112">
        <v>3</v>
      </c>
      <c r="J2112">
        <v>1038</v>
      </c>
      <c r="K2112" s="5">
        <v>1.0254394999999999E-2</v>
      </c>
      <c r="L2112" t="s">
        <v>32</v>
      </c>
      <c r="M2112" s="4">
        <v>120770</v>
      </c>
      <c r="N2112" s="3">
        <v>914.73990000000003</v>
      </c>
      <c r="O2112" t="s">
        <v>22</v>
      </c>
      <c r="P2112" t="s">
        <v>28</v>
      </c>
      <c r="Q2112" t="s">
        <v>24</v>
      </c>
      <c r="R2112" t="s">
        <v>50</v>
      </c>
      <c r="S2112">
        <v>8</v>
      </c>
    </row>
    <row r="2113" spans="1:19" x14ac:dyDescent="0.3">
      <c r="A2113" s="1">
        <v>44057</v>
      </c>
      <c r="B2113">
        <v>2020</v>
      </c>
      <c r="C2113" t="s">
        <v>52</v>
      </c>
      <c r="D2113" s="4">
        <v>119910</v>
      </c>
      <c r="E2113" s="2">
        <v>162000</v>
      </c>
      <c r="F2113" t="s">
        <v>19</v>
      </c>
      <c r="G2113" t="s">
        <v>20</v>
      </c>
      <c r="H2113">
        <v>3</v>
      </c>
      <c r="I2113">
        <v>3</v>
      </c>
      <c r="J2113">
        <v>1038</v>
      </c>
      <c r="K2113" s="5">
        <v>1.0254394999999999E-2</v>
      </c>
      <c r="L2113" t="s">
        <v>27</v>
      </c>
      <c r="M2113" s="4">
        <v>42090</v>
      </c>
      <c r="N2113" s="3">
        <v>156.0694</v>
      </c>
      <c r="O2113" t="s">
        <v>22</v>
      </c>
      <c r="P2113" t="s">
        <v>23</v>
      </c>
      <c r="Q2113" t="s">
        <v>24</v>
      </c>
      <c r="R2113" t="s">
        <v>50</v>
      </c>
      <c r="S2113">
        <v>8</v>
      </c>
    </row>
    <row r="2114" spans="1:19" x14ac:dyDescent="0.3">
      <c r="A2114" s="1">
        <v>44058</v>
      </c>
      <c r="B2114">
        <v>2020</v>
      </c>
      <c r="C2114" t="s">
        <v>29</v>
      </c>
      <c r="D2114" s="4">
        <v>256210</v>
      </c>
      <c r="E2114" s="2">
        <v>245286</v>
      </c>
      <c r="F2114" t="s">
        <v>19</v>
      </c>
      <c r="G2114" t="s">
        <v>20</v>
      </c>
      <c r="H2114">
        <v>3</v>
      </c>
      <c r="I2114">
        <v>3</v>
      </c>
      <c r="J2114">
        <v>1030</v>
      </c>
      <c r="K2114" s="5">
        <v>1.0254394999999999E-2</v>
      </c>
      <c r="L2114" t="s">
        <v>38</v>
      </c>
      <c r="M2114" s="4">
        <v>-10924</v>
      </c>
      <c r="N2114" s="3">
        <v>238.14169999999999</v>
      </c>
      <c r="O2114" t="s">
        <v>33</v>
      </c>
      <c r="P2114" t="s">
        <v>24</v>
      </c>
      <c r="Q2114" t="s">
        <v>24</v>
      </c>
      <c r="R2114" t="s">
        <v>50</v>
      </c>
      <c r="S2114">
        <v>8</v>
      </c>
    </row>
    <row r="2115" spans="1:19" x14ac:dyDescent="0.3">
      <c r="A2115" s="1">
        <v>44059</v>
      </c>
      <c r="B2115">
        <v>2020</v>
      </c>
      <c r="C2115" t="s">
        <v>52</v>
      </c>
      <c r="D2115" s="4">
        <v>444584.20699999999</v>
      </c>
      <c r="E2115" s="2">
        <v>300000</v>
      </c>
      <c r="F2115" t="s">
        <v>19</v>
      </c>
      <c r="G2115" t="s">
        <v>20</v>
      </c>
      <c r="H2115">
        <v>3</v>
      </c>
      <c r="I2115">
        <v>3</v>
      </c>
      <c r="J2115">
        <v>1035</v>
      </c>
      <c r="K2115" s="5">
        <v>1.0254394999999999E-2</v>
      </c>
      <c r="L2115" t="s">
        <v>32</v>
      </c>
      <c r="M2115" s="4">
        <v>-144584.20699999999</v>
      </c>
      <c r="N2115" s="3">
        <v>289.85509999999999</v>
      </c>
      <c r="O2115" t="s">
        <v>33</v>
      </c>
      <c r="P2115" t="s">
        <v>24</v>
      </c>
      <c r="Q2115" t="s">
        <v>24</v>
      </c>
      <c r="R2115" t="s">
        <v>50</v>
      </c>
      <c r="S2115">
        <v>8</v>
      </c>
    </row>
    <row r="2116" spans="1:19" x14ac:dyDescent="0.3">
      <c r="A2116" s="1">
        <v>44063</v>
      </c>
      <c r="B2116">
        <v>2020</v>
      </c>
      <c r="C2116" t="s">
        <v>52</v>
      </c>
      <c r="D2116" s="4">
        <v>167440</v>
      </c>
      <c r="E2116" s="2">
        <v>260000</v>
      </c>
      <c r="F2116" t="s">
        <v>19</v>
      </c>
      <c r="G2116" t="s">
        <v>20</v>
      </c>
      <c r="H2116">
        <v>3</v>
      </c>
      <c r="I2116">
        <v>1</v>
      </c>
      <c r="J2116">
        <v>1084</v>
      </c>
      <c r="K2116" s="5">
        <v>1.0254394999999999E-2</v>
      </c>
      <c r="L2116" t="s">
        <v>27</v>
      </c>
      <c r="M2116" s="4">
        <v>92560</v>
      </c>
      <c r="N2116" s="3">
        <v>239.85239999999999</v>
      </c>
      <c r="O2116" t="s">
        <v>22</v>
      </c>
      <c r="P2116" t="s">
        <v>24</v>
      </c>
      <c r="Q2116" t="s">
        <v>24</v>
      </c>
      <c r="R2116" t="s">
        <v>50</v>
      </c>
      <c r="S2116">
        <v>8</v>
      </c>
    </row>
    <row r="2117" spans="1:19" x14ac:dyDescent="0.3">
      <c r="A2117" s="1">
        <v>44067</v>
      </c>
      <c r="B2117">
        <v>2020</v>
      </c>
      <c r="C2117" t="s">
        <v>52</v>
      </c>
      <c r="D2117" s="4">
        <v>167580</v>
      </c>
      <c r="E2117" s="2">
        <v>220000</v>
      </c>
      <c r="F2117" t="s">
        <v>19</v>
      </c>
      <c r="G2117" t="s">
        <v>20</v>
      </c>
      <c r="H2117">
        <v>3</v>
      </c>
      <c r="I2117">
        <v>2</v>
      </c>
      <c r="J2117">
        <v>1031</v>
      </c>
      <c r="K2117" s="5">
        <v>1.0254394999999999E-2</v>
      </c>
      <c r="L2117" t="s">
        <v>21</v>
      </c>
      <c r="M2117" s="4">
        <v>52420</v>
      </c>
      <c r="N2117" s="3">
        <v>213.38509999999999</v>
      </c>
      <c r="O2117" t="s">
        <v>22</v>
      </c>
      <c r="P2117" t="s">
        <v>24</v>
      </c>
      <c r="Q2117" t="s">
        <v>24</v>
      </c>
      <c r="R2117" t="s">
        <v>50</v>
      </c>
      <c r="S2117">
        <v>8</v>
      </c>
    </row>
    <row r="2118" spans="1:19" x14ac:dyDescent="0.3">
      <c r="A2118" s="1">
        <v>44071</v>
      </c>
      <c r="B2118">
        <v>2020</v>
      </c>
      <c r="C2118" t="s">
        <v>29</v>
      </c>
      <c r="D2118" s="4">
        <v>96680</v>
      </c>
      <c r="E2118" s="2">
        <v>135000</v>
      </c>
      <c r="F2118" t="s">
        <v>19</v>
      </c>
      <c r="G2118" t="s">
        <v>20</v>
      </c>
      <c r="H2118">
        <v>3</v>
      </c>
      <c r="I2118">
        <v>3</v>
      </c>
      <c r="J2118">
        <v>1111.6589814177564</v>
      </c>
      <c r="K2118" s="5">
        <v>1.0254394999999999E-2</v>
      </c>
      <c r="L2118" t="s">
        <v>21</v>
      </c>
      <c r="M2118" s="4">
        <v>38320</v>
      </c>
      <c r="N2118" s="3">
        <v>121.4401</v>
      </c>
      <c r="O2118" t="s">
        <v>22</v>
      </c>
      <c r="P2118" t="s">
        <v>23</v>
      </c>
      <c r="Q2118" t="s">
        <v>24</v>
      </c>
      <c r="R2118" t="s">
        <v>50</v>
      </c>
      <c r="S2118">
        <v>8</v>
      </c>
    </row>
    <row r="2119" spans="1:19" x14ac:dyDescent="0.3">
      <c r="A2119" s="1">
        <v>44072</v>
      </c>
      <c r="B2119">
        <v>2020</v>
      </c>
      <c r="C2119" t="s">
        <v>26</v>
      </c>
      <c r="D2119" s="4">
        <v>224640</v>
      </c>
      <c r="E2119" s="2">
        <v>499000</v>
      </c>
      <c r="F2119" t="s">
        <v>30</v>
      </c>
      <c r="G2119" t="s">
        <v>31</v>
      </c>
      <c r="H2119">
        <v>4</v>
      </c>
      <c r="I2119">
        <v>3</v>
      </c>
      <c r="J2119">
        <v>1111.6589814177564</v>
      </c>
      <c r="K2119" s="5">
        <v>1.0254394999999999E-2</v>
      </c>
      <c r="L2119" t="s">
        <v>38</v>
      </c>
      <c r="M2119" s="4">
        <v>274360</v>
      </c>
      <c r="N2119" s="3">
        <v>448.87869999999998</v>
      </c>
      <c r="O2119" t="s">
        <v>22</v>
      </c>
      <c r="P2119" t="s">
        <v>24</v>
      </c>
      <c r="Q2119" t="s">
        <v>24</v>
      </c>
      <c r="R2119" t="s">
        <v>50</v>
      </c>
      <c r="S2119">
        <v>8</v>
      </c>
    </row>
    <row r="2120" spans="1:19" x14ac:dyDescent="0.3">
      <c r="A2120" s="1">
        <v>44073</v>
      </c>
      <c r="B2120">
        <v>2020</v>
      </c>
      <c r="C2120" t="s">
        <v>35</v>
      </c>
      <c r="D2120" s="4">
        <v>1913870</v>
      </c>
      <c r="E2120" s="2">
        <v>1700000</v>
      </c>
      <c r="F2120" t="s">
        <v>19</v>
      </c>
      <c r="G2120" t="s">
        <v>20</v>
      </c>
      <c r="H2120">
        <v>3</v>
      </c>
      <c r="I2120">
        <v>3</v>
      </c>
      <c r="J2120">
        <v>1050</v>
      </c>
      <c r="K2120" s="5">
        <v>1.0254394999999999E-2</v>
      </c>
      <c r="L2120" t="s">
        <v>32</v>
      </c>
      <c r="M2120" s="4">
        <v>-213870</v>
      </c>
      <c r="N2120" s="3">
        <v>1619.0476000000001</v>
      </c>
      <c r="O2120" t="s">
        <v>33</v>
      </c>
      <c r="P2120" t="s">
        <v>28</v>
      </c>
      <c r="Q2120" t="s">
        <v>24</v>
      </c>
      <c r="R2120" t="s">
        <v>50</v>
      </c>
      <c r="S2120">
        <v>8</v>
      </c>
    </row>
    <row r="2121" spans="1:19" x14ac:dyDescent="0.3">
      <c r="A2121" s="1">
        <v>44078</v>
      </c>
      <c r="B2121">
        <v>2020</v>
      </c>
      <c r="C2121" t="s">
        <v>39</v>
      </c>
      <c r="D2121" s="4">
        <v>207200</v>
      </c>
      <c r="E2121" s="2">
        <v>289900</v>
      </c>
      <c r="F2121" t="s">
        <v>19</v>
      </c>
      <c r="G2121" t="s">
        <v>20</v>
      </c>
      <c r="H2121">
        <v>3</v>
      </c>
      <c r="I2121">
        <v>1</v>
      </c>
      <c r="J2121">
        <v>954</v>
      </c>
      <c r="K2121" s="5">
        <v>1.0254394999999999E-2</v>
      </c>
      <c r="L2121" t="s">
        <v>27</v>
      </c>
      <c r="M2121" s="4">
        <v>82700</v>
      </c>
      <c r="N2121" s="3">
        <v>303.8784</v>
      </c>
      <c r="O2121" t="s">
        <v>22</v>
      </c>
      <c r="P2121" t="s">
        <v>24</v>
      </c>
      <c r="Q2121" t="s">
        <v>24</v>
      </c>
      <c r="R2121" t="s">
        <v>51</v>
      </c>
      <c r="S2121">
        <v>9</v>
      </c>
    </row>
    <row r="2122" spans="1:19" x14ac:dyDescent="0.3">
      <c r="A2122" s="1">
        <v>44079</v>
      </c>
      <c r="B2122">
        <v>2020</v>
      </c>
      <c r="C2122" t="s">
        <v>52</v>
      </c>
      <c r="D2122" s="4">
        <v>323890</v>
      </c>
      <c r="E2122" s="2">
        <v>548000</v>
      </c>
      <c r="F2122" t="s">
        <v>19</v>
      </c>
      <c r="G2122" t="s">
        <v>20</v>
      </c>
      <c r="H2122">
        <v>3</v>
      </c>
      <c r="I2122">
        <v>3</v>
      </c>
      <c r="J2122">
        <v>1057</v>
      </c>
      <c r="K2122" s="5">
        <v>1.0254394999999999E-2</v>
      </c>
      <c r="L2122" t="s">
        <v>21</v>
      </c>
      <c r="M2122" s="4">
        <v>224110</v>
      </c>
      <c r="N2122" s="3">
        <v>518.44839999999999</v>
      </c>
      <c r="O2122" t="s">
        <v>22</v>
      </c>
      <c r="P2122" t="s">
        <v>24</v>
      </c>
      <c r="Q2122" t="s">
        <v>24</v>
      </c>
      <c r="R2122" t="s">
        <v>51</v>
      </c>
      <c r="S2122">
        <v>9</v>
      </c>
    </row>
    <row r="2123" spans="1:19" x14ac:dyDescent="0.3">
      <c r="A2123" s="1">
        <v>44080</v>
      </c>
      <c r="B2123">
        <v>2020</v>
      </c>
      <c r="C2123" t="s">
        <v>26</v>
      </c>
      <c r="D2123" s="4">
        <v>200980</v>
      </c>
      <c r="E2123" s="2">
        <v>425000</v>
      </c>
      <c r="F2123" t="s">
        <v>36</v>
      </c>
      <c r="G2123" t="s">
        <v>37</v>
      </c>
      <c r="H2123">
        <v>6</v>
      </c>
      <c r="I2123">
        <v>4</v>
      </c>
      <c r="J2123">
        <v>1812</v>
      </c>
      <c r="K2123" s="5">
        <v>1.0254394999999999E-2</v>
      </c>
      <c r="L2123" t="s">
        <v>21</v>
      </c>
      <c r="M2123" s="4">
        <v>224020</v>
      </c>
      <c r="N2123" s="3">
        <v>234.54750000000001</v>
      </c>
      <c r="O2123" t="s">
        <v>22</v>
      </c>
      <c r="P2123" t="s">
        <v>24</v>
      </c>
      <c r="Q2123" t="s">
        <v>34</v>
      </c>
      <c r="R2123" t="s">
        <v>51</v>
      </c>
      <c r="S2123">
        <v>9</v>
      </c>
    </row>
    <row r="2124" spans="1:19" x14ac:dyDescent="0.3">
      <c r="A2124" s="1">
        <v>44081</v>
      </c>
      <c r="B2124">
        <v>2020</v>
      </c>
      <c r="C2124" t="s">
        <v>35</v>
      </c>
      <c r="D2124" s="4">
        <v>444584.20699999999</v>
      </c>
      <c r="E2124" s="2">
        <v>2775000</v>
      </c>
      <c r="F2124" t="s">
        <v>19</v>
      </c>
      <c r="G2124" t="s">
        <v>20</v>
      </c>
      <c r="H2124">
        <v>3</v>
      </c>
      <c r="I2124">
        <v>1</v>
      </c>
      <c r="J2124">
        <v>1100</v>
      </c>
      <c r="K2124" s="5">
        <v>1.0254394999999999E-2</v>
      </c>
      <c r="L2124" t="s">
        <v>21</v>
      </c>
      <c r="M2124" s="4">
        <v>2330415.7930000001</v>
      </c>
      <c r="N2124" s="3">
        <v>2522.7273</v>
      </c>
      <c r="O2124" t="s">
        <v>22</v>
      </c>
      <c r="P2124" t="s">
        <v>28</v>
      </c>
      <c r="Q2124" t="s">
        <v>24</v>
      </c>
      <c r="R2124" t="s">
        <v>51</v>
      </c>
      <c r="S2124">
        <v>9</v>
      </c>
    </row>
    <row r="2125" spans="1:19" x14ac:dyDescent="0.3">
      <c r="A2125" s="1">
        <v>44084</v>
      </c>
      <c r="B2125">
        <v>2020</v>
      </c>
      <c r="C2125" t="s">
        <v>52</v>
      </c>
      <c r="D2125" s="4">
        <v>207830</v>
      </c>
      <c r="E2125" s="2">
        <v>259000</v>
      </c>
      <c r="F2125" t="s">
        <v>19</v>
      </c>
      <c r="G2125" t="s">
        <v>20</v>
      </c>
      <c r="H2125">
        <v>3</v>
      </c>
      <c r="I2125">
        <v>3</v>
      </c>
      <c r="J2125">
        <v>1073</v>
      </c>
      <c r="K2125" s="5">
        <v>1.0254394999999999E-2</v>
      </c>
      <c r="L2125" t="s">
        <v>21</v>
      </c>
      <c r="M2125" s="4">
        <v>51170</v>
      </c>
      <c r="N2125" s="3">
        <v>241.3793</v>
      </c>
      <c r="O2125" t="s">
        <v>22</v>
      </c>
      <c r="P2125" t="s">
        <v>24</v>
      </c>
      <c r="Q2125" t="s">
        <v>24</v>
      </c>
      <c r="R2125" t="s">
        <v>51</v>
      </c>
      <c r="S2125">
        <v>9</v>
      </c>
    </row>
    <row r="2126" spans="1:19" x14ac:dyDescent="0.3">
      <c r="A2126" s="1">
        <v>44085</v>
      </c>
      <c r="B2126">
        <v>2020</v>
      </c>
      <c r="C2126" t="s">
        <v>29</v>
      </c>
      <c r="D2126" s="4">
        <v>444584.20699999999</v>
      </c>
      <c r="E2126" s="2">
        <v>220000</v>
      </c>
      <c r="F2126" t="s">
        <v>19</v>
      </c>
      <c r="G2126" t="s">
        <v>20</v>
      </c>
      <c r="H2126">
        <v>3</v>
      </c>
      <c r="I2126">
        <v>2</v>
      </c>
      <c r="J2126">
        <v>1062</v>
      </c>
      <c r="K2126" s="5">
        <v>1.0254394999999999E-2</v>
      </c>
      <c r="L2126" t="s">
        <v>38</v>
      </c>
      <c r="M2126" s="4">
        <v>-224584.20699999999</v>
      </c>
      <c r="N2126" s="3">
        <v>207.15629999999999</v>
      </c>
      <c r="O2126" t="s">
        <v>33</v>
      </c>
      <c r="P2126" t="s">
        <v>24</v>
      </c>
      <c r="Q2126" t="s">
        <v>24</v>
      </c>
      <c r="R2126" t="s">
        <v>51</v>
      </c>
      <c r="S2126">
        <v>9</v>
      </c>
    </row>
    <row r="2127" spans="1:19" x14ac:dyDescent="0.3">
      <c r="A2127" s="1">
        <v>44087</v>
      </c>
      <c r="B2127">
        <v>2020</v>
      </c>
      <c r="C2127" t="s">
        <v>52</v>
      </c>
      <c r="D2127" s="4">
        <v>137060</v>
      </c>
      <c r="E2127" s="2">
        <v>240000</v>
      </c>
      <c r="F2127" t="s">
        <v>19</v>
      </c>
      <c r="G2127" t="s">
        <v>20</v>
      </c>
      <c r="H2127">
        <v>3</v>
      </c>
      <c r="I2127">
        <v>2</v>
      </c>
      <c r="J2127">
        <v>1111.6589814177564</v>
      </c>
      <c r="K2127" s="5">
        <v>1.0254394999999999E-2</v>
      </c>
      <c r="L2127" t="s">
        <v>38</v>
      </c>
      <c r="M2127" s="4">
        <v>102940</v>
      </c>
      <c r="N2127" s="3">
        <v>215.89349999999999</v>
      </c>
      <c r="O2127" t="s">
        <v>22</v>
      </c>
      <c r="P2127" t="s">
        <v>24</v>
      </c>
      <c r="Q2127" t="s">
        <v>24</v>
      </c>
      <c r="R2127" t="s">
        <v>51</v>
      </c>
      <c r="S2127">
        <v>9</v>
      </c>
    </row>
    <row r="2128" spans="1:19" x14ac:dyDescent="0.3">
      <c r="A2128" s="1">
        <v>44089</v>
      </c>
      <c r="B2128">
        <v>2020</v>
      </c>
      <c r="C2128" t="s">
        <v>35</v>
      </c>
      <c r="D2128" s="4">
        <v>1485120</v>
      </c>
      <c r="E2128" s="2">
        <v>1700000</v>
      </c>
      <c r="F2128" t="s">
        <v>19</v>
      </c>
      <c r="G2128" t="s">
        <v>20</v>
      </c>
      <c r="H2128">
        <v>3</v>
      </c>
      <c r="I2128">
        <v>3</v>
      </c>
      <c r="J2128">
        <v>903</v>
      </c>
      <c r="K2128" s="5">
        <v>1.0254394999999999E-2</v>
      </c>
      <c r="L2128" t="s">
        <v>27</v>
      </c>
      <c r="M2128" s="4">
        <v>214880</v>
      </c>
      <c r="N2128" s="3">
        <v>1882.6134999999999</v>
      </c>
      <c r="O2128" t="s">
        <v>22</v>
      </c>
      <c r="P2128" t="s">
        <v>28</v>
      </c>
      <c r="Q2128" t="s">
        <v>24</v>
      </c>
      <c r="R2128" t="s">
        <v>51</v>
      </c>
      <c r="S2128">
        <v>9</v>
      </c>
    </row>
    <row r="2129" spans="1:19" x14ac:dyDescent="0.3">
      <c r="A2129" s="1">
        <v>44091</v>
      </c>
      <c r="B2129">
        <v>2020</v>
      </c>
      <c r="C2129" t="s">
        <v>39</v>
      </c>
      <c r="D2129" s="4">
        <v>260190</v>
      </c>
      <c r="E2129" s="2">
        <v>284701</v>
      </c>
      <c r="F2129" t="s">
        <v>19</v>
      </c>
      <c r="G2129" t="s">
        <v>20</v>
      </c>
      <c r="H2129">
        <v>3</v>
      </c>
      <c r="I2129">
        <v>3</v>
      </c>
      <c r="J2129">
        <v>953</v>
      </c>
      <c r="K2129" s="5">
        <v>1.0254394999999999E-2</v>
      </c>
      <c r="L2129" t="s">
        <v>27</v>
      </c>
      <c r="M2129" s="4">
        <v>24511</v>
      </c>
      <c r="N2129" s="3">
        <v>298.74189999999999</v>
      </c>
      <c r="O2129" t="s">
        <v>22</v>
      </c>
      <c r="P2129" t="s">
        <v>24</v>
      </c>
      <c r="Q2129" t="s">
        <v>24</v>
      </c>
      <c r="R2129" t="s">
        <v>51</v>
      </c>
      <c r="S2129">
        <v>9</v>
      </c>
    </row>
    <row r="2130" spans="1:19" x14ac:dyDescent="0.3">
      <c r="A2130" s="1">
        <v>44093</v>
      </c>
      <c r="B2130">
        <v>2020</v>
      </c>
      <c r="C2130" t="s">
        <v>29</v>
      </c>
      <c r="D2130" s="4">
        <v>329840</v>
      </c>
      <c r="E2130" s="2">
        <v>674933</v>
      </c>
      <c r="F2130" t="s">
        <v>19</v>
      </c>
      <c r="G2130" t="s">
        <v>20</v>
      </c>
      <c r="H2130">
        <v>3</v>
      </c>
      <c r="I2130">
        <v>3</v>
      </c>
      <c r="J2130">
        <v>1069</v>
      </c>
      <c r="K2130" s="5">
        <v>1.0254394999999999E-2</v>
      </c>
      <c r="L2130" t="s">
        <v>32</v>
      </c>
      <c r="M2130" s="4">
        <v>345093</v>
      </c>
      <c r="N2130" s="3">
        <v>631.36860000000001</v>
      </c>
      <c r="O2130" t="s">
        <v>22</v>
      </c>
      <c r="P2130" t="s">
        <v>28</v>
      </c>
      <c r="Q2130" t="s">
        <v>24</v>
      </c>
      <c r="R2130" t="s">
        <v>51</v>
      </c>
      <c r="S2130">
        <v>9</v>
      </c>
    </row>
    <row r="2131" spans="1:19" x14ac:dyDescent="0.3">
      <c r="A2131" s="1">
        <v>44094</v>
      </c>
      <c r="B2131">
        <v>2020</v>
      </c>
      <c r="C2131" t="s">
        <v>26</v>
      </c>
      <c r="D2131" s="4">
        <v>444584.20699999999</v>
      </c>
      <c r="E2131" s="2">
        <v>390000</v>
      </c>
      <c r="F2131" t="s">
        <v>30</v>
      </c>
      <c r="G2131" t="s">
        <v>31</v>
      </c>
      <c r="H2131">
        <v>4</v>
      </c>
      <c r="I2131">
        <v>3</v>
      </c>
      <c r="J2131">
        <v>1243</v>
      </c>
      <c r="K2131" s="5">
        <v>1.0254394999999999E-2</v>
      </c>
      <c r="L2131" t="s">
        <v>27</v>
      </c>
      <c r="M2131" s="4">
        <v>-54584.207000000002</v>
      </c>
      <c r="N2131" s="3">
        <v>313.75700000000001</v>
      </c>
      <c r="O2131" t="s">
        <v>33</v>
      </c>
      <c r="P2131" t="s">
        <v>24</v>
      </c>
      <c r="Q2131" t="s">
        <v>24</v>
      </c>
      <c r="R2131" t="s">
        <v>51</v>
      </c>
      <c r="S2131">
        <v>9</v>
      </c>
    </row>
    <row r="2132" spans="1:19" x14ac:dyDescent="0.3">
      <c r="A2132" s="1">
        <v>44095</v>
      </c>
      <c r="B2132">
        <v>2020</v>
      </c>
      <c r="C2132" t="s">
        <v>29</v>
      </c>
      <c r="D2132" s="4">
        <v>116810</v>
      </c>
      <c r="E2132" s="2">
        <v>116600</v>
      </c>
      <c r="F2132" t="s">
        <v>30</v>
      </c>
      <c r="G2132" t="s">
        <v>31</v>
      </c>
      <c r="H2132">
        <v>4</v>
      </c>
      <c r="I2132">
        <v>2</v>
      </c>
      <c r="J2132">
        <v>1392</v>
      </c>
      <c r="K2132" s="5">
        <v>1.0254394999999999E-2</v>
      </c>
      <c r="L2132" t="s">
        <v>32</v>
      </c>
      <c r="M2132" s="4">
        <v>-210</v>
      </c>
      <c r="N2132" s="3">
        <v>83.764399999999995</v>
      </c>
      <c r="O2132" t="s">
        <v>33</v>
      </c>
      <c r="P2132" t="s">
        <v>23</v>
      </c>
      <c r="Q2132" t="s">
        <v>34</v>
      </c>
      <c r="R2132" t="s">
        <v>51</v>
      </c>
      <c r="S2132">
        <v>9</v>
      </c>
    </row>
    <row r="2133" spans="1:19" x14ac:dyDescent="0.3">
      <c r="A2133" s="1">
        <v>44098</v>
      </c>
      <c r="B2133">
        <v>2020</v>
      </c>
      <c r="C2133" t="s">
        <v>52</v>
      </c>
      <c r="D2133" s="4">
        <v>322700</v>
      </c>
      <c r="E2133" s="2">
        <v>426000</v>
      </c>
      <c r="F2133" t="s">
        <v>19</v>
      </c>
      <c r="G2133" t="s">
        <v>20</v>
      </c>
      <c r="H2133">
        <v>3</v>
      </c>
      <c r="I2133">
        <v>1</v>
      </c>
      <c r="J2133">
        <v>1111.6589814177564</v>
      </c>
      <c r="K2133" s="5">
        <v>1.0254394999999999E-2</v>
      </c>
      <c r="L2133" t="s">
        <v>21</v>
      </c>
      <c r="M2133" s="4">
        <v>103300</v>
      </c>
      <c r="N2133" s="3">
        <v>383.21100000000001</v>
      </c>
      <c r="O2133" t="s">
        <v>22</v>
      </c>
      <c r="P2133" t="s">
        <v>24</v>
      </c>
      <c r="Q2133" t="s">
        <v>24</v>
      </c>
      <c r="R2133" t="s">
        <v>51</v>
      </c>
      <c r="S2133">
        <v>9</v>
      </c>
    </row>
    <row r="2134" spans="1:19" x14ac:dyDescent="0.3">
      <c r="A2134" s="1">
        <v>44100</v>
      </c>
      <c r="B2134">
        <v>2020</v>
      </c>
      <c r="C2134" t="s">
        <v>39</v>
      </c>
      <c r="D2134" s="4">
        <v>234430</v>
      </c>
      <c r="E2134" s="2">
        <v>350000</v>
      </c>
      <c r="F2134" t="s">
        <v>19</v>
      </c>
      <c r="G2134" t="s">
        <v>20</v>
      </c>
      <c r="H2134">
        <v>3</v>
      </c>
      <c r="I2134">
        <v>1</v>
      </c>
      <c r="J2134">
        <v>959</v>
      </c>
      <c r="K2134" s="5">
        <v>1.0254394999999999E-2</v>
      </c>
      <c r="L2134" t="s">
        <v>38</v>
      </c>
      <c r="M2134" s="4">
        <v>115570</v>
      </c>
      <c r="N2134" s="3">
        <v>364.96350000000001</v>
      </c>
      <c r="O2134" t="s">
        <v>22</v>
      </c>
      <c r="P2134" t="s">
        <v>24</v>
      </c>
      <c r="Q2134" t="s">
        <v>24</v>
      </c>
      <c r="R2134" t="s">
        <v>51</v>
      </c>
      <c r="S2134">
        <v>9</v>
      </c>
    </row>
    <row r="2135" spans="1:19" x14ac:dyDescent="0.3">
      <c r="A2135" s="1">
        <v>44101</v>
      </c>
      <c r="B2135">
        <v>2020</v>
      </c>
      <c r="C2135" t="s">
        <v>52</v>
      </c>
      <c r="D2135" s="4">
        <v>261310</v>
      </c>
      <c r="E2135" s="2">
        <v>407500</v>
      </c>
      <c r="F2135" t="s">
        <v>19</v>
      </c>
      <c r="G2135" t="s">
        <v>20</v>
      </c>
      <c r="H2135">
        <v>3</v>
      </c>
      <c r="I2135">
        <v>2</v>
      </c>
      <c r="J2135">
        <v>907</v>
      </c>
      <c r="K2135" s="5">
        <v>1.0254394999999999E-2</v>
      </c>
      <c r="L2135" t="s">
        <v>21</v>
      </c>
      <c r="M2135" s="4">
        <v>146190</v>
      </c>
      <c r="N2135" s="3">
        <v>449.28339999999997</v>
      </c>
      <c r="O2135" t="s">
        <v>22</v>
      </c>
      <c r="P2135" t="s">
        <v>24</v>
      </c>
      <c r="Q2135" t="s">
        <v>24</v>
      </c>
      <c r="R2135" t="s">
        <v>51</v>
      </c>
      <c r="S2135">
        <v>9</v>
      </c>
    </row>
    <row r="2136" spans="1:19" x14ac:dyDescent="0.3">
      <c r="A2136" s="1">
        <v>44106</v>
      </c>
      <c r="B2136">
        <v>2020</v>
      </c>
      <c r="C2136" t="s">
        <v>40</v>
      </c>
      <c r="D2136" s="4">
        <v>131070</v>
      </c>
      <c r="E2136" s="2">
        <v>270000</v>
      </c>
      <c r="F2136" t="s">
        <v>42</v>
      </c>
      <c r="G2136" t="s">
        <v>43</v>
      </c>
      <c r="H2136">
        <v>8</v>
      </c>
      <c r="I2136">
        <v>6</v>
      </c>
      <c r="J2136">
        <v>2945</v>
      </c>
      <c r="K2136" s="5">
        <v>1.0254394999999999E-2</v>
      </c>
      <c r="L2136" t="s">
        <v>38</v>
      </c>
      <c r="M2136" s="4">
        <v>138930</v>
      </c>
      <c r="N2136" s="3">
        <v>91.680800000000005</v>
      </c>
      <c r="O2136" t="s">
        <v>22</v>
      </c>
      <c r="P2136" t="s">
        <v>24</v>
      </c>
      <c r="Q2136" t="s">
        <v>34</v>
      </c>
      <c r="R2136" t="s">
        <v>53</v>
      </c>
      <c r="S2136">
        <v>10</v>
      </c>
    </row>
    <row r="2137" spans="1:19" x14ac:dyDescent="0.3">
      <c r="A2137" s="1">
        <v>44107</v>
      </c>
      <c r="B2137">
        <v>2020</v>
      </c>
      <c r="C2137" t="s">
        <v>56</v>
      </c>
      <c r="D2137" s="4">
        <v>279450</v>
      </c>
      <c r="E2137" s="2">
        <v>500000</v>
      </c>
      <c r="F2137" t="s">
        <v>30</v>
      </c>
      <c r="G2137" t="s">
        <v>31</v>
      </c>
      <c r="H2137">
        <v>4</v>
      </c>
      <c r="I2137">
        <v>4</v>
      </c>
      <c r="J2137">
        <v>1473</v>
      </c>
      <c r="K2137" s="5">
        <v>1.0254394999999999E-2</v>
      </c>
      <c r="L2137" t="s">
        <v>38</v>
      </c>
      <c r="M2137" s="4">
        <v>220550</v>
      </c>
      <c r="N2137" s="3">
        <v>339.44330000000002</v>
      </c>
      <c r="O2137" t="s">
        <v>22</v>
      </c>
      <c r="P2137" t="s">
        <v>24</v>
      </c>
      <c r="Q2137" t="s">
        <v>34</v>
      </c>
      <c r="R2137" t="s">
        <v>53</v>
      </c>
      <c r="S2137">
        <v>10</v>
      </c>
    </row>
    <row r="2138" spans="1:19" x14ac:dyDescent="0.3">
      <c r="A2138" s="1">
        <v>44108</v>
      </c>
      <c r="B2138">
        <v>2020</v>
      </c>
      <c r="C2138" t="s">
        <v>56</v>
      </c>
      <c r="D2138" s="4">
        <v>246320</v>
      </c>
      <c r="E2138" s="2">
        <v>257000</v>
      </c>
      <c r="F2138" t="s">
        <v>19</v>
      </c>
      <c r="G2138" t="s">
        <v>20</v>
      </c>
      <c r="H2138">
        <v>3</v>
      </c>
      <c r="I2138">
        <v>1</v>
      </c>
      <c r="J2138">
        <v>1090</v>
      </c>
      <c r="K2138" s="5">
        <v>1.0254394999999999E-2</v>
      </c>
      <c r="L2138" t="s">
        <v>32</v>
      </c>
      <c r="M2138" s="4">
        <v>10680</v>
      </c>
      <c r="N2138" s="3">
        <v>235.77979999999999</v>
      </c>
      <c r="O2138" t="s">
        <v>22</v>
      </c>
      <c r="P2138" t="s">
        <v>24</v>
      </c>
      <c r="Q2138" t="s">
        <v>24</v>
      </c>
      <c r="R2138" t="s">
        <v>53</v>
      </c>
      <c r="S2138">
        <v>10</v>
      </c>
    </row>
    <row r="2139" spans="1:19" x14ac:dyDescent="0.3">
      <c r="A2139" s="1">
        <v>44113</v>
      </c>
      <c r="B2139">
        <v>2020</v>
      </c>
      <c r="C2139" t="s">
        <v>29</v>
      </c>
      <c r="D2139" s="4">
        <v>444584.20699999999</v>
      </c>
      <c r="E2139" s="2">
        <v>280000</v>
      </c>
      <c r="F2139" t="s">
        <v>30</v>
      </c>
      <c r="G2139" t="s">
        <v>31</v>
      </c>
      <c r="H2139">
        <v>4</v>
      </c>
      <c r="I2139">
        <v>2</v>
      </c>
      <c r="J2139">
        <v>1111.6589814177564</v>
      </c>
      <c r="K2139" s="5">
        <v>1.0254394999999999E-2</v>
      </c>
      <c r="L2139" t="s">
        <v>38</v>
      </c>
      <c r="M2139" s="4">
        <v>-164584.20699999999</v>
      </c>
      <c r="N2139" s="3">
        <v>251.8758</v>
      </c>
      <c r="O2139" t="s">
        <v>33</v>
      </c>
      <c r="P2139" t="s">
        <v>24</v>
      </c>
      <c r="Q2139" t="s">
        <v>24</v>
      </c>
      <c r="R2139" t="s">
        <v>53</v>
      </c>
      <c r="S2139">
        <v>10</v>
      </c>
    </row>
    <row r="2140" spans="1:19" x14ac:dyDescent="0.3">
      <c r="A2140" s="1">
        <v>44114</v>
      </c>
      <c r="B2140">
        <v>2020</v>
      </c>
      <c r="C2140" t="s">
        <v>35</v>
      </c>
      <c r="D2140" s="4">
        <v>218890</v>
      </c>
      <c r="E2140" s="2">
        <v>399900</v>
      </c>
      <c r="F2140" t="s">
        <v>19</v>
      </c>
      <c r="G2140" t="s">
        <v>20</v>
      </c>
      <c r="H2140">
        <v>3</v>
      </c>
      <c r="I2140">
        <v>1</v>
      </c>
      <c r="J2140">
        <v>903</v>
      </c>
      <c r="K2140" s="5">
        <v>1.0254394999999999E-2</v>
      </c>
      <c r="L2140" t="s">
        <v>38</v>
      </c>
      <c r="M2140" s="4">
        <v>181010</v>
      </c>
      <c r="N2140" s="3">
        <v>442.8571</v>
      </c>
      <c r="O2140" t="s">
        <v>22</v>
      </c>
      <c r="P2140" t="s">
        <v>24</v>
      </c>
      <c r="Q2140" t="s">
        <v>24</v>
      </c>
      <c r="R2140" t="s">
        <v>53</v>
      </c>
      <c r="S2140">
        <v>10</v>
      </c>
    </row>
    <row r="2141" spans="1:19" x14ac:dyDescent="0.3">
      <c r="A2141" s="1">
        <v>44115</v>
      </c>
      <c r="B2141">
        <v>2020</v>
      </c>
      <c r="C2141" t="s">
        <v>40</v>
      </c>
      <c r="D2141" s="4">
        <v>444584.20699999999</v>
      </c>
      <c r="E2141" s="2">
        <v>253400</v>
      </c>
      <c r="F2141" t="s">
        <v>19</v>
      </c>
      <c r="G2141" t="s">
        <v>20</v>
      </c>
      <c r="H2141">
        <v>3</v>
      </c>
      <c r="I2141">
        <v>1</v>
      </c>
      <c r="J2141">
        <v>1032</v>
      </c>
      <c r="K2141" s="5">
        <v>1.0254394999999999E-2</v>
      </c>
      <c r="L2141" t="s">
        <v>27</v>
      </c>
      <c r="M2141" s="4">
        <v>-191184.20699999999</v>
      </c>
      <c r="N2141" s="3">
        <v>245.54259999999999</v>
      </c>
      <c r="O2141" t="s">
        <v>33</v>
      </c>
      <c r="P2141" t="s">
        <v>24</v>
      </c>
      <c r="Q2141" t="s">
        <v>24</v>
      </c>
      <c r="R2141" t="s">
        <v>53</v>
      </c>
      <c r="S2141">
        <v>10</v>
      </c>
    </row>
    <row r="2142" spans="1:19" x14ac:dyDescent="0.3">
      <c r="A2142" s="1">
        <v>44119</v>
      </c>
      <c r="B2142">
        <v>2020</v>
      </c>
      <c r="C2142" t="s">
        <v>40</v>
      </c>
      <c r="D2142" s="4">
        <v>37140</v>
      </c>
      <c r="E2142" s="2">
        <v>117500</v>
      </c>
      <c r="F2142" t="s">
        <v>36</v>
      </c>
      <c r="G2142" t="s">
        <v>37</v>
      </c>
      <c r="H2142">
        <v>6</v>
      </c>
      <c r="I2142">
        <v>4</v>
      </c>
      <c r="J2142">
        <v>1111.6589814177564</v>
      </c>
      <c r="K2142" s="5">
        <v>1.0254394999999999E-2</v>
      </c>
      <c r="L2142" t="s">
        <v>38</v>
      </c>
      <c r="M2142" s="4">
        <v>80360</v>
      </c>
      <c r="N2142" s="3">
        <v>105.6979</v>
      </c>
      <c r="O2142" t="s">
        <v>22</v>
      </c>
      <c r="P2142" t="s">
        <v>23</v>
      </c>
      <c r="Q2142" t="s">
        <v>24</v>
      </c>
      <c r="R2142" t="s">
        <v>53</v>
      </c>
      <c r="S2142">
        <v>10</v>
      </c>
    </row>
    <row r="2143" spans="1:19" x14ac:dyDescent="0.3">
      <c r="A2143" s="1">
        <v>44120</v>
      </c>
      <c r="B2143">
        <v>2020</v>
      </c>
      <c r="C2143" t="s">
        <v>56</v>
      </c>
      <c r="D2143" s="4">
        <v>275500</v>
      </c>
      <c r="E2143" s="2">
        <v>453000</v>
      </c>
      <c r="F2143" t="s">
        <v>19</v>
      </c>
      <c r="G2143" t="s">
        <v>20</v>
      </c>
      <c r="H2143">
        <v>3</v>
      </c>
      <c r="I2143">
        <v>3</v>
      </c>
      <c r="J2143">
        <v>1030</v>
      </c>
      <c r="K2143" s="5">
        <v>1.0254394999999999E-2</v>
      </c>
      <c r="L2143" t="s">
        <v>32</v>
      </c>
      <c r="M2143" s="4">
        <v>177500</v>
      </c>
      <c r="N2143" s="3">
        <v>439.80579999999998</v>
      </c>
      <c r="O2143" t="s">
        <v>22</v>
      </c>
      <c r="P2143" t="s">
        <v>24</v>
      </c>
      <c r="Q2143" t="s">
        <v>24</v>
      </c>
      <c r="R2143" t="s">
        <v>53</v>
      </c>
      <c r="S2143">
        <v>10</v>
      </c>
    </row>
    <row r="2144" spans="1:19" x14ac:dyDescent="0.3">
      <c r="A2144" s="1">
        <v>44122</v>
      </c>
      <c r="B2144">
        <v>2020</v>
      </c>
      <c r="C2144" t="s">
        <v>40</v>
      </c>
      <c r="D2144" s="4">
        <v>136290</v>
      </c>
      <c r="E2144" s="2">
        <v>180000</v>
      </c>
      <c r="F2144" t="s">
        <v>19</v>
      </c>
      <c r="G2144" t="s">
        <v>20</v>
      </c>
      <c r="H2144">
        <v>3</v>
      </c>
      <c r="I2144">
        <v>2</v>
      </c>
      <c r="J2144">
        <v>1059</v>
      </c>
      <c r="K2144" s="5">
        <v>1.0254394999999999E-2</v>
      </c>
      <c r="L2144" t="s">
        <v>38</v>
      </c>
      <c r="M2144" s="4">
        <v>43710</v>
      </c>
      <c r="N2144" s="3">
        <v>169.9717</v>
      </c>
      <c r="O2144" t="s">
        <v>22</v>
      </c>
      <c r="P2144" t="s">
        <v>23</v>
      </c>
      <c r="Q2144" t="s">
        <v>24</v>
      </c>
      <c r="R2144" t="s">
        <v>53</v>
      </c>
      <c r="S2144">
        <v>10</v>
      </c>
    </row>
    <row r="2145" spans="1:19" x14ac:dyDescent="0.3">
      <c r="A2145" s="1">
        <v>44126</v>
      </c>
      <c r="B2145">
        <v>2020</v>
      </c>
      <c r="C2145" t="s">
        <v>29</v>
      </c>
      <c r="D2145" s="4">
        <v>121220</v>
      </c>
      <c r="E2145" s="2">
        <v>230000</v>
      </c>
      <c r="F2145" t="s">
        <v>19</v>
      </c>
      <c r="G2145" t="s">
        <v>20</v>
      </c>
      <c r="H2145">
        <v>3</v>
      </c>
      <c r="I2145">
        <v>2</v>
      </c>
      <c r="J2145">
        <v>1111.6589814177564</v>
      </c>
      <c r="K2145" s="5">
        <v>1.0254394999999999E-2</v>
      </c>
      <c r="L2145" t="s">
        <v>27</v>
      </c>
      <c r="M2145" s="4">
        <v>108780</v>
      </c>
      <c r="N2145" s="3">
        <v>206.898</v>
      </c>
      <c r="O2145" t="s">
        <v>22</v>
      </c>
      <c r="P2145" t="s">
        <v>24</v>
      </c>
      <c r="Q2145" t="s">
        <v>24</v>
      </c>
      <c r="R2145" t="s">
        <v>53</v>
      </c>
      <c r="S2145">
        <v>10</v>
      </c>
    </row>
    <row r="2146" spans="1:19" x14ac:dyDescent="0.3">
      <c r="A2146" s="1">
        <v>44127</v>
      </c>
      <c r="B2146">
        <v>2020</v>
      </c>
      <c r="C2146" t="s">
        <v>39</v>
      </c>
      <c r="D2146" s="4">
        <v>315560</v>
      </c>
      <c r="E2146" s="2">
        <v>485000</v>
      </c>
      <c r="F2146" t="s">
        <v>30</v>
      </c>
      <c r="G2146" t="s">
        <v>31</v>
      </c>
      <c r="H2146">
        <v>4</v>
      </c>
      <c r="I2146">
        <v>4</v>
      </c>
      <c r="J2146">
        <v>1256</v>
      </c>
      <c r="K2146" s="5">
        <v>1.0254394999999999E-2</v>
      </c>
      <c r="L2146" t="s">
        <v>38</v>
      </c>
      <c r="M2146" s="4">
        <v>169440</v>
      </c>
      <c r="N2146" s="3">
        <v>386.1465</v>
      </c>
      <c r="O2146" t="s">
        <v>22</v>
      </c>
      <c r="P2146" t="s">
        <v>24</v>
      </c>
      <c r="Q2146" t="s">
        <v>24</v>
      </c>
      <c r="R2146" t="s">
        <v>53</v>
      </c>
      <c r="S2146">
        <v>10</v>
      </c>
    </row>
    <row r="2147" spans="1:19" x14ac:dyDescent="0.3">
      <c r="A2147" s="1">
        <v>44128</v>
      </c>
      <c r="B2147">
        <v>2020</v>
      </c>
      <c r="C2147" t="s">
        <v>40</v>
      </c>
      <c r="D2147" s="4">
        <v>518490</v>
      </c>
      <c r="E2147" s="2">
        <v>735000</v>
      </c>
      <c r="F2147" t="s">
        <v>19</v>
      </c>
      <c r="G2147" t="s">
        <v>20</v>
      </c>
      <c r="H2147">
        <v>3</v>
      </c>
      <c r="I2147">
        <v>2</v>
      </c>
      <c r="J2147">
        <v>981</v>
      </c>
      <c r="K2147" s="5">
        <v>1.0254394999999999E-2</v>
      </c>
      <c r="L2147" t="s">
        <v>21</v>
      </c>
      <c r="M2147" s="4">
        <v>216510</v>
      </c>
      <c r="N2147" s="3">
        <v>749.2355</v>
      </c>
      <c r="O2147" t="s">
        <v>22</v>
      </c>
      <c r="P2147" t="s">
        <v>28</v>
      </c>
      <c r="Q2147" t="s">
        <v>24</v>
      </c>
      <c r="R2147" t="s">
        <v>53</v>
      </c>
      <c r="S2147">
        <v>10</v>
      </c>
    </row>
    <row r="2148" spans="1:19" x14ac:dyDescent="0.3">
      <c r="A2148" s="1">
        <v>44129</v>
      </c>
      <c r="B2148">
        <v>2020</v>
      </c>
      <c r="C2148" t="s">
        <v>39</v>
      </c>
      <c r="D2148" s="4">
        <v>384510</v>
      </c>
      <c r="E2148" s="2">
        <v>470000</v>
      </c>
      <c r="F2148" t="s">
        <v>19</v>
      </c>
      <c r="G2148" t="s">
        <v>20</v>
      </c>
      <c r="H2148">
        <v>3</v>
      </c>
      <c r="I2148">
        <v>2</v>
      </c>
      <c r="J2148">
        <v>951</v>
      </c>
      <c r="K2148" s="5">
        <v>1.0254394999999999E-2</v>
      </c>
      <c r="L2148" t="s">
        <v>27</v>
      </c>
      <c r="M2148" s="4">
        <v>85490</v>
      </c>
      <c r="N2148" s="3">
        <v>494.21660000000003</v>
      </c>
      <c r="O2148" t="s">
        <v>22</v>
      </c>
      <c r="P2148" t="s">
        <v>24</v>
      </c>
      <c r="Q2148" t="s">
        <v>24</v>
      </c>
      <c r="R2148" t="s">
        <v>53</v>
      </c>
      <c r="S2148">
        <v>10</v>
      </c>
    </row>
    <row r="2149" spans="1:19" x14ac:dyDescent="0.3">
      <c r="A2149" s="1">
        <v>44130</v>
      </c>
      <c r="B2149">
        <v>2020</v>
      </c>
      <c r="C2149" t="s">
        <v>29</v>
      </c>
      <c r="D2149" s="4">
        <v>136480</v>
      </c>
      <c r="E2149" s="2">
        <v>317500</v>
      </c>
      <c r="F2149" t="s">
        <v>19</v>
      </c>
      <c r="G2149" t="s">
        <v>20</v>
      </c>
      <c r="H2149">
        <v>3</v>
      </c>
      <c r="I2149">
        <v>2</v>
      </c>
      <c r="J2149">
        <v>987</v>
      </c>
      <c r="K2149" s="5">
        <v>1.0254394999999999E-2</v>
      </c>
      <c r="L2149" t="s">
        <v>27</v>
      </c>
      <c r="M2149" s="4">
        <v>181020</v>
      </c>
      <c r="N2149" s="3">
        <v>321.68189999999998</v>
      </c>
      <c r="O2149" t="s">
        <v>22</v>
      </c>
      <c r="P2149" t="s">
        <v>24</v>
      </c>
      <c r="Q2149" t="s">
        <v>24</v>
      </c>
      <c r="R2149" t="s">
        <v>53</v>
      </c>
      <c r="S2149">
        <v>10</v>
      </c>
    </row>
    <row r="2150" spans="1:19" x14ac:dyDescent="0.3">
      <c r="A2150" s="1">
        <v>44133</v>
      </c>
      <c r="B2150">
        <v>2020</v>
      </c>
      <c r="C2150" t="s">
        <v>52</v>
      </c>
      <c r="D2150" s="4">
        <v>158620</v>
      </c>
      <c r="E2150" s="2">
        <v>260000</v>
      </c>
      <c r="F2150" t="s">
        <v>19</v>
      </c>
      <c r="G2150" t="s">
        <v>20</v>
      </c>
      <c r="H2150">
        <v>3</v>
      </c>
      <c r="I2150">
        <v>1</v>
      </c>
      <c r="J2150">
        <v>1027</v>
      </c>
      <c r="K2150" s="5">
        <v>1.0254394999999999E-2</v>
      </c>
      <c r="L2150" t="s">
        <v>21</v>
      </c>
      <c r="M2150" s="4">
        <v>101380</v>
      </c>
      <c r="N2150" s="3">
        <v>253.16460000000001</v>
      </c>
      <c r="O2150" t="s">
        <v>22</v>
      </c>
      <c r="P2150" t="s">
        <v>24</v>
      </c>
      <c r="Q2150" t="s">
        <v>24</v>
      </c>
      <c r="R2150" t="s">
        <v>53</v>
      </c>
      <c r="S2150">
        <v>10</v>
      </c>
    </row>
    <row r="2151" spans="1:19" x14ac:dyDescent="0.3">
      <c r="A2151" s="1">
        <v>44134</v>
      </c>
      <c r="B2151">
        <v>2020</v>
      </c>
      <c r="C2151" t="s">
        <v>35</v>
      </c>
      <c r="D2151" s="4">
        <v>781410</v>
      </c>
      <c r="E2151" s="2">
        <v>1275000</v>
      </c>
      <c r="F2151" t="s">
        <v>19</v>
      </c>
      <c r="G2151" t="s">
        <v>20</v>
      </c>
      <c r="H2151">
        <v>3</v>
      </c>
      <c r="I2151">
        <v>2</v>
      </c>
      <c r="J2151">
        <v>1063</v>
      </c>
      <c r="K2151" s="5">
        <v>1.0254394999999999E-2</v>
      </c>
      <c r="L2151" t="s">
        <v>32</v>
      </c>
      <c r="M2151" s="4">
        <v>493590</v>
      </c>
      <c r="N2151" s="3">
        <v>1199.4356</v>
      </c>
      <c r="O2151" t="s">
        <v>22</v>
      </c>
      <c r="P2151" t="s">
        <v>28</v>
      </c>
      <c r="Q2151" t="s">
        <v>24</v>
      </c>
      <c r="R2151" t="s">
        <v>53</v>
      </c>
      <c r="S2151">
        <v>10</v>
      </c>
    </row>
    <row r="2152" spans="1:19" x14ac:dyDescent="0.3">
      <c r="A2152" s="1">
        <v>44135</v>
      </c>
      <c r="B2152">
        <v>2020</v>
      </c>
      <c r="C2152" t="s">
        <v>29</v>
      </c>
      <c r="D2152" s="4">
        <v>185480</v>
      </c>
      <c r="E2152" s="2">
        <v>212533</v>
      </c>
      <c r="F2152" t="s">
        <v>19</v>
      </c>
      <c r="G2152" t="s">
        <v>20</v>
      </c>
      <c r="H2152">
        <v>3</v>
      </c>
      <c r="I2152">
        <v>3</v>
      </c>
      <c r="J2152">
        <v>977</v>
      </c>
      <c r="K2152" s="5">
        <v>1.0254394999999999E-2</v>
      </c>
      <c r="L2152" t="s">
        <v>21</v>
      </c>
      <c r="M2152" s="4">
        <v>27053</v>
      </c>
      <c r="N2152" s="3">
        <v>217.53630000000001</v>
      </c>
      <c r="O2152" t="s">
        <v>22</v>
      </c>
      <c r="P2152" t="s">
        <v>24</v>
      </c>
      <c r="Q2152" t="s">
        <v>24</v>
      </c>
      <c r="R2152" t="s">
        <v>53</v>
      </c>
      <c r="S2152">
        <v>10</v>
      </c>
    </row>
    <row r="2153" spans="1:19" x14ac:dyDescent="0.3">
      <c r="A2153" s="1">
        <v>44137</v>
      </c>
      <c r="B2153">
        <v>2020</v>
      </c>
      <c r="C2153" t="s">
        <v>29</v>
      </c>
      <c r="D2153" s="4">
        <v>156960</v>
      </c>
      <c r="E2153" s="2">
        <v>170000</v>
      </c>
      <c r="F2153" t="s">
        <v>19</v>
      </c>
      <c r="G2153" t="s">
        <v>20</v>
      </c>
      <c r="H2153">
        <v>3</v>
      </c>
      <c r="I2153">
        <v>3</v>
      </c>
      <c r="J2153">
        <v>1075</v>
      </c>
      <c r="K2153" s="5">
        <v>1.0254394999999999E-2</v>
      </c>
      <c r="L2153" t="s">
        <v>38</v>
      </c>
      <c r="M2153" s="4">
        <v>13040</v>
      </c>
      <c r="N2153" s="3">
        <v>158.1395</v>
      </c>
      <c r="O2153" t="s">
        <v>22</v>
      </c>
      <c r="P2153" t="s">
        <v>23</v>
      </c>
      <c r="Q2153" t="s">
        <v>24</v>
      </c>
      <c r="R2153" t="s">
        <v>54</v>
      </c>
      <c r="S2153">
        <v>11</v>
      </c>
    </row>
    <row r="2154" spans="1:19" x14ac:dyDescent="0.3">
      <c r="A2154" s="1">
        <v>44140</v>
      </c>
      <c r="B2154">
        <v>2020</v>
      </c>
      <c r="C2154" t="s">
        <v>52</v>
      </c>
      <c r="D2154" s="4">
        <v>134680</v>
      </c>
      <c r="E2154" s="2">
        <v>178000</v>
      </c>
      <c r="F2154" t="s">
        <v>19</v>
      </c>
      <c r="G2154" t="s">
        <v>20</v>
      </c>
      <c r="H2154">
        <v>3</v>
      </c>
      <c r="I2154">
        <v>3</v>
      </c>
      <c r="J2154">
        <v>1029</v>
      </c>
      <c r="K2154" s="5">
        <v>1.0254394999999999E-2</v>
      </c>
      <c r="L2154" t="s">
        <v>27</v>
      </c>
      <c r="M2154" s="4">
        <v>43320</v>
      </c>
      <c r="N2154" s="3">
        <v>172.98349999999999</v>
      </c>
      <c r="O2154" t="s">
        <v>22</v>
      </c>
      <c r="P2154" t="s">
        <v>23</v>
      </c>
      <c r="Q2154" t="s">
        <v>24</v>
      </c>
      <c r="R2154" t="s">
        <v>54</v>
      </c>
      <c r="S2154">
        <v>11</v>
      </c>
    </row>
    <row r="2155" spans="1:19" x14ac:dyDescent="0.3">
      <c r="A2155" s="1">
        <v>44141</v>
      </c>
      <c r="B2155">
        <v>2020</v>
      </c>
      <c r="C2155" t="s">
        <v>39</v>
      </c>
      <c r="D2155" s="4">
        <v>283500</v>
      </c>
      <c r="E2155" s="2">
        <v>445500</v>
      </c>
      <c r="F2155" t="s">
        <v>19</v>
      </c>
      <c r="G2155" t="s">
        <v>20</v>
      </c>
      <c r="H2155">
        <v>3</v>
      </c>
      <c r="I2155">
        <v>3</v>
      </c>
      <c r="J2155">
        <v>1041</v>
      </c>
      <c r="K2155" s="5">
        <v>1.0254394999999999E-2</v>
      </c>
      <c r="L2155" t="s">
        <v>32</v>
      </c>
      <c r="M2155" s="4">
        <v>162000</v>
      </c>
      <c r="N2155" s="3">
        <v>427.95389999999998</v>
      </c>
      <c r="O2155" t="s">
        <v>22</v>
      </c>
      <c r="P2155" t="s">
        <v>24</v>
      </c>
      <c r="Q2155" t="s">
        <v>24</v>
      </c>
      <c r="R2155" t="s">
        <v>54</v>
      </c>
      <c r="S2155">
        <v>11</v>
      </c>
    </row>
    <row r="2156" spans="1:19" x14ac:dyDescent="0.3">
      <c r="A2156" s="1">
        <v>44142</v>
      </c>
      <c r="B2156">
        <v>2020</v>
      </c>
      <c r="C2156" t="s">
        <v>40</v>
      </c>
      <c r="D2156" s="4">
        <v>444584.20699999999</v>
      </c>
      <c r="E2156" s="2">
        <v>445000</v>
      </c>
      <c r="F2156" t="s">
        <v>19</v>
      </c>
      <c r="G2156" t="s">
        <v>20</v>
      </c>
      <c r="H2156">
        <v>3</v>
      </c>
      <c r="I2156">
        <v>2</v>
      </c>
      <c r="J2156">
        <v>1085</v>
      </c>
      <c r="K2156" s="5">
        <v>1.0254394999999999E-2</v>
      </c>
      <c r="L2156" t="s">
        <v>32</v>
      </c>
      <c r="M2156" s="4">
        <v>415.79300000000001</v>
      </c>
      <c r="N2156" s="3">
        <v>410.13819999999998</v>
      </c>
      <c r="O2156" t="s">
        <v>22</v>
      </c>
      <c r="P2156" t="s">
        <v>24</v>
      </c>
      <c r="Q2156" t="s">
        <v>24</v>
      </c>
      <c r="R2156" t="s">
        <v>54</v>
      </c>
      <c r="S2156">
        <v>11</v>
      </c>
    </row>
    <row r="2157" spans="1:19" x14ac:dyDescent="0.3">
      <c r="A2157" s="1">
        <v>44143</v>
      </c>
      <c r="B2157">
        <v>2020</v>
      </c>
      <c r="C2157" t="s">
        <v>29</v>
      </c>
      <c r="D2157" s="4">
        <v>113970</v>
      </c>
      <c r="E2157" s="2">
        <v>113000</v>
      </c>
      <c r="F2157" t="s">
        <v>30</v>
      </c>
      <c r="G2157" t="s">
        <v>31</v>
      </c>
      <c r="H2157">
        <v>4</v>
      </c>
      <c r="I2157">
        <v>3</v>
      </c>
      <c r="J2157">
        <v>1456</v>
      </c>
      <c r="K2157" s="5">
        <v>1.0254394999999999E-2</v>
      </c>
      <c r="L2157" t="s">
        <v>32</v>
      </c>
      <c r="M2157" s="4">
        <v>-970</v>
      </c>
      <c r="N2157" s="3">
        <v>77.609899999999996</v>
      </c>
      <c r="O2157" t="s">
        <v>33</v>
      </c>
      <c r="P2157" t="s">
        <v>23</v>
      </c>
      <c r="Q2157" t="s">
        <v>34</v>
      </c>
      <c r="R2157" t="s">
        <v>54</v>
      </c>
      <c r="S2157">
        <v>11</v>
      </c>
    </row>
    <row r="2158" spans="1:19" x14ac:dyDescent="0.3">
      <c r="A2158" s="1">
        <v>44144</v>
      </c>
      <c r="B2158">
        <v>2020</v>
      </c>
      <c r="C2158" t="s">
        <v>18</v>
      </c>
      <c r="D2158" s="4">
        <v>444584.20699999999</v>
      </c>
      <c r="E2158" s="2">
        <v>102000</v>
      </c>
      <c r="F2158" t="s">
        <v>19</v>
      </c>
      <c r="G2158" t="s">
        <v>20</v>
      </c>
      <c r="H2158">
        <v>3</v>
      </c>
      <c r="I2158">
        <v>3</v>
      </c>
      <c r="J2158">
        <v>1024</v>
      </c>
      <c r="K2158" s="5">
        <v>1.0254394999999999E-2</v>
      </c>
      <c r="L2158" t="s">
        <v>27</v>
      </c>
      <c r="M2158" s="4">
        <v>-342584.20699999999</v>
      </c>
      <c r="N2158" s="3">
        <v>99.609399999999994</v>
      </c>
      <c r="O2158" t="s">
        <v>33</v>
      </c>
      <c r="P2158" t="s">
        <v>23</v>
      </c>
      <c r="Q2158" t="s">
        <v>24</v>
      </c>
      <c r="R2158" t="s">
        <v>54</v>
      </c>
      <c r="S2158">
        <v>11</v>
      </c>
    </row>
    <row r="2159" spans="1:19" x14ac:dyDescent="0.3">
      <c r="A2159" s="1">
        <v>44148</v>
      </c>
      <c r="B2159">
        <v>2020</v>
      </c>
      <c r="C2159" t="s">
        <v>52</v>
      </c>
      <c r="D2159" s="4">
        <v>102340</v>
      </c>
      <c r="E2159" s="2">
        <v>169900</v>
      </c>
      <c r="F2159" t="s">
        <v>19</v>
      </c>
      <c r="G2159" t="s">
        <v>20</v>
      </c>
      <c r="H2159">
        <v>3</v>
      </c>
      <c r="I2159">
        <v>3</v>
      </c>
      <c r="J2159">
        <v>926</v>
      </c>
      <c r="K2159" s="5">
        <v>1.0254394999999999E-2</v>
      </c>
      <c r="L2159" t="s">
        <v>38</v>
      </c>
      <c r="M2159" s="4">
        <v>67560</v>
      </c>
      <c r="N2159" s="3">
        <v>183.47730000000001</v>
      </c>
      <c r="O2159" t="s">
        <v>22</v>
      </c>
      <c r="P2159" t="s">
        <v>23</v>
      </c>
      <c r="Q2159" t="s">
        <v>24</v>
      </c>
      <c r="R2159" t="s">
        <v>54</v>
      </c>
      <c r="S2159">
        <v>11</v>
      </c>
    </row>
    <row r="2160" spans="1:19" x14ac:dyDescent="0.3">
      <c r="A2160" s="1">
        <v>44149</v>
      </c>
      <c r="B2160">
        <v>2020</v>
      </c>
      <c r="C2160" t="s">
        <v>52</v>
      </c>
      <c r="D2160" s="4">
        <v>157080</v>
      </c>
      <c r="E2160" s="2">
        <v>250000</v>
      </c>
      <c r="F2160" t="s">
        <v>19</v>
      </c>
      <c r="G2160" t="s">
        <v>20</v>
      </c>
      <c r="H2160">
        <v>3</v>
      </c>
      <c r="I2160">
        <v>2</v>
      </c>
      <c r="J2160">
        <v>1088</v>
      </c>
      <c r="K2160" s="5">
        <v>1.0254394999999999E-2</v>
      </c>
      <c r="L2160" t="s">
        <v>32</v>
      </c>
      <c r="M2160" s="4">
        <v>92920</v>
      </c>
      <c r="N2160" s="3">
        <v>229.77940000000001</v>
      </c>
      <c r="O2160" t="s">
        <v>22</v>
      </c>
      <c r="P2160" t="s">
        <v>24</v>
      </c>
      <c r="Q2160" t="s">
        <v>24</v>
      </c>
      <c r="R2160" t="s">
        <v>54</v>
      </c>
      <c r="S2160">
        <v>11</v>
      </c>
    </row>
    <row r="2161" spans="1:19" x14ac:dyDescent="0.3">
      <c r="A2161" s="1">
        <v>44150</v>
      </c>
      <c r="B2161">
        <v>2020</v>
      </c>
      <c r="C2161" t="s">
        <v>39</v>
      </c>
      <c r="D2161" s="4">
        <v>415520</v>
      </c>
      <c r="E2161" s="2">
        <v>445000</v>
      </c>
      <c r="F2161" t="s">
        <v>19</v>
      </c>
      <c r="G2161" t="s">
        <v>20</v>
      </c>
      <c r="H2161">
        <v>3</v>
      </c>
      <c r="I2161">
        <v>1</v>
      </c>
      <c r="J2161">
        <v>1004</v>
      </c>
      <c r="K2161" s="5">
        <v>1.0254394999999999E-2</v>
      </c>
      <c r="L2161" t="s">
        <v>21</v>
      </c>
      <c r="M2161" s="4">
        <v>29480</v>
      </c>
      <c r="N2161" s="3">
        <v>443.22710000000001</v>
      </c>
      <c r="O2161" t="s">
        <v>22</v>
      </c>
      <c r="P2161" t="s">
        <v>24</v>
      </c>
      <c r="Q2161" t="s">
        <v>24</v>
      </c>
      <c r="R2161" t="s">
        <v>54</v>
      </c>
      <c r="S2161">
        <v>11</v>
      </c>
    </row>
    <row r="2162" spans="1:19" x14ac:dyDescent="0.3">
      <c r="A2162" s="1">
        <v>44151</v>
      </c>
      <c r="B2162">
        <v>2020</v>
      </c>
      <c r="C2162" t="s">
        <v>29</v>
      </c>
      <c r="D2162" s="4">
        <v>95200</v>
      </c>
      <c r="E2162" s="2">
        <v>135555</v>
      </c>
      <c r="F2162" t="s">
        <v>30</v>
      </c>
      <c r="G2162" t="s">
        <v>31</v>
      </c>
      <c r="H2162">
        <v>4</v>
      </c>
      <c r="I2162">
        <v>3</v>
      </c>
      <c r="J2162">
        <v>1216</v>
      </c>
      <c r="K2162" s="5">
        <v>1.0254394999999999E-2</v>
      </c>
      <c r="L2162" t="s">
        <v>27</v>
      </c>
      <c r="M2162" s="4">
        <v>40355</v>
      </c>
      <c r="N2162" s="3">
        <v>111.47620000000001</v>
      </c>
      <c r="O2162" t="s">
        <v>22</v>
      </c>
      <c r="P2162" t="s">
        <v>23</v>
      </c>
      <c r="Q2162" t="s">
        <v>24</v>
      </c>
      <c r="R2162" t="s">
        <v>54</v>
      </c>
      <c r="S2162">
        <v>11</v>
      </c>
    </row>
    <row r="2163" spans="1:19" x14ac:dyDescent="0.3">
      <c r="A2163" s="1">
        <v>44154</v>
      </c>
      <c r="B2163">
        <v>2020</v>
      </c>
      <c r="C2163" t="s">
        <v>52</v>
      </c>
      <c r="D2163" s="4">
        <v>131600</v>
      </c>
      <c r="E2163" s="2">
        <v>217000</v>
      </c>
      <c r="F2163" t="s">
        <v>19</v>
      </c>
      <c r="G2163" t="s">
        <v>20</v>
      </c>
      <c r="H2163">
        <v>3</v>
      </c>
      <c r="I2163">
        <v>2</v>
      </c>
      <c r="J2163">
        <v>1061</v>
      </c>
      <c r="K2163" s="5">
        <v>1.0254394999999999E-2</v>
      </c>
      <c r="L2163" t="s">
        <v>32</v>
      </c>
      <c r="M2163" s="4">
        <v>85400</v>
      </c>
      <c r="N2163" s="3">
        <v>204.524</v>
      </c>
      <c r="O2163" t="s">
        <v>22</v>
      </c>
      <c r="P2163" t="s">
        <v>24</v>
      </c>
      <c r="Q2163" t="s">
        <v>24</v>
      </c>
      <c r="R2163" t="s">
        <v>54</v>
      </c>
      <c r="S2163">
        <v>11</v>
      </c>
    </row>
    <row r="2164" spans="1:19" x14ac:dyDescent="0.3">
      <c r="A2164" s="1">
        <v>44155</v>
      </c>
      <c r="B2164">
        <v>2020</v>
      </c>
      <c r="C2164" t="s">
        <v>52</v>
      </c>
      <c r="D2164" s="4">
        <v>258370</v>
      </c>
      <c r="E2164" s="2">
        <v>369000</v>
      </c>
      <c r="F2164" t="s">
        <v>19</v>
      </c>
      <c r="G2164" t="s">
        <v>20</v>
      </c>
      <c r="H2164">
        <v>3</v>
      </c>
      <c r="I2164">
        <v>1</v>
      </c>
      <c r="J2164">
        <v>1088</v>
      </c>
      <c r="K2164" s="5">
        <v>1.0254394999999999E-2</v>
      </c>
      <c r="L2164" t="s">
        <v>21</v>
      </c>
      <c r="M2164" s="4">
        <v>110630</v>
      </c>
      <c r="N2164" s="3">
        <v>339.15440000000001</v>
      </c>
      <c r="O2164" t="s">
        <v>22</v>
      </c>
      <c r="P2164" t="s">
        <v>24</v>
      </c>
      <c r="Q2164" t="s">
        <v>24</v>
      </c>
      <c r="R2164" t="s">
        <v>54</v>
      </c>
      <c r="S2164">
        <v>11</v>
      </c>
    </row>
    <row r="2165" spans="1:19" x14ac:dyDescent="0.3">
      <c r="A2165" s="1">
        <v>44156</v>
      </c>
      <c r="B2165">
        <v>2020</v>
      </c>
      <c r="C2165" t="s">
        <v>40</v>
      </c>
      <c r="D2165" s="4">
        <v>183570</v>
      </c>
      <c r="E2165" s="2">
        <v>215000</v>
      </c>
      <c r="F2165" t="s">
        <v>19</v>
      </c>
      <c r="G2165" t="s">
        <v>20</v>
      </c>
      <c r="H2165">
        <v>3</v>
      </c>
      <c r="I2165">
        <v>2</v>
      </c>
      <c r="J2165">
        <v>1040</v>
      </c>
      <c r="K2165" s="5">
        <v>1.0254394999999999E-2</v>
      </c>
      <c r="L2165" t="s">
        <v>27</v>
      </c>
      <c r="M2165" s="4">
        <v>31430</v>
      </c>
      <c r="N2165" s="3">
        <v>206.73079999999999</v>
      </c>
      <c r="O2165" t="s">
        <v>22</v>
      </c>
      <c r="P2165" t="s">
        <v>24</v>
      </c>
      <c r="Q2165" t="s">
        <v>24</v>
      </c>
      <c r="R2165" t="s">
        <v>54</v>
      </c>
      <c r="S2165">
        <v>11</v>
      </c>
    </row>
    <row r="2166" spans="1:19" x14ac:dyDescent="0.3">
      <c r="A2166" s="1">
        <v>44162</v>
      </c>
      <c r="B2166">
        <v>2020</v>
      </c>
      <c r="C2166" t="s">
        <v>29</v>
      </c>
      <c r="D2166" s="4">
        <v>75890</v>
      </c>
      <c r="E2166" s="2">
        <v>134000</v>
      </c>
      <c r="F2166" t="s">
        <v>19</v>
      </c>
      <c r="G2166" t="s">
        <v>20</v>
      </c>
      <c r="H2166">
        <v>3</v>
      </c>
      <c r="I2166">
        <v>3</v>
      </c>
      <c r="J2166">
        <v>1042</v>
      </c>
      <c r="K2166" s="5">
        <v>1.0254394999999999E-2</v>
      </c>
      <c r="L2166" t="s">
        <v>32</v>
      </c>
      <c r="M2166" s="4">
        <v>58110</v>
      </c>
      <c r="N2166" s="3">
        <v>128.59880000000001</v>
      </c>
      <c r="O2166" t="s">
        <v>22</v>
      </c>
      <c r="P2166" t="s">
        <v>23</v>
      </c>
      <c r="Q2166" t="s">
        <v>24</v>
      </c>
      <c r="R2166" t="s">
        <v>54</v>
      </c>
      <c r="S2166">
        <v>11</v>
      </c>
    </row>
    <row r="2167" spans="1:19" x14ac:dyDescent="0.3">
      <c r="A2167" s="1">
        <v>44163</v>
      </c>
      <c r="B2167">
        <v>2020</v>
      </c>
      <c r="C2167" t="s">
        <v>40</v>
      </c>
      <c r="D2167" s="4">
        <v>444584.20699999999</v>
      </c>
      <c r="E2167" s="2">
        <v>269900</v>
      </c>
      <c r="F2167" t="s">
        <v>19</v>
      </c>
      <c r="G2167" t="s">
        <v>20</v>
      </c>
      <c r="H2167">
        <v>3</v>
      </c>
      <c r="I2167">
        <v>1</v>
      </c>
      <c r="J2167">
        <v>1065</v>
      </c>
      <c r="K2167" s="5">
        <v>1.0254394999999999E-2</v>
      </c>
      <c r="L2167" t="s">
        <v>21</v>
      </c>
      <c r="M2167" s="4">
        <v>-174684.20699999999</v>
      </c>
      <c r="N2167" s="3">
        <v>253.4272</v>
      </c>
      <c r="O2167" t="s">
        <v>33</v>
      </c>
      <c r="P2167" t="s">
        <v>24</v>
      </c>
      <c r="Q2167" t="s">
        <v>24</v>
      </c>
      <c r="R2167" t="s">
        <v>54</v>
      </c>
      <c r="S2167">
        <v>11</v>
      </c>
    </row>
    <row r="2168" spans="1:19" x14ac:dyDescent="0.3">
      <c r="A2168" s="1">
        <v>44164</v>
      </c>
      <c r="B2168">
        <v>2020</v>
      </c>
      <c r="C2168" t="s">
        <v>29</v>
      </c>
      <c r="D2168" s="4">
        <v>103200</v>
      </c>
      <c r="E2168" s="2">
        <v>180500</v>
      </c>
      <c r="F2168" t="s">
        <v>30</v>
      </c>
      <c r="G2168" t="s">
        <v>31</v>
      </c>
      <c r="H2168">
        <v>4</v>
      </c>
      <c r="I2168">
        <v>3</v>
      </c>
      <c r="J2168">
        <v>1258</v>
      </c>
      <c r="K2168" s="5">
        <v>1.0254394999999999E-2</v>
      </c>
      <c r="L2168" t="s">
        <v>27</v>
      </c>
      <c r="M2168" s="4">
        <v>77300</v>
      </c>
      <c r="N2168" s="3">
        <v>143.48169999999999</v>
      </c>
      <c r="O2168" t="s">
        <v>22</v>
      </c>
      <c r="P2168" t="s">
        <v>23</v>
      </c>
      <c r="Q2168" t="s">
        <v>24</v>
      </c>
      <c r="R2168" t="s">
        <v>54</v>
      </c>
      <c r="S2168">
        <v>11</v>
      </c>
    </row>
    <row r="2169" spans="1:19" x14ac:dyDescent="0.3">
      <c r="A2169" s="1">
        <v>44165</v>
      </c>
      <c r="B2169">
        <v>2020</v>
      </c>
      <c r="C2169" t="s">
        <v>18</v>
      </c>
      <c r="D2169" s="4">
        <v>73960</v>
      </c>
      <c r="E2169" s="2">
        <v>118750</v>
      </c>
      <c r="F2169" t="s">
        <v>19</v>
      </c>
      <c r="G2169" t="s">
        <v>20</v>
      </c>
      <c r="H2169">
        <v>3</v>
      </c>
      <c r="I2169">
        <v>1</v>
      </c>
      <c r="J2169">
        <v>1074</v>
      </c>
      <c r="K2169" s="5">
        <v>1.0254394999999999E-2</v>
      </c>
      <c r="L2169" t="s">
        <v>32</v>
      </c>
      <c r="M2169" s="4">
        <v>44790</v>
      </c>
      <c r="N2169" s="3">
        <v>110.568</v>
      </c>
      <c r="O2169" t="s">
        <v>22</v>
      </c>
      <c r="P2169" t="s">
        <v>23</v>
      </c>
      <c r="Q2169" t="s">
        <v>24</v>
      </c>
      <c r="R2169" t="s">
        <v>54</v>
      </c>
      <c r="S2169">
        <v>11</v>
      </c>
    </row>
    <row r="2170" spans="1:19" x14ac:dyDescent="0.3">
      <c r="A2170" s="1">
        <v>44168</v>
      </c>
      <c r="B2170">
        <v>2020</v>
      </c>
      <c r="C2170" t="s">
        <v>29</v>
      </c>
      <c r="D2170" s="4">
        <v>80060</v>
      </c>
      <c r="E2170" s="2">
        <v>107000</v>
      </c>
      <c r="F2170" t="s">
        <v>19</v>
      </c>
      <c r="G2170" t="s">
        <v>20</v>
      </c>
      <c r="H2170">
        <v>3</v>
      </c>
      <c r="I2170">
        <v>3</v>
      </c>
      <c r="J2170">
        <v>1089</v>
      </c>
      <c r="K2170" s="5">
        <v>1.0254394999999999E-2</v>
      </c>
      <c r="L2170" t="s">
        <v>32</v>
      </c>
      <c r="M2170" s="4">
        <v>26940</v>
      </c>
      <c r="N2170" s="3">
        <v>98.255300000000005</v>
      </c>
      <c r="O2170" t="s">
        <v>22</v>
      </c>
      <c r="P2170" t="s">
        <v>23</v>
      </c>
      <c r="Q2170" t="s">
        <v>24</v>
      </c>
      <c r="R2170" t="s">
        <v>55</v>
      </c>
      <c r="S2170">
        <v>12</v>
      </c>
    </row>
    <row r="2171" spans="1:19" x14ac:dyDescent="0.3">
      <c r="A2171" s="1">
        <v>44169</v>
      </c>
      <c r="B2171">
        <v>2020</v>
      </c>
      <c r="C2171" t="s">
        <v>40</v>
      </c>
      <c r="D2171" s="4">
        <v>924420</v>
      </c>
      <c r="E2171" s="2">
        <v>1275000</v>
      </c>
      <c r="F2171" t="s">
        <v>19</v>
      </c>
      <c r="G2171" t="s">
        <v>20</v>
      </c>
      <c r="H2171">
        <v>3</v>
      </c>
      <c r="I2171">
        <v>2</v>
      </c>
      <c r="J2171">
        <v>945</v>
      </c>
      <c r="K2171" s="5">
        <v>1.0254394999999999E-2</v>
      </c>
      <c r="L2171" t="s">
        <v>38</v>
      </c>
      <c r="M2171" s="4">
        <v>350580</v>
      </c>
      <c r="N2171" s="3">
        <v>1349.2063000000001</v>
      </c>
      <c r="O2171" t="s">
        <v>22</v>
      </c>
      <c r="P2171" t="s">
        <v>28</v>
      </c>
      <c r="Q2171" t="s">
        <v>24</v>
      </c>
      <c r="R2171" t="s">
        <v>55</v>
      </c>
      <c r="S2171">
        <v>12</v>
      </c>
    </row>
    <row r="2172" spans="1:19" x14ac:dyDescent="0.3">
      <c r="A2172" s="1">
        <v>44170</v>
      </c>
      <c r="B2172">
        <v>2020</v>
      </c>
      <c r="C2172" t="s">
        <v>18</v>
      </c>
      <c r="D2172" s="4">
        <v>76200</v>
      </c>
      <c r="E2172" s="2">
        <v>138000</v>
      </c>
      <c r="F2172" t="s">
        <v>19</v>
      </c>
      <c r="G2172" t="s">
        <v>20</v>
      </c>
      <c r="H2172">
        <v>3</v>
      </c>
      <c r="I2172">
        <v>1</v>
      </c>
      <c r="J2172">
        <v>1007</v>
      </c>
      <c r="K2172" s="5">
        <v>1.0254394999999999E-2</v>
      </c>
      <c r="L2172" t="s">
        <v>38</v>
      </c>
      <c r="M2172" s="4">
        <v>61800</v>
      </c>
      <c r="N2172" s="3">
        <v>137.04069999999999</v>
      </c>
      <c r="O2172" t="s">
        <v>22</v>
      </c>
      <c r="P2172" t="s">
        <v>23</v>
      </c>
      <c r="Q2172" t="s">
        <v>24</v>
      </c>
      <c r="R2172" t="s">
        <v>55</v>
      </c>
      <c r="S2172">
        <v>12</v>
      </c>
    </row>
    <row r="2173" spans="1:19" x14ac:dyDescent="0.3">
      <c r="A2173" s="1">
        <v>44171</v>
      </c>
      <c r="B2173">
        <v>2020</v>
      </c>
      <c r="C2173" t="s">
        <v>29</v>
      </c>
      <c r="D2173" s="4">
        <v>99800</v>
      </c>
      <c r="E2173" s="2">
        <v>215000</v>
      </c>
      <c r="F2173" t="s">
        <v>30</v>
      </c>
      <c r="G2173" t="s">
        <v>31</v>
      </c>
      <c r="H2173">
        <v>4</v>
      </c>
      <c r="I2173">
        <v>3</v>
      </c>
      <c r="J2173">
        <v>1111.6589814177564</v>
      </c>
      <c r="K2173" s="5">
        <v>1.0254394999999999E-2</v>
      </c>
      <c r="L2173" t="s">
        <v>27</v>
      </c>
      <c r="M2173" s="4">
        <v>115200</v>
      </c>
      <c r="N2173" s="3">
        <v>193.40459999999999</v>
      </c>
      <c r="O2173" t="s">
        <v>22</v>
      </c>
      <c r="P2173" t="s">
        <v>24</v>
      </c>
      <c r="Q2173" t="s">
        <v>24</v>
      </c>
      <c r="R2173" t="s">
        <v>55</v>
      </c>
      <c r="S2173">
        <v>12</v>
      </c>
    </row>
    <row r="2174" spans="1:19" x14ac:dyDescent="0.3">
      <c r="A2174" s="1">
        <v>44172</v>
      </c>
      <c r="B2174">
        <v>2020</v>
      </c>
      <c r="C2174" t="s">
        <v>35</v>
      </c>
      <c r="D2174" s="4">
        <v>2127440</v>
      </c>
      <c r="E2174" s="2">
        <v>3600000</v>
      </c>
      <c r="F2174" t="s">
        <v>19</v>
      </c>
      <c r="G2174" t="s">
        <v>20</v>
      </c>
      <c r="H2174">
        <v>3</v>
      </c>
      <c r="I2174">
        <v>2</v>
      </c>
      <c r="J2174">
        <v>1111.6589814177564</v>
      </c>
      <c r="K2174" s="5">
        <v>1.0254394999999999E-2</v>
      </c>
      <c r="L2174" t="s">
        <v>27</v>
      </c>
      <c r="M2174" s="4">
        <v>1472560</v>
      </c>
      <c r="N2174" s="3">
        <v>3238.4032000000002</v>
      </c>
      <c r="O2174" t="s">
        <v>22</v>
      </c>
      <c r="P2174" t="s">
        <v>28</v>
      </c>
      <c r="Q2174" t="s">
        <v>24</v>
      </c>
      <c r="R2174" t="s">
        <v>55</v>
      </c>
      <c r="S2174">
        <v>12</v>
      </c>
    </row>
    <row r="2175" spans="1:19" x14ac:dyDescent="0.3">
      <c r="A2175" s="1">
        <v>44175</v>
      </c>
      <c r="B2175">
        <v>2020</v>
      </c>
      <c r="C2175" t="s">
        <v>56</v>
      </c>
      <c r="D2175" s="4">
        <v>523840</v>
      </c>
      <c r="E2175" s="2">
        <v>665000</v>
      </c>
      <c r="F2175" t="s">
        <v>19</v>
      </c>
      <c r="G2175" t="s">
        <v>20</v>
      </c>
      <c r="H2175">
        <v>3</v>
      </c>
      <c r="I2175">
        <v>1</v>
      </c>
      <c r="J2175">
        <v>1021</v>
      </c>
      <c r="K2175" s="5">
        <v>1.0254394999999999E-2</v>
      </c>
      <c r="L2175" t="s">
        <v>27</v>
      </c>
      <c r="M2175" s="4">
        <v>141160</v>
      </c>
      <c r="N2175" s="3">
        <v>651.32219999999995</v>
      </c>
      <c r="O2175" t="s">
        <v>22</v>
      </c>
      <c r="P2175" t="s">
        <v>28</v>
      </c>
      <c r="Q2175" t="s">
        <v>24</v>
      </c>
      <c r="R2175" t="s">
        <v>55</v>
      </c>
      <c r="S2175">
        <v>12</v>
      </c>
    </row>
    <row r="2176" spans="1:19" x14ac:dyDescent="0.3">
      <c r="A2176" s="1">
        <v>44176</v>
      </c>
      <c r="B2176">
        <v>2020</v>
      </c>
      <c r="C2176" t="s">
        <v>35</v>
      </c>
      <c r="D2176" s="4">
        <v>879830</v>
      </c>
      <c r="E2176" s="2">
        <v>975000</v>
      </c>
      <c r="F2176" t="s">
        <v>19</v>
      </c>
      <c r="G2176" t="s">
        <v>20</v>
      </c>
      <c r="H2176">
        <v>3</v>
      </c>
      <c r="I2176">
        <v>2</v>
      </c>
      <c r="J2176">
        <v>1028</v>
      </c>
      <c r="K2176" s="5">
        <v>1.0254394999999999E-2</v>
      </c>
      <c r="L2176" t="s">
        <v>21</v>
      </c>
      <c r="M2176" s="4">
        <v>95170</v>
      </c>
      <c r="N2176" s="3">
        <v>948.44359999999995</v>
      </c>
      <c r="O2176" t="s">
        <v>22</v>
      </c>
      <c r="P2176" t="s">
        <v>28</v>
      </c>
      <c r="Q2176" t="s">
        <v>24</v>
      </c>
      <c r="R2176" t="s">
        <v>55</v>
      </c>
      <c r="S2176">
        <v>12</v>
      </c>
    </row>
    <row r="2177" spans="1:19" x14ac:dyDescent="0.3">
      <c r="A2177" s="1">
        <v>44177</v>
      </c>
      <c r="B2177">
        <v>2020</v>
      </c>
      <c r="C2177" t="s">
        <v>56</v>
      </c>
      <c r="D2177" s="4">
        <v>444584.20699999999</v>
      </c>
      <c r="E2177" s="2">
        <v>560000</v>
      </c>
      <c r="F2177" t="s">
        <v>30</v>
      </c>
      <c r="G2177" t="s">
        <v>31</v>
      </c>
      <c r="H2177">
        <v>4</v>
      </c>
      <c r="I2177">
        <v>2</v>
      </c>
      <c r="J2177">
        <v>1280</v>
      </c>
      <c r="K2177" s="5">
        <v>1.0254394999999999E-2</v>
      </c>
      <c r="L2177" t="s">
        <v>38</v>
      </c>
      <c r="M2177" s="4">
        <v>115415.79300000001</v>
      </c>
      <c r="N2177" s="3">
        <v>437.5</v>
      </c>
      <c r="O2177" t="s">
        <v>22</v>
      </c>
      <c r="P2177" t="s">
        <v>24</v>
      </c>
      <c r="Q2177" t="s">
        <v>24</v>
      </c>
      <c r="R2177" t="s">
        <v>55</v>
      </c>
      <c r="S2177">
        <v>12</v>
      </c>
    </row>
    <row r="2178" spans="1:19" x14ac:dyDescent="0.3">
      <c r="A2178" s="1">
        <v>44182</v>
      </c>
      <c r="B2178">
        <v>2020</v>
      </c>
      <c r="C2178" t="s">
        <v>35</v>
      </c>
      <c r="D2178" s="4">
        <v>1218700</v>
      </c>
      <c r="E2178" s="2">
        <v>1395000</v>
      </c>
      <c r="F2178" t="s">
        <v>19</v>
      </c>
      <c r="G2178" t="s">
        <v>20</v>
      </c>
      <c r="H2178">
        <v>3</v>
      </c>
      <c r="I2178">
        <v>2</v>
      </c>
      <c r="J2178">
        <v>961</v>
      </c>
      <c r="K2178" s="5">
        <v>1.0254394999999999E-2</v>
      </c>
      <c r="L2178" t="s">
        <v>38</v>
      </c>
      <c r="M2178" s="4">
        <v>176300</v>
      </c>
      <c r="N2178" s="3">
        <v>1451.6129000000001</v>
      </c>
      <c r="O2178" t="s">
        <v>22</v>
      </c>
      <c r="P2178" t="s">
        <v>28</v>
      </c>
      <c r="Q2178" t="s">
        <v>24</v>
      </c>
      <c r="R2178" t="s">
        <v>55</v>
      </c>
      <c r="S2178">
        <v>12</v>
      </c>
    </row>
    <row r="2179" spans="1:19" x14ac:dyDescent="0.3">
      <c r="A2179" s="1">
        <v>44183</v>
      </c>
      <c r="B2179">
        <v>2020</v>
      </c>
      <c r="C2179" t="s">
        <v>52</v>
      </c>
      <c r="D2179" s="4">
        <v>171990</v>
      </c>
      <c r="E2179" s="2">
        <v>190000</v>
      </c>
      <c r="F2179" t="s">
        <v>19</v>
      </c>
      <c r="G2179" t="s">
        <v>20</v>
      </c>
      <c r="H2179">
        <v>3</v>
      </c>
      <c r="I2179">
        <v>2</v>
      </c>
      <c r="J2179">
        <v>1092</v>
      </c>
      <c r="K2179" s="5">
        <v>1.0254394999999999E-2</v>
      </c>
      <c r="L2179" t="s">
        <v>38</v>
      </c>
      <c r="M2179" s="4">
        <v>18010</v>
      </c>
      <c r="N2179" s="3">
        <v>173.99270000000001</v>
      </c>
      <c r="O2179" t="s">
        <v>22</v>
      </c>
      <c r="P2179" t="s">
        <v>23</v>
      </c>
      <c r="Q2179" t="s">
        <v>24</v>
      </c>
      <c r="R2179" t="s">
        <v>55</v>
      </c>
      <c r="S2179">
        <v>12</v>
      </c>
    </row>
    <row r="2180" spans="1:19" x14ac:dyDescent="0.3">
      <c r="A2180" s="1">
        <v>44184</v>
      </c>
      <c r="B2180">
        <v>2020</v>
      </c>
      <c r="C2180" t="s">
        <v>29</v>
      </c>
      <c r="D2180" s="4">
        <v>85920</v>
      </c>
      <c r="E2180" s="2">
        <v>205000</v>
      </c>
      <c r="F2180" t="s">
        <v>30</v>
      </c>
      <c r="G2180" t="s">
        <v>31</v>
      </c>
      <c r="H2180">
        <v>4</v>
      </c>
      <c r="I2180">
        <v>3</v>
      </c>
      <c r="J2180">
        <v>1250</v>
      </c>
      <c r="K2180" s="5">
        <v>1.0254394999999999E-2</v>
      </c>
      <c r="L2180" t="s">
        <v>21</v>
      </c>
      <c r="M2180" s="4">
        <v>119080</v>
      </c>
      <c r="N2180" s="3">
        <v>164</v>
      </c>
      <c r="O2180" t="s">
        <v>22</v>
      </c>
      <c r="P2180" t="s">
        <v>24</v>
      </c>
      <c r="Q2180" t="s">
        <v>24</v>
      </c>
      <c r="R2180" t="s">
        <v>55</v>
      </c>
      <c r="S2180">
        <v>12</v>
      </c>
    </row>
    <row r="2181" spans="1:19" x14ac:dyDescent="0.3">
      <c r="A2181" s="1">
        <v>44185</v>
      </c>
      <c r="B2181">
        <v>2020</v>
      </c>
      <c r="C2181" t="s">
        <v>29</v>
      </c>
      <c r="D2181" s="4">
        <v>106930</v>
      </c>
      <c r="E2181" s="2">
        <v>163000</v>
      </c>
      <c r="F2181" t="s">
        <v>19</v>
      </c>
      <c r="G2181" t="s">
        <v>20</v>
      </c>
      <c r="H2181">
        <v>3</v>
      </c>
      <c r="I2181">
        <v>1</v>
      </c>
      <c r="J2181">
        <v>965</v>
      </c>
      <c r="K2181" s="5">
        <v>1.0254394999999999E-2</v>
      </c>
      <c r="L2181" t="s">
        <v>27</v>
      </c>
      <c r="M2181" s="4">
        <v>56070</v>
      </c>
      <c r="N2181" s="3">
        <v>168.9119</v>
      </c>
      <c r="O2181" t="s">
        <v>22</v>
      </c>
      <c r="P2181" t="s">
        <v>23</v>
      </c>
      <c r="Q2181" t="s">
        <v>24</v>
      </c>
      <c r="R2181" t="s">
        <v>55</v>
      </c>
      <c r="S2181">
        <v>12</v>
      </c>
    </row>
    <row r="2182" spans="1:19" x14ac:dyDescent="0.3">
      <c r="A2182" s="1">
        <v>44186</v>
      </c>
      <c r="B2182">
        <v>2020</v>
      </c>
      <c r="C2182" t="s">
        <v>56</v>
      </c>
      <c r="D2182" s="4">
        <v>604830</v>
      </c>
      <c r="E2182" s="2">
        <v>650000</v>
      </c>
      <c r="F2182" t="s">
        <v>19</v>
      </c>
      <c r="G2182" t="s">
        <v>20</v>
      </c>
      <c r="H2182">
        <v>3</v>
      </c>
      <c r="I2182">
        <v>2</v>
      </c>
      <c r="J2182">
        <v>1070</v>
      </c>
      <c r="K2182" s="5">
        <v>1.0254394999999999E-2</v>
      </c>
      <c r="L2182" t="s">
        <v>21</v>
      </c>
      <c r="M2182" s="4">
        <v>45170</v>
      </c>
      <c r="N2182" s="3">
        <v>607.47659999999996</v>
      </c>
      <c r="O2182" t="s">
        <v>22</v>
      </c>
      <c r="P2182" t="s">
        <v>28</v>
      </c>
      <c r="Q2182" t="s">
        <v>24</v>
      </c>
      <c r="R2182" t="s">
        <v>55</v>
      </c>
      <c r="S2182">
        <v>12</v>
      </c>
    </row>
    <row r="2183" spans="1:19" x14ac:dyDescent="0.3">
      <c r="A2183" s="1">
        <v>44189</v>
      </c>
      <c r="B2183">
        <v>2020</v>
      </c>
      <c r="C2183" t="s">
        <v>52</v>
      </c>
      <c r="D2183" s="4">
        <v>444584.20699999999</v>
      </c>
      <c r="E2183" s="2">
        <v>380000</v>
      </c>
      <c r="F2183" t="s">
        <v>19</v>
      </c>
      <c r="G2183" t="s">
        <v>20</v>
      </c>
      <c r="H2183">
        <v>3</v>
      </c>
      <c r="I2183">
        <v>2</v>
      </c>
      <c r="J2183">
        <v>1068</v>
      </c>
      <c r="K2183" s="5">
        <v>1.0254394999999999E-2</v>
      </c>
      <c r="L2183" t="s">
        <v>32</v>
      </c>
      <c r="M2183" s="4">
        <v>-64584.207000000002</v>
      </c>
      <c r="N2183" s="3">
        <v>355.80520000000001</v>
      </c>
      <c r="O2183" t="s">
        <v>33</v>
      </c>
      <c r="P2183" t="s">
        <v>24</v>
      </c>
      <c r="Q2183" t="s">
        <v>24</v>
      </c>
      <c r="R2183" t="s">
        <v>55</v>
      </c>
      <c r="S2183">
        <v>12</v>
      </c>
    </row>
    <row r="2184" spans="1:19" x14ac:dyDescent="0.3">
      <c r="A2184" s="1">
        <v>44191</v>
      </c>
      <c r="B2184">
        <v>2020</v>
      </c>
      <c r="C2184" t="s">
        <v>40</v>
      </c>
      <c r="D2184" s="4">
        <v>167160</v>
      </c>
      <c r="E2184" s="2">
        <v>269000</v>
      </c>
      <c r="F2184" t="s">
        <v>19</v>
      </c>
      <c r="G2184" t="s">
        <v>20</v>
      </c>
      <c r="H2184">
        <v>3</v>
      </c>
      <c r="I2184">
        <v>2</v>
      </c>
      <c r="J2184">
        <v>1097</v>
      </c>
      <c r="K2184" s="5">
        <v>1.0254394999999999E-2</v>
      </c>
      <c r="L2184" t="s">
        <v>38</v>
      </c>
      <c r="M2184" s="4">
        <v>101840</v>
      </c>
      <c r="N2184" s="3">
        <v>245.21420000000001</v>
      </c>
      <c r="O2184" t="s">
        <v>22</v>
      </c>
      <c r="P2184" t="s">
        <v>24</v>
      </c>
      <c r="Q2184" t="s">
        <v>24</v>
      </c>
      <c r="R2184" t="s">
        <v>55</v>
      </c>
      <c r="S2184">
        <v>12</v>
      </c>
    </row>
    <row r="2185" spans="1:19" x14ac:dyDescent="0.3">
      <c r="A2185" s="1">
        <v>44193</v>
      </c>
      <c r="B2185">
        <v>2020</v>
      </c>
      <c r="C2185" t="s">
        <v>39</v>
      </c>
      <c r="D2185" s="4">
        <v>158550</v>
      </c>
      <c r="E2185" s="2">
        <v>205000</v>
      </c>
      <c r="F2185" t="s">
        <v>19</v>
      </c>
      <c r="G2185" t="s">
        <v>20</v>
      </c>
      <c r="H2185">
        <v>3</v>
      </c>
      <c r="I2185">
        <v>1</v>
      </c>
      <c r="J2185">
        <v>926</v>
      </c>
      <c r="K2185" s="5">
        <v>1.0254394999999999E-2</v>
      </c>
      <c r="L2185" t="s">
        <v>38</v>
      </c>
      <c r="M2185" s="4">
        <v>46450</v>
      </c>
      <c r="N2185" s="3">
        <v>221.38229999999999</v>
      </c>
      <c r="O2185" t="s">
        <v>22</v>
      </c>
      <c r="P2185" t="s">
        <v>24</v>
      </c>
      <c r="Q2185" t="s">
        <v>24</v>
      </c>
      <c r="R2185" t="s">
        <v>55</v>
      </c>
      <c r="S2185">
        <v>12</v>
      </c>
    </row>
    <row r="2186" spans="1:19" x14ac:dyDescent="0.3">
      <c r="A2186" s="1">
        <v>44200</v>
      </c>
      <c r="B2186">
        <v>2021</v>
      </c>
      <c r="C2186" t="s">
        <v>18</v>
      </c>
      <c r="D2186" s="4">
        <v>444584.20699999999</v>
      </c>
      <c r="E2186" s="2">
        <v>125000</v>
      </c>
      <c r="F2186" t="s">
        <v>19</v>
      </c>
      <c r="G2186" t="s">
        <v>20</v>
      </c>
      <c r="H2186">
        <v>3</v>
      </c>
      <c r="I2186">
        <v>1</v>
      </c>
      <c r="J2186">
        <v>935</v>
      </c>
      <c r="K2186" s="5">
        <v>1.0234955E-2</v>
      </c>
      <c r="L2186" t="s">
        <v>32</v>
      </c>
      <c r="M2186" s="4">
        <v>-319584.20699999999</v>
      </c>
      <c r="N2186" s="3">
        <v>133.68979999999999</v>
      </c>
      <c r="O2186" t="s">
        <v>33</v>
      </c>
      <c r="P2186" t="s">
        <v>23</v>
      </c>
      <c r="Q2186" t="s">
        <v>24</v>
      </c>
      <c r="R2186" t="s">
        <v>25</v>
      </c>
      <c r="S2186">
        <v>1</v>
      </c>
    </row>
    <row r="2187" spans="1:19" x14ac:dyDescent="0.3">
      <c r="A2187" s="1">
        <v>44203</v>
      </c>
      <c r="B2187">
        <v>2021</v>
      </c>
      <c r="C2187" t="s">
        <v>18</v>
      </c>
      <c r="D2187" s="4">
        <v>108580</v>
      </c>
      <c r="E2187" s="2">
        <v>81000</v>
      </c>
      <c r="F2187" t="s">
        <v>19</v>
      </c>
      <c r="G2187" t="s">
        <v>20</v>
      </c>
      <c r="H2187">
        <v>3</v>
      </c>
      <c r="I2187">
        <v>1</v>
      </c>
      <c r="J2187">
        <v>1111.6589814177564</v>
      </c>
      <c r="K2187" s="5">
        <v>1.0234955E-2</v>
      </c>
      <c r="L2187" t="s">
        <v>32</v>
      </c>
      <c r="M2187" s="4">
        <v>-27580</v>
      </c>
      <c r="N2187" s="3">
        <v>72.864099999999993</v>
      </c>
      <c r="O2187" t="s">
        <v>33</v>
      </c>
      <c r="P2187" t="s">
        <v>23</v>
      </c>
      <c r="Q2187" t="s">
        <v>24</v>
      </c>
      <c r="R2187" t="s">
        <v>25</v>
      </c>
      <c r="S2187">
        <v>1</v>
      </c>
    </row>
    <row r="2188" spans="1:19" x14ac:dyDescent="0.3">
      <c r="A2188" s="1">
        <v>44204</v>
      </c>
      <c r="B2188">
        <v>2021</v>
      </c>
      <c r="C2188" t="s">
        <v>52</v>
      </c>
      <c r="D2188" s="4">
        <v>375060</v>
      </c>
      <c r="E2188" s="2">
        <v>610000</v>
      </c>
      <c r="F2188" t="s">
        <v>19</v>
      </c>
      <c r="G2188" t="s">
        <v>20</v>
      </c>
      <c r="H2188">
        <v>3</v>
      </c>
      <c r="I2188">
        <v>2</v>
      </c>
      <c r="J2188">
        <v>934</v>
      </c>
      <c r="K2188" s="5">
        <v>1.0234955E-2</v>
      </c>
      <c r="L2188" t="s">
        <v>27</v>
      </c>
      <c r="M2188" s="4">
        <v>234940</v>
      </c>
      <c r="N2188" s="3">
        <v>653.10490000000004</v>
      </c>
      <c r="O2188" t="s">
        <v>22</v>
      </c>
      <c r="P2188" t="s">
        <v>28</v>
      </c>
      <c r="Q2188" t="s">
        <v>24</v>
      </c>
      <c r="R2188" t="s">
        <v>25</v>
      </c>
      <c r="S2188">
        <v>1</v>
      </c>
    </row>
    <row r="2189" spans="1:19" x14ac:dyDescent="0.3">
      <c r="A2189" s="1">
        <v>44206</v>
      </c>
      <c r="B2189">
        <v>2021</v>
      </c>
      <c r="C2189" t="s">
        <v>40</v>
      </c>
      <c r="D2189" s="4">
        <v>540190</v>
      </c>
      <c r="E2189" s="2">
        <v>750000</v>
      </c>
      <c r="F2189" t="s">
        <v>30</v>
      </c>
      <c r="G2189" t="s">
        <v>31</v>
      </c>
      <c r="H2189">
        <v>4</v>
      </c>
      <c r="I2189">
        <v>3</v>
      </c>
      <c r="J2189">
        <v>1466</v>
      </c>
      <c r="K2189" s="5">
        <v>1.0234955E-2</v>
      </c>
      <c r="L2189" t="s">
        <v>32</v>
      </c>
      <c r="M2189" s="4">
        <v>209810</v>
      </c>
      <c r="N2189" s="3">
        <v>511.59620000000001</v>
      </c>
      <c r="O2189" t="s">
        <v>22</v>
      </c>
      <c r="P2189" t="s">
        <v>28</v>
      </c>
      <c r="Q2189" t="s">
        <v>34</v>
      </c>
      <c r="R2189" t="s">
        <v>25</v>
      </c>
      <c r="S2189">
        <v>1</v>
      </c>
    </row>
    <row r="2190" spans="1:19" x14ac:dyDescent="0.3">
      <c r="A2190" s="1">
        <v>44207</v>
      </c>
      <c r="B2190">
        <v>2021</v>
      </c>
      <c r="C2190" t="s">
        <v>29</v>
      </c>
      <c r="D2190" s="4">
        <v>444584.20699999999</v>
      </c>
      <c r="E2190" s="2">
        <v>35000</v>
      </c>
      <c r="F2190" t="s">
        <v>19</v>
      </c>
      <c r="G2190" t="s">
        <v>20</v>
      </c>
      <c r="H2190">
        <v>3</v>
      </c>
      <c r="I2190">
        <v>3</v>
      </c>
      <c r="J2190">
        <v>1077</v>
      </c>
      <c r="K2190" s="5">
        <v>1.0234955E-2</v>
      </c>
      <c r="L2190" t="s">
        <v>38</v>
      </c>
      <c r="M2190" s="4">
        <v>-409584.20699999999</v>
      </c>
      <c r="N2190" s="3">
        <v>32.497700000000002</v>
      </c>
      <c r="O2190" t="s">
        <v>33</v>
      </c>
      <c r="P2190" t="s">
        <v>23</v>
      </c>
      <c r="Q2190" t="s">
        <v>24</v>
      </c>
      <c r="R2190" t="s">
        <v>25</v>
      </c>
      <c r="S2190">
        <v>1</v>
      </c>
    </row>
    <row r="2191" spans="1:19" x14ac:dyDescent="0.3">
      <c r="A2191" s="1">
        <v>44212</v>
      </c>
      <c r="B2191">
        <v>2021</v>
      </c>
      <c r="C2191" t="s">
        <v>52</v>
      </c>
      <c r="D2191" s="4">
        <v>293510</v>
      </c>
      <c r="E2191" s="2">
        <v>386500</v>
      </c>
      <c r="F2191" t="s">
        <v>30</v>
      </c>
      <c r="G2191" t="s">
        <v>31</v>
      </c>
      <c r="H2191">
        <v>4</v>
      </c>
      <c r="I2191">
        <v>3</v>
      </c>
      <c r="J2191">
        <v>1410</v>
      </c>
      <c r="K2191" s="5">
        <v>1.0234955E-2</v>
      </c>
      <c r="L2191" t="s">
        <v>27</v>
      </c>
      <c r="M2191" s="4">
        <v>92990</v>
      </c>
      <c r="N2191" s="3">
        <v>274.11349999999999</v>
      </c>
      <c r="O2191" t="s">
        <v>22</v>
      </c>
      <c r="P2191" t="s">
        <v>24</v>
      </c>
      <c r="Q2191" t="s">
        <v>34</v>
      </c>
      <c r="R2191" t="s">
        <v>25</v>
      </c>
      <c r="S2191">
        <v>1</v>
      </c>
    </row>
    <row r="2192" spans="1:19" x14ac:dyDescent="0.3">
      <c r="A2192" s="1">
        <v>44213</v>
      </c>
      <c r="B2192">
        <v>2021</v>
      </c>
      <c r="C2192" t="s">
        <v>18</v>
      </c>
      <c r="D2192" s="4">
        <v>80290</v>
      </c>
      <c r="E2192" s="2">
        <v>30000</v>
      </c>
      <c r="F2192" t="s">
        <v>19</v>
      </c>
      <c r="G2192" t="s">
        <v>20</v>
      </c>
      <c r="H2192">
        <v>3</v>
      </c>
      <c r="I2192">
        <v>2</v>
      </c>
      <c r="J2192">
        <v>951</v>
      </c>
      <c r="K2192" s="5">
        <v>1.0234955E-2</v>
      </c>
      <c r="L2192" t="s">
        <v>32</v>
      </c>
      <c r="M2192" s="4">
        <v>-50290</v>
      </c>
      <c r="N2192" s="3">
        <v>31.5457</v>
      </c>
      <c r="O2192" t="s">
        <v>33</v>
      </c>
      <c r="P2192" t="s">
        <v>23</v>
      </c>
      <c r="Q2192" t="s">
        <v>24</v>
      </c>
      <c r="R2192" t="s">
        <v>25</v>
      </c>
      <c r="S2192">
        <v>1</v>
      </c>
    </row>
    <row r="2193" spans="1:19" x14ac:dyDescent="0.3">
      <c r="A2193" s="1">
        <v>44214</v>
      </c>
      <c r="B2193">
        <v>2021</v>
      </c>
      <c r="C2193" t="s">
        <v>56</v>
      </c>
      <c r="D2193" s="4">
        <v>267880</v>
      </c>
      <c r="E2193" s="2">
        <v>423150</v>
      </c>
      <c r="F2193" t="s">
        <v>19</v>
      </c>
      <c r="G2193" t="s">
        <v>20</v>
      </c>
      <c r="H2193">
        <v>3</v>
      </c>
      <c r="I2193">
        <v>3</v>
      </c>
      <c r="J2193">
        <v>1037</v>
      </c>
      <c r="K2193" s="5">
        <v>1.0234955E-2</v>
      </c>
      <c r="L2193" t="s">
        <v>38</v>
      </c>
      <c r="M2193" s="4">
        <v>155270</v>
      </c>
      <c r="N2193" s="3">
        <v>408.0521</v>
      </c>
      <c r="O2193" t="s">
        <v>22</v>
      </c>
      <c r="P2193" t="s">
        <v>24</v>
      </c>
      <c r="Q2193" t="s">
        <v>24</v>
      </c>
      <c r="R2193" t="s">
        <v>25</v>
      </c>
      <c r="S2193">
        <v>1</v>
      </c>
    </row>
    <row r="2194" spans="1:19" x14ac:dyDescent="0.3">
      <c r="A2194" s="1">
        <v>44218</v>
      </c>
      <c r="B2194">
        <v>2021</v>
      </c>
      <c r="C2194" t="s">
        <v>29</v>
      </c>
      <c r="D2194" s="4">
        <v>99360</v>
      </c>
      <c r="E2194" s="2">
        <v>130000</v>
      </c>
      <c r="F2194" t="s">
        <v>30</v>
      </c>
      <c r="G2194" t="s">
        <v>31</v>
      </c>
      <c r="H2194">
        <v>4</v>
      </c>
      <c r="I2194">
        <v>2</v>
      </c>
      <c r="J2194">
        <v>1308</v>
      </c>
      <c r="K2194" s="5">
        <v>1.0234955E-2</v>
      </c>
      <c r="L2194" t="s">
        <v>21</v>
      </c>
      <c r="M2194" s="4">
        <v>30640</v>
      </c>
      <c r="N2194" s="3">
        <v>99.388400000000004</v>
      </c>
      <c r="O2194" t="s">
        <v>22</v>
      </c>
      <c r="P2194" t="s">
        <v>23</v>
      </c>
      <c r="Q2194" t="s">
        <v>34</v>
      </c>
      <c r="R2194" t="s">
        <v>25</v>
      </c>
      <c r="S2194">
        <v>1</v>
      </c>
    </row>
    <row r="2195" spans="1:19" x14ac:dyDescent="0.3">
      <c r="A2195" s="1">
        <v>44219</v>
      </c>
      <c r="B2195">
        <v>2021</v>
      </c>
      <c r="C2195" t="s">
        <v>56</v>
      </c>
      <c r="D2195" s="4">
        <v>181090</v>
      </c>
      <c r="E2195" s="2">
        <v>2140000</v>
      </c>
      <c r="F2195" t="s">
        <v>19</v>
      </c>
      <c r="G2195" t="s">
        <v>20</v>
      </c>
      <c r="H2195">
        <v>3</v>
      </c>
      <c r="I2195">
        <v>2</v>
      </c>
      <c r="J2195">
        <v>1041</v>
      </c>
      <c r="K2195" s="5">
        <v>1.0234955E-2</v>
      </c>
      <c r="L2195" t="s">
        <v>32</v>
      </c>
      <c r="M2195" s="4">
        <v>1958910</v>
      </c>
      <c r="N2195" s="3">
        <v>2055.7157000000002</v>
      </c>
      <c r="O2195" t="s">
        <v>22</v>
      </c>
      <c r="P2195" t="s">
        <v>28</v>
      </c>
      <c r="Q2195" t="s">
        <v>24</v>
      </c>
      <c r="R2195" t="s">
        <v>25</v>
      </c>
      <c r="S2195">
        <v>1</v>
      </c>
    </row>
    <row r="2196" spans="1:19" x14ac:dyDescent="0.3">
      <c r="A2196" s="1">
        <v>44220</v>
      </c>
      <c r="B2196">
        <v>2021</v>
      </c>
      <c r="C2196" t="s">
        <v>29</v>
      </c>
      <c r="D2196" s="4">
        <v>74100</v>
      </c>
      <c r="E2196" s="2">
        <v>10800</v>
      </c>
      <c r="F2196" t="s">
        <v>19</v>
      </c>
      <c r="G2196" t="s">
        <v>20</v>
      </c>
      <c r="H2196">
        <v>3</v>
      </c>
      <c r="I2196">
        <v>2</v>
      </c>
      <c r="J2196">
        <v>999</v>
      </c>
      <c r="K2196" s="5">
        <v>1.0234955E-2</v>
      </c>
      <c r="L2196" t="s">
        <v>32</v>
      </c>
      <c r="M2196" s="4">
        <v>-63300</v>
      </c>
      <c r="N2196" s="3">
        <v>10.8108</v>
      </c>
      <c r="O2196" t="s">
        <v>33</v>
      </c>
      <c r="P2196" t="s">
        <v>23</v>
      </c>
      <c r="Q2196" t="s">
        <v>24</v>
      </c>
      <c r="R2196" t="s">
        <v>25</v>
      </c>
      <c r="S2196">
        <v>1</v>
      </c>
    </row>
    <row r="2197" spans="1:19" x14ac:dyDescent="0.3">
      <c r="A2197" s="1">
        <v>44221</v>
      </c>
      <c r="B2197">
        <v>2021</v>
      </c>
      <c r="C2197" t="s">
        <v>52</v>
      </c>
      <c r="D2197" s="4">
        <v>162540</v>
      </c>
      <c r="E2197" s="2">
        <v>196000</v>
      </c>
      <c r="F2197" t="s">
        <v>19</v>
      </c>
      <c r="G2197" t="s">
        <v>20</v>
      </c>
      <c r="H2197">
        <v>3</v>
      </c>
      <c r="I2197">
        <v>2</v>
      </c>
      <c r="J2197">
        <v>904</v>
      </c>
      <c r="K2197" s="5">
        <v>1.0234955E-2</v>
      </c>
      <c r="L2197" t="s">
        <v>32</v>
      </c>
      <c r="M2197" s="4">
        <v>33460</v>
      </c>
      <c r="N2197" s="3">
        <v>216.8142</v>
      </c>
      <c r="O2197" t="s">
        <v>22</v>
      </c>
      <c r="P2197" t="s">
        <v>23</v>
      </c>
      <c r="Q2197" t="s">
        <v>24</v>
      </c>
      <c r="R2197" t="s">
        <v>25</v>
      </c>
      <c r="S2197">
        <v>1</v>
      </c>
    </row>
    <row r="2198" spans="1:19" x14ac:dyDescent="0.3">
      <c r="A2198" s="1">
        <v>44224</v>
      </c>
      <c r="B2198">
        <v>2021</v>
      </c>
      <c r="C2198" t="s">
        <v>29</v>
      </c>
      <c r="D2198" s="4">
        <v>120710</v>
      </c>
      <c r="E2198" s="2">
        <v>230000</v>
      </c>
      <c r="F2198" t="s">
        <v>30</v>
      </c>
      <c r="G2198" t="s">
        <v>31</v>
      </c>
      <c r="H2198">
        <v>4</v>
      </c>
      <c r="I2198">
        <v>4</v>
      </c>
      <c r="J2198">
        <v>1431</v>
      </c>
      <c r="K2198" s="5">
        <v>1.0234955E-2</v>
      </c>
      <c r="L2198" t="s">
        <v>21</v>
      </c>
      <c r="M2198" s="4">
        <v>109290</v>
      </c>
      <c r="N2198" s="3">
        <v>160.7268</v>
      </c>
      <c r="O2198" t="s">
        <v>22</v>
      </c>
      <c r="P2198" t="s">
        <v>24</v>
      </c>
      <c r="Q2198" t="s">
        <v>34</v>
      </c>
      <c r="R2198" t="s">
        <v>25</v>
      </c>
      <c r="S2198">
        <v>1</v>
      </c>
    </row>
    <row r="2199" spans="1:19" x14ac:dyDescent="0.3">
      <c r="A2199" s="1">
        <v>44225</v>
      </c>
      <c r="B2199">
        <v>2021</v>
      </c>
      <c r="C2199" t="s">
        <v>56</v>
      </c>
      <c r="D2199" s="4">
        <v>535690</v>
      </c>
      <c r="E2199" s="2">
        <v>630000</v>
      </c>
      <c r="F2199" t="s">
        <v>19</v>
      </c>
      <c r="G2199" t="s">
        <v>20</v>
      </c>
      <c r="H2199">
        <v>3</v>
      </c>
      <c r="I2199">
        <v>1</v>
      </c>
      <c r="J2199">
        <v>906</v>
      </c>
      <c r="K2199" s="5">
        <v>1.0234955E-2</v>
      </c>
      <c r="L2199" t="s">
        <v>21</v>
      </c>
      <c r="M2199" s="4">
        <v>94310</v>
      </c>
      <c r="N2199" s="3">
        <v>695.36419999999998</v>
      </c>
      <c r="O2199" t="s">
        <v>22</v>
      </c>
      <c r="P2199" t="s">
        <v>28</v>
      </c>
      <c r="Q2199" t="s">
        <v>24</v>
      </c>
      <c r="R2199" t="s">
        <v>25</v>
      </c>
      <c r="S2199">
        <v>1</v>
      </c>
    </row>
    <row r="2200" spans="1:19" x14ac:dyDescent="0.3">
      <c r="A2200" s="1">
        <v>44227</v>
      </c>
      <c r="B2200">
        <v>2021</v>
      </c>
      <c r="C2200" t="s">
        <v>29</v>
      </c>
      <c r="D2200" s="4">
        <v>444584.20699999999</v>
      </c>
      <c r="E2200" s="2">
        <v>85000</v>
      </c>
      <c r="F2200" t="s">
        <v>19</v>
      </c>
      <c r="G2200" t="s">
        <v>20</v>
      </c>
      <c r="H2200">
        <v>3</v>
      </c>
      <c r="I2200">
        <v>3</v>
      </c>
      <c r="J2200">
        <v>1011</v>
      </c>
      <c r="K2200" s="5">
        <v>1.0234955E-2</v>
      </c>
      <c r="L2200" t="s">
        <v>21</v>
      </c>
      <c r="M2200" s="4">
        <v>-359584.20699999999</v>
      </c>
      <c r="N2200" s="3">
        <v>84.075199999999995</v>
      </c>
      <c r="O2200" t="s">
        <v>33</v>
      </c>
      <c r="P2200" t="s">
        <v>23</v>
      </c>
      <c r="Q2200" t="s">
        <v>24</v>
      </c>
      <c r="R2200" t="s">
        <v>25</v>
      </c>
      <c r="S2200">
        <v>1</v>
      </c>
    </row>
    <row r="2201" spans="1:19" x14ac:dyDescent="0.3">
      <c r="A2201" s="1">
        <v>44231</v>
      </c>
      <c r="B2201">
        <v>2021</v>
      </c>
      <c r="C2201" t="s">
        <v>40</v>
      </c>
      <c r="D2201" s="4">
        <v>2080190</v>
      </c>
      <c r="E2201" s="2">
        <v>3400000</v>
      </c>
      <c r="F2201" t="s">
        <v>19</v>
      </c>
      <c r="G2201" t="s">
        <v>20</v>
      </c>
      <c r="H2201">
        <v>3</v>
      </c>
      <c r="I2201">
        <v>3</v>
      </c>
      <c r="J2201">
        <v>1015</v>
      </c>
      <c r="K2201" s="5">
        <v>1.0234955E-2</v>
      </c>
      <c r="L2201" t="s">
        <v>27</v>
      </c>
      <c r="M2201" s="4">
        <v>1319810</v>
      </c>
      <c r="N2201" s="3">
        <v>3349.7537000000002</v>
      </c>
      <c r="O2201" t="s">
        <v>22</v>
      </c>
      <c r="P2201" t="s">
        <v>28</v>
      </c>
      <c r="Q2201" t="s">
        <v>24</v>
      </c>
      <c r="R2201" t="s">
        <v>41</v>
      </c>
      <c r="S2201">
        <v>2</v>
      </c>
    </row>
    <row r="2202" spans="1:19" x14ac:dyDescent="0.3">
      <c r="A2202" s="1">
        <v>44232</v>
      </c>
      <c r="B2202">
        <v>2021</v>
      </c>
      <c r="C2202" t="s">
        <v>29</v>
      </c>
      <c r="D2202" s="4">
        <v>134710</v>
      </c>
      <c r="E2202" s="2">
        <v>202000</v>
      </c>
      <c r="F2202" t="s">
        <v>36</v>
      </c>
      <c r="G2202" t="s">
        <v>37</v>
      </c>
      <c r="H2202">
        <v>6</v>
      </c>
      <c r="I2202">
        <v>6</v>
      </c>
      <c r="J2202">
        <v>1997</v>
      </c>
      <c r="K2202" s="5">
        <v>1.0234955E-2</v>
      </c>
      <c r="L2202" t="s">
        <v>38</v>
      </c>
      <c r="M2202" s="4">
        <v>67290</v>
      </c>
      <c r="N2202" s="3">
        <v>101.15170000000001</v>
      </c>
      <c r="O2202" t="s">
        <v>22</v>
      </c>
      <c r="P2202" t="s">
        <v>24</v>
      </c>
      <c r="Q2202" t="s">
        <v>34</v>
      </c>
      <c r="R2202" t="s">
        <v>41</v>
      </c>
      <c r="S2202">
        <v>2</v>
      </c>
    </row>
    <row r="2203" spans="1:19" x14ac:dyDescent="0.3">
      <c r="A2203" s="1">
        <v>44233</v>
      </c>
      <c r="B2203">
        <v>2021</v>
      </c>
      <c r="C2203" t="s">
        <v>18</v>
      </c>
      <c r="D2203" s="4">
        <v>47310</v>
      </c>
      <c r="E2203" s="2">
        <v>53000</v>
      </c>
      <c r="F2203" t="s">
        <v>19</v>
      </c>
      <c r="G2203" t="s">
        <v>20</v>
      </c>
      <c r="H2203">
        <v>3</v>
      </c>
      <c r="I2203">
        <v>1</v>
      </c>
      <c r="J2203">
        <v>1062</v>
      </c>
      <c r="K2203" s="5">
        <v>1.0234955E-2</v>
      </c>
      <c r="L2203" t="s">
        <v>27</v>
      </c>
      <c r="M2203" s="4">
        <v>5690</v>
      </c>
      <c r="N2203" s="3">
        <v>49.905799999999999</v>
      </c>
      <c r="O2203" t="s">
        <v>22</v>
      </c>
      <c r="P2203" t="s">
        <v>23</v>
      </c>
      <c r="Q2203" t="s">
        <v>24</v>
      </c>
      <c r="R2203" t="s">
        <v>41</v>
      </c>
      <c r="S2203">
        <v>2</v>
      </c>
    </row>
    <row r="2204" spans="1:19" x14ac:dyDescent="0.3">
      <c r="A2204" s="1">
        <v>44234</v>
      </c>
      <c r="B2204">
        <v>2021</v>
      </c>
      <c r="C2204" t="s">
        <v>29</v>
      </c>
      <c r="D2204" s="4">
        <v>91370</v>
      </c>
      <c r="E2204" s="2">
        <v>76000</v>
      </c>
      <c r="F2204" t="s">
        <v>19</v>
      </c>
      <c r="G2204" t="s">
        <v>20</v>
      </c>
      <c r="H2204">
        <v>3</v>
      </c>
      <c r="I2204">
        <v>1</v>
      </c>
      <c r="J2204">
        <v>1111.6589814177564</v>
      </c>
      <c r="K2204" s="5">
        <v>1.0234955E-2</v>
      </c>
      <c r="L2204" t="s">
        <v>27</v>
      </c>
      <c r="M2204" s="4">
        <v>-15370</v>
      </c>
      <c r="N2204" s="3">
        <v>68.366299999999995</v>
      </c>
      <c r="O2204" t="s">
        <v>33</v>
      </c>
      <c r="P2204" t="s">
        <v>23</v>
      </c>
      <c r="Q2204" t="s">
        <v>24</v>
      </c>
      <c r="R2204" t="s">
        <v>41</v>
      </c>
      <c r="S2204">
        <v>2</v>
      </c>
    </row>
    <row r="2205" spans="1:19" x14ac:dyDescent="0.3">
      <c r="A2205" s="1">
        <v>44235</v>
      </c>
      <c r="B2205">
        <v>2021</v>
      </c>
      <c r="C2205" t="s">
        <v>18</v>
      </c>
      <c r="D2205" s="4">
        <v>83360</v>
      </c>
      <c r="E2205" s="2">
        <v>110500</v>
      </c>
      <c r="F2205" t="s">
        <v>30</v>
      </c>
      <c r="G2205" t="s">
        <v>31</v>
      </c>
      <c r="H2205">
        <v>4</v>
      </c>
      <c r="I2205">
        <v>3</v>
      </c>
      <c r="J2205">
        <v>1441</v>
      </c>
      <c r="K2205" s="5">
        <v>1.0234955E-2</v>
      </c>
      <c r="L2205" t="s">
        <v>21</v>
      </c>
      <c r="M2205" s="4">
        <v>27140</v>
      </c>
      <c r="N2205" s="3">
        <v>76.682900000000004</v>
      </c>
      <c r="O2205" t="s">
        <v>22</v>
      </c>
      <c r="P2205" t="s">
        <v>23</v>
      </c>
      <c r="Q2205" t="s">
        <v>34</v>
      </c>
      <c r="R2205" t="s">
        <v>41</v>
      </c>
      <c r="S2205">
        <v>2</v>
      </c>
    </row>
    <row r="2206" spans="1:19" x14ac:dyDescent="0.3">
      <c r="A2206" s="1">
        <v>44238</v>
      </c>
      <c r="B2206">
        <v>2021</v>
      </c>
      <c r="C2206" t="s">
        <v>29</v>
      </c>
      <c r="D2206" s="4">
        <v>396920</v>
      </c>
      <c r="E2206" s="2">
        <v>350000</v>
      </c>
      <c r="F2206" t="s">
        <v>19</v>
      </c>
      <c r="G2206" t="s">
        <v>20</v>
      </c>
      <c r="H2206">
        <v>3</v>
      </c>
      <c r="I2206">
        <v>3</v>
      </c>
      <c r="J2206">
        <v>1002</v>
      </c>
      <c r="K2206" s="5">
        <v>1.0234955E-2</v>
      </c>
      <c r="L2206" t="s">
        <v>27</v>
      </c>
      <c r="M2206" s="4">
        <v>-46920</v>
      </c>
      <c r="N2206" s="3">
        <v>349.3014</v>
      </c>
      <c r="O2206" t="s">
        <v>33</v>
      </c>
      <c r="P2206" t="s">
        <v>24</v>
      </c>
      <c r="Q2206" t="s">
        <v>24</v>
      </c>
      <c r="R2206" t="s">
        <v>41</v>
      </c>
      <c r="S2206">
        <v>2</v>
      </c>
    </row>
    <row r="2207" spans="1:19" x14ac:dyDescent="0.3">
      <c r="A2207" s="1">
        <v>44240</v>
      </c>
      <c r="B2207">
        <v>2021</v>
      </c>
      <c r="C2207" t="s">
        <v>35</v>
      </c>
      <c r="D2207" s="4">
        <v>444584.20699999999</v>
      </c>
      <c r="E2207" s="2">
        <v>1545000</v>
      </c>
      <c r="F2207" t="s">
        <v>19</v>
      </c>
      <c r="G2207" t="s">
        <v>20</v>
      </c>
      <c r="H2207">
        <v>3</v>
      </c>
      <c r="I2207">
        <v>1</v>
      </c>
      <c r="J2207">
        <v>1031</v>
      </c>
      <c r="K2207" s="5">
        <v>1.0234955E-2</v>
      </c>
      <c r="L2207" t="s">
        <v>21</v>
      </c>
      <c r="M2207" s="4">
        <v>1100415.7930000001</v>
      </c>
      <c r="N2207" s="3">
        <v>1498.5451</v>
      </c>
      <c r="O2207" t="s">
        <v>22</v>
      </c>
      <c r="P2207" t="s">
        <v>28</v>
      </c>
      <c r="Q2207" t="s">
        <v>24</v>
      </c>
      <c r="R2207" t="s">
        <v>41</v>
      </c>
      <c r="S2207">
        <v>2</v>
      </c>
    </row>
    <row r="2208" spans="1:19" x14ac:dyDescent="0.3">
      <c r="A2208" s="1">
        <v>44246</v>
      </c>
      <c r="B2208">
        <v>2021</v>
      </c>
      <c r="C2208" t="s">
        <v>29</v>
      </c>
      <c r="D2208" s="4">
        <v>170180</v>
      </c>
      <c r="E2208" s="2">
        <v>340000</v>
      </c>
      <c r="F2208" t="s">
        <v>30</v>
      </c>
      <c r="G2208" t="s">
        <v>31</v>
      </c>
      <c r="H2208">
        <v>4</v>
      </c>
      <c r="I2208">
        <v>3</v>
      </c>
      <c r="J2208">
        <v>1293</v>
      </c>
      <c r="K2208" s="5">
        <v>1.0234955E-2</v>
      </c>
      <c r="L2208" t="s">
        <v>27</v>
      </c>
      <c r="M2208" s="4">
        <v>169820</v>
      </c>
      <c r="N2208" s="3">
        <v>262.95440000000002</v>
      </c>
      <c r="O2208" t="s">
        <v>22</v>
      </c>
      <c r="P2208" t="s">
        <v>24</v>
      </c>
      <c r="Q2208" t="s">
        <v>24</v>
      </c>
      <c r="R2208" t="s">
        <v>41</v>
      </c>
      <c r="S2208">
        <v>2</v>
      </c>
    </row>
    <row r="2209" spans="1:19" x14ac:dyDescent="0.3">
      <c r="A2209" s="1">
        <v>44247</v>
      </c>
      <c r="B2209">
        <v>2021</v>
      </c>
      <c r="C2209" t="s">
        <v>29</v>
      </c>
      <c r="D2209" s="4">
        <v>122270</v>
      </c>
      <c r="E2209" s="2">
        <v>375000</v>
      </c>
      <c r="F2209" t="s">
        <v>30</v>
      </c>
      <c r="G2209" t="s">
        <v>31</v>
      </c>
      <c r="H2209">
        <v>4</v>
      </c>
      <c r="I2209">
        <v>4</v>
      </c>
      <c r="J2209">
        <v>1371</v>
      </c>
      <c r="K2209" s="5">
        <v>1.0234955E-2</v>
      </c>
      <c r="L2209" t="s">
        <v>21</v>
      </c>
      <c r="M2209" s="4">
        <v>252730</v>
      </c>
      <c r="N2209" s="3">
        <v>273.52300000000002</v>
      </c>
      <c r="O2209" t="s">
        <v>22</v>
      </c>
      <c r="P2209" t="s">
        <v>24</v>
      </c>
      <c r="Q2209" t="s">
        <v>34</v>
      </c>
      <c r="R2209" t="s">
        <v>41</v>
      </c>
      <c r="S2209">
        <v>2</v>
      </c>
    </row>
    <row r="2210" spans="1:19" x14ac:dyDescent="0.3">
      <c r="A2210" s="1">
        <v>44252</v>
      </c>
      <c r="B2210">
        <v>2021</v>
      </c>
      <c r="C2210" t="s">
        <v>40</v>
      </c>
      <c r="D2210" s="4">
        <v>1856330</v>
      </c>
      <c r="E2210" s="2">
        <v>2340146</v>
      </c>
      <c r="F2210" t="s">
        <v>19</v>
      </c>
      <c r="G2210" t="s">
        <v>20</v>
      </c>
      <c r="H2210">
        <v>3</v>
      </c>
      <c r="I2210">
        <v>1</v>
      </c>
      <c r="J2210">
        <v>978</v>
      </c>
      <c r="K2210" s="5">
        <v>1.0234955E-2</v>
      </c>
      <c r="L2210" t="s">
        <v>27</v>
      </c>
      <c r="M2210" s="4">
        <v>483816</v>
      </c>
      <c r="N2210" s="3">
        <v>2392.7873</v>
      </c>
      <c r="O2210" t="s">
        <v>22</v>
      </c>
      <c r="P2210" t="s">
        <v>28</v>
      </c>
      <c r="Q2210" t="s">
        <v>24</v>
      </c>
      <c r="R2210" t="s">
        <v>41</v>
      </c>
      <c r="S2210">
        <v>2</v>
      </c>
    </row>
    <row r="2211" spans="1:19" x14ac:dyDescent="0.3">
      <c r="A2211" s="1">
        <v>44253</v>
      </c>
      <c r="B2211">
        <v>2021</v>
      </c>
      <c r="C2211" t="s">
        <v>39</v>
      </c>
      <c r="D2211" s="4">
        <v>280350</v>
      </c>
      <c r="E2211" s="2">
        <v>415000</v>
      </c>
      <c r="F2211" t="s">
        <v>19</v>
      </c>
      <c r="G2211" t="s">
        <v>20</v>
      </c>
      <c r="H2211">
        <v>3</v>
      </c>
      <c r="I2211">
        <v>2</v>
      </c>
      <c r="J2211">
        <v>1065</v>
      </c>
      <c r="K2211" s="5">
        <v>1.0234955E-2</v>
      </c>
      <c r="L2211" t="s">
        <v>32</v>
      </c>
      <c r="M2211" s="4">
        <v>134650</v>
      </c>
      <c r="N2211" s="3">
        <v>389.67140000000001</v>
      </c>
      <c r="O2211" t="s">
        <v>22</v>
      </c>
      <c r="P2211" t="s">
        <v>24</v>
      </c>
      <c r="Q2211" t="s">
        <v>24</v>
      </c>
      <c r="R2211" t="s">
        <v>41</v>
      </c>
      <c r="S2211">
        <v>2</v>
      </c>
    </row>
    <row r="2212" spans="1:19" x14ac:dyDescent="0.3">
      <c r="A2212" s="1">
        <v>44254</v>
      </c>
      <c r="B2212">
        <v>2021</v>
      </c>
      <c r="C2212" t="s">
        <v>29</v>
      </c>
      <c r="D2212" s="4">
        <v>740010</v>
      </c>
      <c r="E2212" s="2">
        <v>770000</v>
      </c>
      <c r="F2212" t="s">
        <v>19</v>
      </c>
      <c r="G2212" t="s">
        <v>20</v>
      </c>
      <c r="H2212">
        <v>3</v>
      </c>
      <c r="I2212">
        <v>1</v>
      </c>
      <c r="J2212">
        <v>1111.6589814177564</v>
      </c>
      <c r="K2212" s="5">
        <v>1.0234955E-2</v>
      </c>
      <c r="L2212" t="s">
        <v>32</v>
      </c>
      <c r="M2212" s="4">
        <v>29990</v>
      </c>
      <c r="N2212" s="3">
        <v>692.6585</v>
      </c>
      <c r="O2212" t="s">
        <v>22</v>
      </c>
      <c r="P2212" t="s">
        <v>28</v>
      </c>
      <c r="Q2212" t="s">
        <v>24</v>
      </c>
      <c r="R2212" t="s">
        <v>41</v>
      </c>
      <c r="S2212">
        <v>2</v>
      </c>
    </row>
    <row r="2213" spans="1:19" x14ac:dyDescent="0.3">
      <c r="A2213" s="1">
        <v>44255</v>
      </c>
      <c r="B2213">
        <v>2021</v>
      </c>
      <c r="C2213" t="s">
        <v>18</v>
      </c>
      <c r="D2213" s="4">
        <v>56070</v>
      </c>
      <c r="E2213" s="2">
        <v>70000</v>
      </c>
      <c r="F2213" t="s">
        <v>19</v>
      </c>
      <c r="G2213" t="s">
        <v>20</v>
      </c>
      <c r="H2213">
        <v>3</v>
      </c>
      <c r="I2213">
        <v>2</v>
      </c>
      <c r="J2213">
        <v>1078</v>
      </c>
      <c r="K2213" s="5">
        <v>1.0234955E-2</v>
      </c>
      <c r="L2213" t="s">
        <v>27</v>
      </c>
      <c r="M2213" s="4">
        <v>13930</v>
      </c>
      <c r="N2213" s="3">
        <v>64.935100000000006</v>
      </c>
      <c r="O2213" t="s">
        <v>22</v>
      </c>
      <c r="P2213" t="s">
        <v>23</v>
      </c>
      <c r="Q2213" t="s">
        <v>24</v>
      </c>
      <c r="R2213" t="s">
        <v>41</v>
      </c>
      <c r="S2213">
        <v>2</v>
      </c>
    </row>
    <row r="2214" spans="1:19" x14ac:dyDescent="0.3">
      <c r="A2214" s="1">
        <v>44256</v>
      </c>
      <c r="B2214">
        <v>2021</v>
      </c>
      <c r="C2214" t="s">
        <v>40</v>
      </c>
      <c r="D2214" s="4">
        <v>75740</v>
      </c>
      <c r="E2214" s="2">
        <v>45000</v>
      </c>
      <c r="F2214" t="s">
        <v>19</v>
      </c>
      <c r="G2214" t="s">
        <v>20</v>
      </c>
      <c r="H2214">
        <v>3</v>
      </c>
      <c r="I2214">
        <v>3</v>
      </c>
      <c r="J2214">
        <v>911</v>
      </c>
      <c r="K2214" s="5">
        <v>1.0234955E-2</v>
      </c>
      <c r="L2214" t="s">
        <v>32</v>
      </c>
      <c r="M2214" s="4">
        <v>-30740</v>
      </c>
      <c r="N2214" s="3">
        <v>49.396299999999997</v>
      </c>
      <c r="O2214" t="s">
        <v>33</v>
      </c>
      <c r="P2214" t="s">
        <v>23</v>
      </c>
      <c r="Q2214" t="s">
        <v>24</v>
      </c>
      <c r="R2214" t="s">
        <v>44</v>
      </c>
      <c r="S2214">
        <v>3</v>
      </c>
    </row>
    <row r="2215" spans="1:19" x14ac:dyDescent="0.3">
      <c r="A2215" s="1">
        <v>44259</v>
      </c>
      <c r="B2215">
        <v>2021</v>
      </c>
      <c r="C2215" t="s">
        <v>39</v>
      </c>
      <c r="D2215" s="4">
        <v>1037750</v>
      </c>
      <c r="E2215" s="2">
        <v>1325000</v>
      </c>
      <c r="F2215" t="s">
        <v>19</v>
      </c>
      <c r="G2215" t="s">
        <v>20</v>
      </c>
      <c r="H2215">
        <v>3</v>
      </c>
      <c r="I2215">
        <v>3</v>
      </c>
      <c r="J2215">
        <v>903</v>
      </c>
      <c r="K2215" s="5">
        <v>1.0234955E-2</v>
      </c>
      <c r="L2215" t="s">
        <v>21</v>
      </c>
      <c r="M2215" s="4">
        <v>287250</v>
      </c>
      <c r="N2215" s="3">
        <v>1467.3311000000001</v>
      </c>
      <c r="O2215" t="s">
        <v>22</v>
      </c>
      <c r="P2215" t="s">
        <v>28</v>
      </c>
      <c r="Q2215" t="s">
        <v>24</v>
      </c>
      <c r="R2215" t="s">
        <v>44</v>
      </c>
      <c r="S2215">
        <v>3</v>
      </c>
    </row>
    <row r="2216" spans="1:19" x14ac:dyDescent="0.3">
      <c r="A2216" s="1">
        <v>44260</v>
      </c>
      <c r="B2216">
        <v>2021</v>
      </c>
      <c r="C2216" t="s">
        <v>29</v>
      </c>
      <c r="D2216" s="4">
        <v>101920</v>
      </c>
      <c r="E2216" s="2">
        <v>190550</v>
      </c>
      <c r="F2216" t="s">
        <v>19</v>
      </c>
      <c r="G2216" t="s">
        <v>20</v>
      </c>
      <c r="H2216">
        <v>3</v>
      </c>
      <c r="I2216">
        <v>1</v>
      </c>
      <c r="J2216">
        <v>966</v>
      </c>
      <c r="K2216" s="5">
        <v>1.0234955E-2</v>
      </c>
      <c r="L2216" t="s">
        <v>21</v>
      </c>
      <c r="M2216" s="4">
        <v>88630</v>
      </c>
      <c r="N2216" s="3">
        <v>197.2567</v>
      </c>
      <c r="O2216" t="s">
        <v>22</v>
      </c>
      <c r="P2216" t="s">
        <v>23</v>
      </c>
      <c r="Q2216" t="s">
        <v>24</v>
      </c>
      <c r="R2216" t="s">
        <v>44</v>
      </c>
      <c r="S2216">
        <v>3</v>
      </c>
    </row>
    <row r="2217" spans="1:19" x14ac:dyDescent="0.3">
      <c r="A2217" s="1">
        <v>44261</v>
      </c>
      <c r="B2217">
        <v>2021</v>
      </c>
      <c r="C2217" t="s">
        <v>18</v>
      </c>
      <c r="D2217" s="4">
        <v>112920</v>
      </c>
      <c r="E2217" s="2">
        <v>227501</v>
      </c>
      <c r="F2217" t="s">
        <v>19</v>
      </c>
      <c r="G2217" t="s">
        <v>20</v>
      </c>
      <c r="H2217">
        <v>3</v>
      </c>
      <c r="I2217">
        <v>1</v>
      </c>
      <c r="J2217">
        <v>1038</v>
      </c>
      <c r="K2217" s="5">
        <v>1.0234955E-2</v>
      </c>
      <c r="L2217" t="s">
        <v>21</v>
      </c>
      <c r="M2217" s="4">
        <v>114581</v>
      </c>
      <c r="N2217" s="3">
        <v>219.17240000000001</v>
      </c>
      <c r="O2217" t="s">
        <v>22</v>
      </c>
      <c r="P2217" t="s">
        <v>24</v>
      </c>
      <c r="Q2217" t="s">
        <v>24</v>
      </c>
      <c r="R2217" t="s">
        <v>44</v>
      </c>
      <c r="S2217">
        <v>3</v>
      </c>
    </row>
    <row r="2218" spans="1:19" x14ac:dyDescent="0.3">
      <c r="A2218" s="1">
        <v>44262</v>
      </c>
      <c r="B2218">
        <v>2021</v>
      </c>
      <c r="C2218" t="s">
        <v>29</v>
      </c>
      <c r="D2218" s="4">
        <v>100760</v>
      </c>
      <c r="E2218" s="2">
        <v>21000</v>
      </c>
      <c r="F2218" t="s">
        <v>19</v>
      </c>
      <c r="G2218" t="s">
        <v>20</v>
      </c>
      <c r="H2218">
        <v>3</v>
      </c>
      <c r="I2218">
        <v>1</v>
      </c>
      <c r="J2218">
        <v>1020</v>
      </c>
      <c r="K2218" s="5">
        <v>1.0234955E-2</v>
      </c>
      <c r="L2218" t="s">
        <v>32</v>
      </c>
      <c r="M2218" s="4">
        <v>-79760</v>
      </c>
      <c r="N2218" s="3">
        <v>20.588200000000001</v>
      </c>
      <c r="O2218" t="s">
        <v>33</v>
      </c>
      <c r="P2218" t="s">
        <v>23</v>
      </c>
      <c r="Q2218" t="s">
        <v>24</v>
      </c>
      <c r="R2218" t="s">
        <v>44</v>
      </c>
      <c r="S2218">
        <v>3</v>
      </c>
    </row>
    <row r="2219" spans="1:19" x14ac:dyDescent="0.3">
      <c r="A2219" s="1">
        <v>44263</v>
      </c>
      <c r="B2219">
        <v>2021</v>
      </c>
      <c r="C2219" t="s">
        <v>35</v>
      </c>
      <c r="D2219" s="4">
        <v>323400</v>
      </c>
      <c r="E2219" s="2">
        <v>725000</v>
      </c>
      <c r="F2219" t="s">
        <v>30</v>
      </c>
      <c r="G2219" t="s">
        <v>31</v>
      </c>
      <c r="H2219">
        <v>4</v>
      </c>
      <c r="I2219">
        <v>2</v>
      </c>
      <c r="J2219">
        <v>1358</v>
      </c>
      <c r="K2219" s="5">
        <v>1.0234955E-2</v>
      </c>
      <c r="L2219" t="s">
        <v>21</v>
      </c>
      <c r="M2219" s="4">
        <v>401600</v>
      </c>
      <c r="N2219" s="3">
        <v>533.87329999999997</v>
      </c>
      <c r="O2219" t="s">
        <v>22</v>
      </c>
      <c r="P2219" t="s">
        <v>28</v>
      </c>
      <c r="Q2219" t="s">
        <v>34</v>
      </c>
      <c r="R2219" t="s">
        <v>44</v>
      </c>
      <c r="S2219">
        <v>3</v>
      </c>
    </row>
    <row r="2220" spans="1:19" x14ac:dyDescent="0.3">
      <c r="A2220" s="1">
        <v>44266</v>
      </c>
      <c r="B2220">
        <v>2021</v>
      </c>
      <c r="C2220" t="s">
        <v>40</v>
      </c>
      <c r="D2220" s="4">
        <v>78770</v>
      </c>
      <c r="E2220" s="2">
        <v>145900</v>
      </c>
      <c r="F2220" t="s">
        <v>19</v>
      </c>
      <c r="G2220" t="s">
        <v>20</v>
      </c>
      <c r="H2220">
        <v>3</v>
      </c>
      <c r="I2220">
        <v>3</v>
      </c>
      <c r="J2220">
        <v>956</v>
      </c>
      <c r="K2220" s="5">
        <v>1.0234955E-2</v>
      </c>
      <c r="L2220" t="s">
        <v>38</v>
      </c>
      <c r="M2220" s="4">
        <v>67130</v>
      </c>
      <c r="N2220" s="3">
        <v>152.61510000000001</v>
      </c>
      <c r="O2220" t="s">
        <v>22</v>
      </c>
      <c r="P2220" t="s">
        <v>23</v>
      </c>
      <c r="Q2220" t="s">
        <v>24</v>
      </c>
      <c r="R2220" t="s">
        <v>44</v>
      </c>
      <c r="S2220">
        <v>3</v>
      </c>
    </row>
    <row r="2221" spans="1:19" x14ac:dyDescent="0.3">
      <c r="A2221" s="1">
        <v>44267</v>
      </c>
      <c r="B2221">
        <v>2021</v>
      </c>
      <c r="C2221" t="s">
        <v>18</v>
      </c>
      <c r="D2221" s="4">
        <v>444584.20699999999</v>
      </c>
      <c r="E2221" s="2">
        <v>10000</v>
      </c>
      <c r="F2221" t="s">
        <v>19</v>
      </c>
      <c r="G2221" t="s">
        <v>20</v>
      </c>
      <c r="H2221">
        <v>3</v>
      </c>
      <c r="I2221">
        <v>3</v>
      </c>
      <c r="J2221">
        <v>932</v>
      </c>
      <c r="K2221" s="5">
        <v>1.0234955E-2</v>
      </c>
      <c r="L2221" t="s">
        <v>27</v>
      </c>
      <c r="M2221" s="4">
        <v>-434584.20699999999</v>
      </c>
      <c r="N2221" s="3">
        <v>10.7296</v>
      </c>
      <c r="O2221" t="s">
        <v>33</v>
      </c>
      <c r="P2221" t="s">
        <v>23</v>
      </c>
      <c r="Q2221" t="s">
        <v>24</v>
      </c>
      <c r="R2221" t="s">
        <v>44</v>
      </c>
      <c r="S2221">
        <v>3</v>
      </c>
    </row>
    <row r="2222" spans="1:19" x14ac:dyDescent="0.3">
      <c r="A2222" s="1">
        <v>44268</v>
      </c>
      <c r="B2222">
        <v>2021</v>
      </c>
      <c r="C2222" t="s">
        <v>18</v>
      </c>
      <c r="D2222" s="4">
        <v>90020</v>
      </c>
      <c r="E2222" s="2">
        <v>106000</v>
      </c>
      <c r="F2222" t="s">
        <v>19</v>
      </c>
      <c r="G2222" t="s">
        <v>20</v>
      </c>
      <c r="H2222">
        <v>3</v>
      </c>
      <c r="I2222">
        <v>3</v>
      </c>
      <c r="J2222">
        <v>1111.6589814177564</v>
      </c>
      <c r="K2222" s="5">
        <v>1.0234955E-2</v>
      </c>
      <c r="L2222" t="s">
        <v>27</v>
      </c>
      <c r="M2222" s="4">
        <v>15980</v>
      </c>
      <c r="N2222" s="3">
        <v>95.352999999999994</v>
      </c>
      <c r="O2222" t="s">
        <v>22</v>
      </c>
      <c r="P2222" t="s">
        <v>23</v>
      </c>
      <c r="Q2222" t="s">
        <v>24</v>
      </c>
      <c r="R2222" t="s">
        <v>44</v>
      </c>
      <c r="S2222">
        <v>3</v>
      </c>
    </row>
    <row r="2223" spans="1:19" x14ac:dyDescent="0.3">
      <c r="A2223" s="1">
        <v>44270</v>
      </c>
      <c r="B2223">
        <v>2021</v>
      </c>
      <c r="C2223" t="s">
        <v>39</v>
      </c>
      <c r="D2223" s="4">
        <v>393540</v>
      </c>
      <c r="E2223" s="2">
        <v>375000</v>
      </c>
      <c r="F2223" t="s">
        <v>19</v>
      </c>
      <c r="G2223" t="s">
        <v>20</v>
      </c>
      <c r="H2223">
        <v>3</v>
      </c>
      <c r="I2223">
        <v>3</v>
      </c>
      <c r="J2223">
        <v>1111.6589814177564</v>
      </c>
      <c r="K2223" s="5">
        <v>1.0234955E-2</v>
      </c>
      <c r="L2223" t="s">
        <v>21</v>
      </c>
      <c r="M2223" s="4">
        <v>-18540</v>
      </c>
      <c r="N2223" s="3">
        <v>337.33370000000002</v>
      </c>
      <c r="O2223" t="s">
        <v>33</v>
      </c>
      <c r="P2223" t="s">
        <v>24</v>
      </c>
      <c r="Q2223" t="s">
        <v>24</v>
      </c>
      <c r="R2223" t="s">
        <v>44</v>
      </c>
      <c r="S2223">
        <v>3</v>
      </c>
    </row>
    <row r="2224" spans="1:19" x14ac:dyDescent="0.3">
      <c r="A2224" s="1">
        <v>44273</v>
      </c>
      <c r="B2224">
        <v>2021</v>
      </c>
      <c r="C2224" t="s">
        <v>52</v>
      </c>
      <c r="D2224" s="4">
        <v>101080</v>
      </c>
      <c r="E2224" s="2">
        <v>127500</v>
      </c>
      <c r="F2224" t="s">
        <v>19</v>
      </c>
      <c r="G2224" t="s">
        <v>20</v>
      </c>
      <c r="H2224">
        <v>3</v>
      </c>
      <c r="I2224">
        <v>1</v>
      </c>
      <c r="J2224">
        <v>1067</v>
      </c>
      <c r="K2224" s="5">
        <v>1.0234955E-2</v>
      </c>
      <c r="L2224" t="s">
        <v>38</v>
      </c>
      <c r="M2224" s="4">
        <v>26420</v>
      </c>
      <c r="N2224" s="3">
        <v>119.4939</v>
      </c>
      <c r="O2224" t="s">
        <v>22</v>
      </c>
      <c r="P2224" t="s">
        <v>23</v>
      </c>
      <c r="Q2224" t="s">
        <v>24</v>
      </c>
      <c r="R2224" t="s">
        <v>44</v>
      </c>
      <c r="S2224">
        <v>3</v>
      </c>
    </row>
    <row r="2225" spans="1:19" x14ac:dyDescent="0.3">
      <c r="A2225" s="1">
        <v>44274</v>
      </c>
      <c r="B2225">
        <v>2021</v>
      </c>
      <c r="C2225" t="s">
        <v>39</v>
      </c>
      <c r="D2225" s="4">
        <v>444584.20699999999</v>
      </c>
      <c r="E2225" s="2">
        <v>425000</v>
      </c>
      <c r="F2225" t="s">
        <v>19</v>
      </c>
      <c r="G2225" t="s">
        <v>20</v>
      </c>
      <c r="H2225">
        <v>3</v>
      </c>
      <c r="I2225">
        <v>3</v>
      </c>
      <c r="J2225">
        <v>976</v>
      </c>
      <c r="K2225" s="5">
        <v>1.0234955E-2</v>
      </c>
      <c r="L2225" t="s">
        <v>32</v>
      </c>
      <c r="M2225" s="4">
        <v>-19584.206999999999</v>
      </c>
      <c r="N2225" s="3">
        <v>435.45080000000002</v>
      </c>
      <c r="O2225" t="s">
        <v>33</v>
      </c>
      <c r="P2225" t="s">
        <v>24</v>
      </c>
      <c r="Q2225" t="s">
        <v>24</v>
      </c>
      <c r="R2225" t="s">
        <v>44</v>
      </c>
      <c r="S2225">
        <v>3</v>
      </c>
    </row>
    <row r="2226" spans="1:19" x14ac:dyDescent="0.3">
      <c r="A2226" s="1">
        <v>44276</v>
      </c>
      <c r="B2226">
        <v>2021</v>
      </c>
      <c r="C2226" t="s">
        <v>18</v>
      </c>
      <c r="D2226" s="4">
        <v>178740</v>
      </c>
      <c r="E2226" s="2">
        <v>260000</v>
      </c>
      <c r="F2226" t="s">
        <v>19</v>
      </c>
      <c r="G2226" t="s">
        <v>20</v>
      </c>
      <c r="H2226">
        <v>3</v>
      </c>
      <c r="I2226">
        <v>3</v>
      </c>
      <c r="J2226">
        <v>1032</v>
      </c>
      <c r="K2226" s="5">
        <v>1.0234955E-2</v>
      </c>
      <c r="L2226" t="s">
        <v>32</v>
      </c>
      <c r="M2226" s="4">
        <v>81260</v>
      </c>
      <c r="N2226" s="3">
        <v>251.93799999999999</v>
      </c>
      <c r="O2226" t="s">
        <v>22</v>
      </c>
      <c r="P2226" t="s">
        <v>24</v>
      </c>
      <c r="Q2226" t="s">
        <v>24</v>
      </c>
      <c r="R2226" t="s">
        <v>44</v>
      </c>
      <c r="S2226">
        <v>3</v>
      </c>
    </row>
    <row r="2227" spans="1:19" x14ac:dyDescent="0.3">
      <c r="A2227" s="1">
        <v>44277</v>
      </c>
      <c r="B2227">
        <v>2021</v>
      </c>
      <c r="C2227" t="s">
        <v>29</v>
      </c>
      <c r="D2227" s="4">
        <v>136490</v>
      </c>
      <c r="E2227" s="2">
        <v>283500</v>
      </c>
      <c r="F2227" t="s">
        <v>19</v>
      </c>
      <c r="G2227" t="s">
        <v>20</v>
      </c>
      <c r="H2227">
        <v>3</v>
      </c>
      <c r="I2227">
        <v>1</v>
      </c>
      <c r="J2227">
        <v>973</v>
      </c>
      <c r="K2227" s="5">
        <v>1.0234955E-2</v>
      </c>
      <c r="L2227" t="s">
        <v>32</v>
      </c>
      <c r="M2227" s="4">
        <v>147010</v>
      </c>
      <c r="N2227" s="3">
        <v>291.36689999999999</v>
      </c>
      <c r="O2227" t="s">
        <v>22</v>
      </c>
      <c r="P2227" t="s">
        <v>24</v>
      </c>
      <c r="Q2227" t="s">
        <v>24</v>
      </c>
      <c r="R2227" t="s">
        <v>44</v>
      </c>
      <c r="S2227">
        <v>3</v>
      </c>
    </row>
    <row r="2228" spans="1:19" x14ac:dyDescent="0.3">
      <c r="A2228" s="1">
        <v>44280</v>
      </c>
      <c r="B2228">
        <v>2021</v>
      </c>
      <c r="C2228" t="s">
        <v>35</v>
      </c>
      <c r="D2228" s="4">
        <v>2624230</v>
      </c>
      <c r="E2228" s="2">
        <v>3850000</v>
      </c>
      <c r="F2228" t="s">
        <v>19</v>
      </c>
      <c r="G2228" t="s">
        <v>20</v>
      </c>
      <c r="H2228">
        <v>3</v>
      </c>
      <c r="I2228">
        <v>1</v>
      </c>
      <c r="J2228">
        <v>991</v>
      </c>
      <c r="K2228" s="5">
        <v>1.0234955E-2</v>
      </c>
      <c r="L2228" t="s">
        <v>21</v>
      </c>
      <c r="M2228" s="4">
        <v>1225770</v>
      </c>
      <c r="N2228" s="3">
        <v>3884.9647</v>
      </c>
      <c r="O2228" t="s">
        <v>22</v>
      </c>
      <c r="P2228" t="s">
        <v>28</v>
      </c>
      <c r="Q2228" t="s">
        <v>24</v>
      </c>
      <c r="R2228" t="s">
        <v>44</v>
      </c>
      <c r="S2228">
        <v>3</v>
      </c>
    </row>
    <row r="2229" spans="1:19" x14ac:dyDescent="0.3">
      <c r="A2229" s="1">
        <v>44282</v>
      </c>
      <c r="B2229">
        <v>2021</v>
      </c>
      <c r="C2229" t="s">
        <v>56</v>
      </c>
      <c r="D2229" s="4">
        <v>444584.20699999999</v>
      </c>
      <c r="E2229" s="2">
        <v>599000</v>
      </c>
      <c r="F2229" t="s">
        <v>19</v>
      </c>
      <c r="G2229" t="s">
        <v>20</v>
      </c>
      <c r="H2229">
        <v>3</v>
      </c>
      <c r="I2229">
        <v>1</v>
      </c>
      <c r="J2229">
        <v>914</v>
      </c>
      <c r="K2229" s="5">
        <v>1.0234955E-2</v>
      </c>
      <c r="L2229" t="s">
        <v>38</v>
      </c>
      <c r="M2229" s="4">
        <v>154415.79300000001</v>
      </c>
      <c r="N2229" s="3">
        <v>655.36109999999996</v>
      </c>
      <c r="O2229" t="s">
        <v>22</v>
      </c>
      <c r="P2229" t="s">
        <v>24</v>
      </c>
      <c r="Q2229" t="s">
        <v>24</v>
      </c>
      <c r="R2229" t="s">
        <v>44</v>
      </c>
      <c r="S2229">
        <v>3</v>
      </c>
    </row>
    <row r="2230" spans="1:19" x14ac:dyDescent="0.3">
      <c r="A2230" s="1">
        <v>44283</v>
      </c>
      <c r="B2230">
        <v>2021</v>
      </c>
      <c r="C2230" t="s">
        <v>18</v>
      </c>
      <c r="D2230" s="4">
        <v>35160</v>
      </c>
      <c r="E2230" s="2">
        <v>32000</v>
      </c>
      <c r="F2230" t="s">
        <v>19</v>
      </c>
      <c r="G2230" t="s">
        <v>20</v>
      </c>
      <c r="H2230">
        <v>3</v>
      </c>
      <c r="I2230">
        <v>3</v>
      </c>
      <c r="J2230">
        <v>1097</v>
      </c>
      <c r="K2230" s="5">
        <v>1.0234955E-2</v>
      </c>
      <c r="L2230" t="s">
        <v>21</v>
      </c>
      <c r="M2230" s="4">
        <v>-3160</v>
      </c>
      <c r="N2230" s="3">
        <v>29.170500000000001</v>
      </c>
      <c r="O2230" t="s">
        <v>33</v>
      </c>
      <c r="P2230" t="s">
        <v>23</v>
      </c>
      <c r="Q2230" t="s">
        <v>24</v>
      </c>
      <c r="R2230" t="s">
        <v>44</v>
      </c>
      <c r="S2230">
        <v>3</v>
      </c>
    </row>
    <row r="2231" spans="1:19" x14ac:dyDescent="0.3">
      <c r="A2231" s="1">
        <v>44284</v>
      </c>
      <c r="B2231">
        <v>2021</v>
      </c>
      <c r="C2231" t="s">
        <v>56</v>
      </c>
      <c r="D2231" s="4">
        <v>256180</v>
      </c>
      <c r="E2231" s="2">
        <v>512500</v>
      </c>
      <c r="F2231" t="s">
        <v>19</v>
      </c>
      <c r="G2231" t="s">
        <v>20</v>
      </c>
      <c r="H2231">
        <v>3</v>
      </c>
      <c r="I2231">
        <v>3</v>
      </c>
      <c r="J2231">
        <v>1013</v>
      </c>
      <c r="K2231" s="5">
        <v>1.0234955E-2</v>
      </c>
      <c r="L2231" t="s">
        <v>21</v>
      </c>
      <c r="M2231" s="4">
        <v>256320</v>
      </c>
      <c r="N2231" s="3">
        <v>505.923</v>
      </c>
      <c r="O2231" t="s">
        <v>22</v>
      </c>
      <c r="P2231" t="s">
        <v>24</v>
      </c>
      <c r="Q2231" t="s">
        <v>24</v>
      </c>
      <c r="R2231" t="s">
        <v>44</v>
      </c>
      <c r="S2231">
        <v>3</v>
      </c>
    </row>
    <row r="2232" spans="1:19" x14ac:dyDescent="0.3">
      <c r="A2232" s="1">
        <v>44287</v>
      </c>
      <c r="B2232">
        <v>2021</v>
      </c>
      <c r="C2232" t="s">
        <v>29</v>
      </c>
      <c r="D2232" s="4">
        <v>103010</v>
      </c>
      <c r="E2232" s="2">
        <v>205000</v>
      </c>
      <c r="F2232" t="s">
        <v>30</v>
      </c>
      <c r="G2232" t="s">
        <v>31</v>
      </c>
      <c r="H2232">
        <v>4</v>
      </c>
      <c r="I2232">
        <v>4</v>
      </c>
      <c r="J2232">
        <v>1249</v>
      </c>
      <c r="K2232" s="5">
        <v>1.0234955E-2</v>
      </c>
      <c r="L2232" t="s">
        <v>27</v>
      </c>
      <c r="M2232" s="4">
        <v>101990</v>
      </c>
      <c r="N2232" s="3">
        <v>164.13130000000001</v>
      </c>
      <c r="O2232" t="s">
        <v>22</v>
      </c>
      <c r="P2232" t="s">
        <v>24</v>
      </c>
      <c r="Q2232" t="s">
        <v>24</v>
      </c>
      <c r="R2232" t="s">
        <v>45</v>
      </c>
      <c r="S2232">
        <v>4</v>
      </c>
    </row>
    <row r="2233" spans="1:19" x14ac:dyDescent="0.3">
      <c r="A2233" s="1">
        <v>44288</v>
      </c>
      <c r="B2233">
        <v>2021</v>
      </c>
      <c r="C2233" t="s">
        <v>40</v>
      </c>
      <c r="D2233" s="4">
        <v>310060</v>
      </c>
      <c r="E2233" s="2">
        <v>530000</v>
      </c>
      <c r="F2233" t="s">
        <v>19</v>
      </c>
      <c r="G2233" t="s">
        <v>20</v>
      </c>
      <c r="H2233">
        <v>3</v>
      </c>
      <c r="I2233">
        <v>1</v>
      </c>
      <c r="J2233">
        <v>952</v>
      </c>
      <c r="K2233" s="5">
        <v>1.0234955E-2</v>
      </c>
      <c r="L2233" t="s">
        <v>21</v>
      </c>
      <c r="M2233" s="4">
        <v>219940</v>
      </c>
      <c r="N2233" s="3">
        <v>556.72270000000003</v>
      </c>
      <c r="O2233" t="s">
        <v>22</v>
      </c>
      <c r="P2233" t="s">
        <v>24</v>
      </c>
      <c r="Q2233" t="s">
        <v>24</v>
      </c>
      <c r="R2233" t="s">
        <v>45</v>
      </c>
      <c r="S2233">
        <v>4</v>
      </c>
    </row>
    <row r="2234" spans="1:19" x14ac:dyDescent="0.3">
      <c r="A2234" s="1">
        <v>44289</v>
      </c>
      <c r="B2234">
        <v>2021</v>
      </c>
      <c r="C2234" t="s">
        <v>40</v>
      </c>
      <c r="D2234" s="4">
        <v>163930</v>
      </c>
      <c r="E2234" s="2">
        <v>90000</v>
      </c>
      <c r="F2234" t="s">
        <v>19</v>
      </c>
      <c r="G2234" t="s">
        <v>20</v>
      </c>
      <c r="H2234">
        <v>3</v>
      </c>
      <c r="I2234">
        <v>3</v>
      </c>
      <c r="J2234">
        <v>1015</v>
      </c>
      <c r="K2234" s="5">
        <v>1.0234955E-2</v>
      </c>
      <c r="L2234" t="s">
        <v>27</v>
      </c>
      <c r="M2234" s="4">
        <v>-73930</v>
      </c>
      <c r="N2234" s="3">
        <v>88.67</v>
      </c>
      <c r="O2234" t="s">
        <v>33</v>
      </c>
      <c r="P2234" t="s">
        <v>23</v>
      </c>
      <c r="Q2234" t="s">
        <v>24</v>
      </c>
      <c r="R2234" t="s">
        <v>45</v>
      </c>
      <c r="S2234">
        <v>4</v>
      </c>
    </row>
    <row r="2235" spans="1:19" x14ac:dyDescent="0.3">
      <c r="A2235" s="1">
        <v>44290</v>
      </c>
      <c r="B2235">
        <v>2021</v>
      </c>
      <c r="C2235" t="s">
        <v>29</v>
      </c>
      <c r="D2235" s="4">
        <v>127170</v>
      </c>
      <c r="E2235" s="2">
        <v>355000</v>
      </c>
      <c r="F2235" t="s">
        <v>30</v>
      </c>
      <c r="G2235" t="s">
        <v>31</v>
      </c>
      <c r="H2235">
        <v>4</v>
      </c>
      <c r="I2235">
        <v>3</v>
      </c>
      <c r="J2235">
        <v>1346</v>
      </c>
      <c r="K2235" s="5">
        <v>1.0234955E-2</v>
      </c>
      <c r="L2235" t="s">
        <v>27</v>
      </c>
      <c r="M2235" s="4">
        <v>227830</v>
      </c>
      <c r="N2235" s="3">
        <v>263.74439999999998</v>
      </c>
      <c r="O2235" t="s">
        <v>22</v>
      </c>
      <c r="P2235" t="s">
        <v>24</v>
      </c>
      <c r="Q2235" t="s">
        <v>34</v>
      </c>
      <c r="R2235" t="s">
        <v>45</v>
      </c>
      <c r="S2235">
        <v>4</v>
      </c>
    </row>
    <row r="2236" spans="1:19" x14ac:dyDescent="0.3">
      <c r="A2236" s="1">
        <v>44291</v>
      </c>
      <c r="B2236">
        <v>2021</v>
      </c>
      <c r="C2236" t="s">
        <v>18</v>
      </c>
      <c r="D2236" s="4">
        <v>68340</v>
      </c>
      <c r="E2236" s="2">
        <v>35000</v>
      </c>
      <c r="F2236" t="s">
        <v>19</v>
      </c>
      <c r="G2236" t="s">
        <v>20</v>
      </c>
      <c r="H2236">
        <v>3</v>
      </c>
      <c r="I2236">
        <v>1</v>
      </c>
      <c r="J2236">
        <v>969</v>
      </c>
      <c r="K2236" s="5">
        <v>1.0234955E-2</v>
      </c>
      <c r="L2236" t="s">
        <v>38</v>
      </c>
      <c r="M2236" s="4">
        <v>-33340</v>
      </c>
      <c r="N2236" s="3">
        <v>36.119700000000002</v>
      </c>
      <c r="O2236" t="s">
        <v>33</v>
      </c>
      <c r="P2236" t="s">
        <v>23</v>
      </c>
      <c r="Q2236" t="s">
        <v>24</v>
      </c>
      <c r="R2236" t="s">
        <v>45</v>
      </c>
      <c r="S2236">
        <v>4</v>
      </c>
    </row>
    <row r="2237" spans="1:19" x14ac:dyDescent="0.3">
      <c r="A2237" s="1">
        <v>44295</v>
      </c>
      <c r="B2237">
        <v>2021</v>
      </c>
      <c r="C2237" t="s">
        <v>29</v>
      </c>
      <c r="D2237" s="4">
        <v>103350</v>
      </c>
      <c r="E2237" s="2">
        <v>250000</v>
      </c>
      <c r="F2237" t="s">
        <v>19</v>
      </c>
      <c r="G2237" t="s">
        <v>20</v>
      </c>
      <c r="H2237">
        <v>3</v>
      </c>
      <c r="I2237">
        <v>1</v>
      </c>
      <c r="J2237">
        <v>1066</v>
      </c>
      <c r="K2237" s="5">
        <v>1.0234955E-2</v>
      </c>
      <c r="L2237" t="s">
        <v>32</v>
      </c>
      <c r="M2237" s="4">
        <v>146650</v>
      </c>
      <c r="N2237" s="3">
        <v>234.52160000000001</v>
      </c>
      <c r="O2237" t="s">
        <v>22</v>
      </c>
      <c r="P2237" t="s">
        <v>24</v>
      </c>
      <c r="Q2237" t="s">
        <v>24</v>
      </c>
      <c r="R2237" t="s">
        <v>45</v>
      </c>
      <c r="S2237">
        <v>4</v>
      </c>
    </row>
    <row r="2238" spans="1:19" x14ac:dyDescent="0.3">
      <c r="A2238" s="1">
        <v>44297</v>
      </c>
      <c r="B2238">
        <v>2021</v>
      </c>
      <c r="C2238" t="s">
        <v>56</v>
      </c>
      <c r="D2238" s="4">
        <v>444584.20699999999</v>
      </c>
      <c r="E2238" s="2">
        <v>550000</v>
      </c>
      <c r="F2238" t="s">
        <v>42</v>
      </c>
      <c r="G2238" t="s">
        <v>43</v>
      </c>
      <c r="H2238">
        <v>8</v>
      </c>
      <c r="I2238">
        <v>7</v>
      </c>
      <c r="J2238">
        <v>2412</v>
      </c>
      <c r="K2238" s="5">
        <v>1.0234955E-2</v>
      </c>
      <c r="L2238" t="s">
        <v>32</v>
      </c>
      <c r="M2238" s="4">
        <v>105415.79300000001</v>
      </c>
      <c r="N2238" s="3">
        <v>228.0265</v>
      </c>
      <c r="O2238" t="s">
        <v>22</v>
      </c>
      <c r="P2238" t="s">
        <v>24</v>
      </c>
      <c r="Q2238" t="s">
        <v>34</v>
      </c>
      <c r="R2238" t="s">
        <v>45</v>
      </c>
      <c r="S2238">
        <v>4</v>
      </c>
    </row>
    <row r="2239" spans="1:19" x14ac:dyDescent="0.3">
      <c r="A2239" s="1">
        <v>44301</v>
      </c>
      <c r="B2239">
        <v>2021</v>
      </c>
      <c r="C2239" t="s">
        <v>18</v>
      </c>
      <c r="D2239" s="4">
        <v>95580</v>
      </c>
      <c r="E2239" s="2">
        <v>145000</v>
      </c>
      <c r="F2239" t="s">
        <v>36</v>
      </c>
      <c r="G2239" t="s">
        <v>37</v>
      </c>
      <c r="H2239">
        <v>6</v>
      </c>
      <c r="I2239">
        <v>5</v>
      </c>
      <c r="J2239">
        <v>2166</v>
      </c>
      <c r="K2239" s="5">
        <v>1.0234955E-2</v>
      </c>
      <c r="L2239" t="s">
        <v>27</v>
      </c>
      <c r="M2239" s="4">
        <v>49420</v>
      </c>
      <c r="N2239" s="3">
        <v>66.943700000000007</v>
      </c>
      <c r="O2239" t="s">
        <v>22</v>
      </c>
      <c r="P2239" t="s">
        <v>23</v>
      </c>
      <c r="Q2239" t="s">
        <v>34</v>
      </c>
      <c r="R2239" t="s">
        <v>45</v>
      </c>
      <c r="S2239">
        <v>4</v>
      </c>
    </row>
    <row r="2240" spans="1:19" x14ac:dyDescent="0.3">
      <c r="A2240" s="1">
        <v>44302</v>
      </c>
      <c r="B2240">
        <v>2021</v>
      </c>
      <c r="C2240" t="s">
        <v>39</v>
      </c>
      <c r="D2240" s="4">
        <v>846020</v>
      </c>
      <c r="E2240" s="2">
        <v>1670000</v>
      </c>
      <c r="F2240" t="s">
        <v>19</v>
      </c>
      <c r="G2240" t="s">
        <v>20</v>
      </c>
      <c r="H2240">
        <v>3</v>
      </c>
      <c r="I2240">
        <v>1</v>
      </c>
      <c r="J2240">
        <v>977</v>
      </c>
      <c r="K2240" s="5">
        <v>1.0234955E-2</v>
      </c>
      <c r="L2240" t="s">
        <v>21</v>
      </c>
      <c r="M2240" s="4">
        <v>823980</v>
      </c>
      <c r="N2240" s="3">
        <v>1709.3142</v>
      </c>
      <c r="O2240" t="s">
        <v>22</v>
      </c>
      <c r="P2240" t="s">
        <v>28</v>
      </c>
      <c r="Q2240" t="s">
        <v>24</v>
      </c>
      <c r="R2240" t="s">
        <v>45</v>
      </c>
      <c r="S2240">
        <v>4</v>
      </c>
    </row>
    <row r="2241" spans="1:19" x14ac:dyDescent="0.3">
      <c r="A2241" s="1">
        <v>44303</v>
      </c>
      <c r="B2241">
        <v>2021</v>
      </c>
      <c r="C2241" t="s">
        <v>29</v>
      </c>
      <c r="D2241" s="4">
        <v>90890</v>
      </c>
      <c r="E2241" s="2">
        <v>208000</v>
      </c>
      <c r="F2241" t="s">
        <v>19</v>
      </c>
      <c r="G2241" t="s">
        <v>20</v>
      </c>
      <c r="H2241">
        <v>3</v>
      </c>
      <c r="I2241">
        <v>3</v>
      </c>
      <c r="J2241">
        <v>941</v>
      </c>
      <c r="K2241" s="5">
        <v>1.0234955E-2</v>
      </c>
      <c r="L2241" t="s">
        <v>38</v>
      </c>
      <c r="M2241" s="4">
        <v>117110</v>
      </c>
      <c r="N2241" s="3">
        <v>221.04140000000001</v>
      </c>
      <c r="O2241" t="s">
        <v>22</v>
      </c>
      <c r="P2241" t="s">
        <v>24</v>
      </c>
      <c r="Q2241" t="s">
        <v>24</v>
      </c>
      <c r="R2241" t="s">
        <v>45</v>
      </c>
      <c r="S2241">
        <v>4</v>
      </c>
    </row>
    <row r="2242" spans="1:19" x14ac:dyDescent="0.3">
      <c r="A2242" s="1">
        <v>44304</v>
      </c>
      <c r="B2242">
        <v>2021</v>
      </c>
      <c r="C2242" t="s">
        <v>56</v>
      </c>
      <c r="D2242" s="4">
        <v>559110</v>
      </c>
      <c r="E2242" s="2">
        <v>889000</v>
      </c>
      <c r="F2242" t="s">
        <v>19</v>
      </c>
      <c r="G2242" t="s">
        <v>20</v>
      </c>
      <c r="H2242">
        <v>3</v>
      </c>
      <c r="I2242">
        <v>3</v>
      </c>
      <c r="J2242">
        <v>1041</v>
      </c>
      <c r="K2242" s="5">
        <v>1.0234955E-2</v>
      </c>
      <c r="L2242" t="s">
        <v>38</v>
      </c>
      <c r="M2242" s="4">
        <v>329890</v>
      </c>
      <c r="N2242" s="3">
        <v>853.98659999999995</v>
      </c>
      <c r="O2242" t="s">
        <v>22</v>
      </c>
      <c r="P2242" t="s">
        <v>28</v>
      </c>
      <c r="Q2242" t="s">
        <v>24</v>
      </c>
      <c r="R2242" t="s">
        <v>45</v>
      </c>
      <c r="S2242">
        <v>4</v>
      </c>
    </row>
    <row r="2243" spans="1:19" x14ac:dyDescent="0.3">
      <c r="A2243" s="1">
        <v>44309</v>
      </c>
      <c r="B2243">
        <v>2021</v>
      </c>
      <c r="C2243" t="s">
        <v>29</v>
      </c>
      <c r="D2243" s="4">
        <v>133310</v>
      </c>
      <c r="E2243" s="2">
        <v>223125</v>
      </c>
      <c r="F2243" t="s">
        <v>30</v>
      </c>
      <c r="G2243" t="s">
        <v>31</v>
      </c>
      <c r="H2243">
        <v>4</v>
      </c>
      <c r="I2243">
        <v>2</v>
      </c>
      <c r="J2243">
        <v>1222</v>
      </c>
      <c r="K2243" s="5">
        <v>1.0234955E-2</v>
      </c>
      <c r="L2243" t="s">
        <v>21</v>
      </c>
      <c r="M2243" s="4">
        <v>89815</v>
      </c>
      <c r="N2243" s="3">
        <v>182.59</v>
      </c>
      <c r="O2243" t="s">
        <v>22</v>
      </c>
      <c r="P2243" t="s">
        <v>24</v>
      </c>
      <c r="Q2243" t="s">
        <v>24</v>
      </c>
      <c r="R2243" t="s">
        <v>45</v>
      </c>
      <c r="S2243">
        <v>4</v>
      </c>
    </row>
    <row r="2244" spans="1:19" x14ac:dyDescent="0.3">
      <c r="A2244" s="1">
        <v>44311</v>
      </c>
      <c r="B2244">
        <v>2021</v>
      </c>
      <c r="C2244" t="s">
        <v>29</v>
      </c>
      <c r="D2244" s="4">
        <v>80510</v>
      </c>
      <c r="E2244" s="2">
        <v>195000</v>
      </c>
      <c r="F2244" t="s">
        <v>19</v>
      </c>
      <c r="G2244" t="s">
        <v>20</v>
      </c>
      <c r="H2244">
        <v>3</v>
      </c>
      <c r="I2244">
        <v>1</v>
      </c>
      <c r="J2244">
        <v>1100</v>
      </c>
      <c r="K2244" s="5">
        <v>1.0234955E-2</v>
      </c>
      <c r="L2244" t="s">
        <v>32</v>
      </c>
      <c r="M2244" s="4">
        <v>114490</v>
      </c>
      <c r="N2244" s="3">
        <v>177.27269999999999</v>
      </c>
      <c r="O2244" t="s">
        <v>22</v>
      </c>
      <c r="P2244" t="s">
        <v>23</v>
      </c>
      <c r="Q2244" t="s">
        <v>24</v>
      </c>
      <c r="R2244" t="s">
        <v>45</v>
      </c>
      <c r="S2244">
        <v>4</v>
      </c>
    </row>
    <row r="2245" spans="1:19" x14ac:dyDescent="0.3">
      <c r="A2245" s="1">
        <v>44312</v>
      </c>
      <c r="B2245">
        <v>2021</v>
      </c>
      <c r="C2245" t="s">
        <v>39</v>
      </c>
      <c r="D2245" s="4">
        <v>2890790</v>
      </c>
      <c r="E2245" s="2">
        <v>3000000</v>
      </c>
      <c r="F2245" t="s">
        <v>19</v>
      </c>
      <c r="G2245" t="s">
        <v>20</v>
      </c>
      <c r="H2245">
        <v>3</v>
      </c>
      <c r="I2245">
        <v>3</v>
      </c>
      <c r="J2245">
        <v>985</v>
      </c>
      <c r="K2245" s="5">
        <v>1.0234955E-2</v>
      </c>
      <c r="L2245" t="s">
        <v>32</v>
      </c>
      <c r="M2245" s="4">
        <v>109210</v>
      </c>
      <c r="N2245" s="3">
        <v>3045.6853000000001</v>
      </c>
      <c r="O2245" t="s">
        <v>22</v>
      </c>
      <c r="P2245" t="s">
        <v>28</v>
      </c>
      <c r="Q2245" t="s">
        <v>24</v>
      </c>
      <c r="R2245" t="s">
        <v>45</v>
      </c>
      <c r="S2245">
        <v>4</v>
      </c>
    </row>
    <row r="2246" spans="1:19" x14ac:dyDescent="0.3">
      <c r="A2246" s="1">
        <v>44316</v>
      </c>
      <c r="B2246">
        <v>2021</v>
      </c>
      <c r="C2246" t="s">
        <v>35</v>
      </c>
      <c r="D2246" s="4">
        <v>5958120</v>
      </c>
      <c r="E2246" s="2">
        <v>9400000</v>
      </c>
      <c r="F2246" t="s">
        <v>19</v>
      </c>
      <c r="G2246" t="s">
        <v>20</v>
      </c>
      <c r="H2246">
        <v>3</v>
      </c>
      <c r="I2246">
        <v>3</v>
      </c>
      <c r="J2246">
        <v>1080</v>
      </c>
      <c r="K2246" s="5">
        <v>1.0234955E-2</v>
      </c>
      <c r="L2246" t="s">
        <v>32</v>
      </c>
      <c r="M2246" s="4">
        <v>3441880</v>
      </c>
      <c r="N2246" s="3">
        <v>8703.7037</v>
      </c>
      <c r="O2246" t="s">
        <v>22</v>
      </c>
      <c r="P2246" t="s">
        <v>28</v>
      </c>
      <c r="Q2246" t="s">
        <v>24</v>
      </c>
      <c r="R2246" t="s">
        <v>45</v>
      </c>
      <c r="S2246">
        <v>4</v>
      </c>
    </row>
    <row r="2247" spans="1:19" x14ac:dyDescent="0.3">
      <c r="A2247" s="1">
        <v>44317</v>
      </c>
      <c r="B2247">
        <v>2021</v>
      </c>
      <c r="C2247" t="s">
        <v>29</v>
      </c>
      <c r="D2247" s="4">
        <v>123490</v>
      </c>
      <c r="E2247" s="2">
        <v>180000</v>
      </c>
      <c r="F2247" t="s">
        <v>19</v>
      </c>
      <c r="G2247" t="s">
        <v>20</v>
      </c>
      <c r="H2247">
        <v>3</v>
      </c>
      <c r="I2247">
        <v>1</v>
      </c>
      <c r="J2247">
        <v>1035</v>
      </c>
      <c r="K2247" s="5">
        <v>1.0234955E-2</v>
      </c>
      <c r="L2247" t="s">
        <v>21</v>
      </c>
      <c r="M2247" s="4">
        <v>56510</v>
      </c>
      <c r="N2247" s="3">
        <v>173.91300000000001</v>
      </c>
      <c r="O2247" t="s">
        <v>22</v>
      </c>
      <c r="P2247" t="s">
        <v>23</v>
      </c>
      <c r="Q2247" t="s">
        <v>24</v>
      </c>
      <c r="R2247" t="s">
        <v>47</v>
      </c>
      <c r="S2247">
        <v>5</v>
      </c>
    </row>
    <row r="2248" spans="1:19" x14ac:dyDescent="0.3">
      <c r="A2248" s="1">
        <v>44318</v>
      </c>
      <c r="B2248">
        <v>2021</v>
      </c>
      <c r="C2248" t="s">
        <v>35</v>
      </c>
      <c r="D2248" s="4">
        <v>992040</v>
      </c>
      <c r="E2248" s="2">
        <v>1275000</v>
      </c>
      <c r="F2248" t="s">
        <v>19</v>
      </c>
      <c r="G2248" t="s">
        <v>20</v>
      </c>
      <c r="H2248">
        <v>3</v>
      </c>
      <c r="I2248">
        <v>1</v>
      </c>
      <c r="J2248">
        <v>904</v>
      </c>
      <c r="K2248" s="5">
        <v>1.0234955E-2</v>
      </c>
      <c r="L2248" t="s">
        <v>21</v>
      </c>
      <c r="M2248" s="4">
        <v>282960</v>
      </c>
      <c r="N2248" s="3">
        <v>1410.3982000000001</v>
      </c>
      <c r="O2248" t="s">
        <v>22</v>
      </c>
      <c r="P2248" t="s">
        <v>28</v>
      </c>
      <c r="Q2248" t="s">
        <v>24</v>
      </c>
      <c r="R2248" t="s">
        <v>47</v>
      </c>
      <c r="S2248">
        <v>5</v>
      </c>
    </row>
    <row r="2249" spans="1:19" x14ac:dyDescent="0.3">
      <c r="A2249" s="1">
        <v>44319</v>
      </c>
      <c r="B2249">
        <v>2021</v>
      </c>
      <c r="C2249" t="s">
        <v>18</v>
      </c>
      <c r="D2249" s="4">
        <v>65540</v>
      </c>
      <c r="E2249" s="2">
        <v>135000</v>
      </c>
      <c r="F2249" t="s">
        <v>19</v>
      </c>
      <c r="G2249" t="s">
        <v>20</v>
      </c>
      <c r="H2249">
        <v>3</v>
      </c>
      <c r="I2249">
        <v>1</v>
      </c>
      <c r="J2249">
        <v>981</v>
      </c>
      <c r="K2249" s="5">
        <v>1.0234955E-2</v>
      </c>
      <c r="L2249" t="s">
        <v>21</v>
      </c>
      <c r="M2249" s="4">
        <v>69460</v>
      </c>
      <c r="N2249" s="3">
        <v>137.6147</v>
      </c>
      <c r="O2249" t="s">
        <v>22</v>
      </c>
      <c r="P2249" t="s">
        <v>23</v>
      </c>
      <c r="Q2249" t="s">
        <v>24</v>
      </c>
      <c r="R2249" t="s">
        <v>47</v>
      </c>
      <c r="S2249">
        <v>5</v>
      </c>
    </row>
    <row r="2250" spans="1:19" x14ac:dyDescent="0.3">
      <c r="A2250" s="1">
        <v>44322</v>
      </c>
      <c r="B2250">
        <v>2021</v>
      </c>
      <c r="C2250" t="s">
        <v>18</v>
      </c>
      <c r="D2250" s="4">
        <v>133000</v>
      </c>
      <c r="E2250" s="2">
        <v>163500</v>
      </c>
      <c r="F2250" t="s">
        <v>19</v>
      </c>
      <c r="G2250" t="s">
        <v>20</v>
      </c>
      <c r="H2250">
        <v>3</v>
      </c>
      <c r="I2250">
        <v>2</v>
      </c>
      <c r="J2250">
        <v>945</v>
      </c>
      <c r="K2250" s="5">
        <v>1.0234955E-2</v>
      </c>
      <c r="L2250" t="s">
        <v>21</v>
      </c>
      <c r="M2250" s="4">
        <v>30500</v>
      </c>
      <c r="N2250" s="3">
        <v>173.01589999999999</v>
      </c>
      <c r="O2250" t="s">
        <v>22</v>
      </c>
      <c r="P2250" t="s">
        <v>23</v>
      </c>
      <c r="Q2250" t="s">
        <v>24</v>
      </c>
      <c r="R2250" t="s">
        <v>47</v>
      </c>
      <c r="S2250">
        <v>5</v>
      </c>
    </row>
    <row r="2251" spans="1:19" x14ac:dyDescent="0.3">
      <c r="A2251" s="1">
        <v>44324</v>
      </c>
      <c r="B2251">
        <v>2021</v>
      </c>
      <c r="C2251" t="s">
        <v>35</v>
      </c>
      <c r="D2251" s="4">
        <v>801920</v>
      </c>
      <c r="E2251" s="2">
        <v>1165000</v>
      </c>
      <c r="F2251" t="s">
        <v>19</v>
      </c>
      <c r="G2251" t="s">
        <v>20</v>
      </c>
      <c r="H2251">
        <v>3</v>
      </c>
      <c r="I2251">
        <v>2</v>
      </c>
      <c r="J2251">
        <v>937</v>
      </c>
      <c r="K2251" s="5">
        <v>1.0234955E-2</v>
      </c>
      <c r="L2251" t="s">
        <v>21</v>
      </c>
      <c r="M2251" s="4">
        <v>363080</v>
      </c>
      <c r="N2251" s="3">
        <v>1243.3298</v>
      </c>
      <c r="O2251" t="s">
        <v>22</v>
      </c>
      <c r="P2251" t="s">
        <v>28</v>
      </c>
      <c r="Q2251" t="s">
        <v>24</v>
      </c>
      <c r="R2251" t="s">
        <v>47</v>
      </c>
      <c r="S2251">
        <v>5</v>
      </c>
    </row>
    <row r="2252" spans="1:19" x14ac:dyDescent="0.3">
      <c r="A2252" s="1">
        <v>44326</v>
      </c>
      <c r="B2252">
        <v>2021</v>
      </c>
      <c r="C2252" t="s">
        <v>39</v>
      </c>
      <c r="D2252" s="4">
        <v>306670</v>
      </c>
      <c r="E2252" s="2">
        <v>398000</v>
      </c>
      <c r="F2252" t="s">
        <v>19</v>
      </c>
      <c r="G2252" t="s">
        <v>20</v>
      </c>
      <c r="H2252">
        <v>3</v>
      </c>
      <c r="I2252">
        <v>1</v>
      </c>
      <c r="J2252">
        <v>967</v>
      </c>
      <c r="K2252" s="5">
        <v>1.0234955E-2</v>
      </c>
      <c r="L2252" t="s">
        <v>21</v>
      </c>
      <c r="M2252" s="4">
        <v>91330</v>
      </c>
      <c r="N2252" s="3">
        <v>411.5822</v>
      </c>
      <c r="O2252" t="s">
        <v>22</v>
      </c>
      <c r="P2252" t="s">
        <v>24</v>
      </c>
      <c r="Q2252" t="s">
        <v>24</v>
      </c>
      <c r="R2252" t="s">
        <v>47</v>
      </c>
      <c r="S2252">
        <v>5</v>
      </c>
    </row>
    <row r="2253" spans="1:19" x14ac:dyDescent="0.3">
      <c r="A2253" s="1">
        <v>44329</v>
      </c>
      <c r="B2253">
        <v>2021</v>
      </c>
      <c r="C2253" t="s">
        <v>29</v>
      </c>
      <c r="D2253" s="4">
        <v>127430</v>
      </c>
      <c r="E2253" s="2">
        <v>250000</v>
      </c>
      <c r="F2253" t="s">
        <v>36</v>
      </c>
      <c r="G2253" t="s">
        <v>37</v>
      </c>
      <c r="H2253">
        <v>6</v>
      </c>
      <c r="I2253">
        <v>6</v>
      </c>
      <c r="J2253">
        <v>2103</v>
      </c>
      <c r="K2253" s="5">
        <v>1.0234955E-2</v>
      </c>
      <c r="L2253" t="s">
        <v>27</v>
      </c>
      <c r="M2253" s="4">
        <v>122570</v>
      </c>
      <c r="N2253" s="3">
        <v>118.87779999999999</v>
      </c>
      <c r="O2253" t="s">
        <v>22</v>
      </c>
      <c r="P2253" t="s">
        <v>24</v>
      </c>
      <c r="Q2253" t="s">
        <v>34</v>
      </c>
      <c r="R2253" t="s">
        <v>47</v>
      </c>
      <c r="S2253">
        <v>5</v>
      </c>
    </row>
    <row r="2254" spans="1:19" x14ac:dyDescent="0.3">
      <c r="A2254" s="1">
        <v>44330</v>
      </c>
      <c r="B2254">
        <v>2021</v>
      </c>
      <c r="C2254" t="s">
        <v>52</v>
      </c>
      <c r="D2254" s="4">
        <v>559650</v>
      </c>
      <c r="E2254" s="2">
        <v>835000</v>
      </c>
      <c r="F2254" t="s">
        <v>19</v>
      </c>
      <c r="G2254" t="s">
        <v>20</v>
      </c>
      <c r="H2254">
        <v>3</v>
      </c>
      <c r="I2254">
        <v>3</v>
      </c>
      <c r="J2254">
        <v>1111.6589814177564</v>
      </c>
      <c r="K2254" s="5">
        <v>1.0234955E-2</v>
      </c>
      <c r="L2254" t="s">
        <v>27</v>
      </c>
      <c r="M2254" s="4">
        <v>275350</v>
      </c>
      <c r="N2254" s="3">
        <v>751.12959999999998</v>
      </c>
      <c r="O2254" t="s">
        <v>22</v>
      </c>
      <c r="P2254" t="s">
        <v>28</v>
      </c>
      <c r="Q2254" t="s">
        <v>24</v>
      </c>
      <c r="R2254" t="s">
        <v>47</v>
      </c>
      <c r="S2254">
        <v>5</v>
      </c>
    </row>
    <row r="2255" spans="1:19" x14ac:dyDescent="0.3">
      <c r="A2255" s="1">
        <v>44332</v>
      </c>
      <c r="B2255">
        <v>2021</v>
      </c>
      <c r="C2255" t="s">
        <v>40</v>
      </c>
      <c r="D2255" s="4">
        <v>126770</v>
      </c>
      <c r="E2255" s="2">
        <v>222000</v>
      </c>
      <c r="F2255" t="s">
        <v>19</v>
      </c>
      <c r="G2255" t="s">
        <v>20</v>
      </c>
      <c r="H2255">
        <v>3</v>
      </c>
      <c r="I2255">
        <v>2</v>
      </c>
      <c r="J2255">
        <v>1036</v>
      </c>
      <c r="K2255" s="5">
        <v>1.0234955E-2</v>
      </c>
      <c r="L2255" t="s">
        <v>38</v>
      </c>
      <c r="M2255" s="4">
        <v>95230</v>
      </c>
      <c r="N2255" s="3">
        <v>214.28569999999999</v>
      </c>
      <c r="O2255" t="s">
        <v>22</v>
      </c>
      <c r="P2255" t="s">
        <v>24</v>
      </c>
      <c r="Q2255" t="s">
        <v>24</v>
      </c>
      <c r="R2255" t="s">
        <v>47</v>
      </c>
      <c r="S2255">
        <v>5</v>
      </c>
    </row>
    <row r="2256" spans="1:19" x14ac:dyDescent="0.3">
      <c r="A2256" s="1">
        <v>44336</v>
      </c>
      <c r="B2256">
        <v>2021</v>
      </c>
      <c r="C2256" t="s">
        <v>29</v>
      </c>
      <c r="D2256" s="4">
        <v>444584.20699999999</v>
      </c>
      <c r="E2256" s="2">
        <v>165000</v>
      </c>
      <c r="F2256" t="s">
        <v>19</v>
      </c>
      <c r="G2256" t="s">
        <v>20</v>
      </c>
      <c r="H2256">
        <v>3</v>
      </c>
      <c r="I2256">
        <v>2</v>
      </c>
      <c r="J2256">
        <v>974</v>
      </c>
      <c r="K2256" s="5">
        <v>1.0234955E-2</v>
      </c>
      <c r="L2256" t="s">
        <v>21</v>
      </c>
      <c r="M2256" s="4">
        <v>-279584.20699999999</v>
      </c>
      <c r="N2256" s="3">
        <v>169.40450000000001</v>
      </c>
      <c r="O2256" t="s">
        <v>33</v>
      </c>
      <c r="P2256" t="s">
        <v>23</v>
      </c>
      <c r="Q2256" t="s">
        <v>24</v>
      </c>
      <c r="R2256" t="s">
        <v>47</v>
      </c>
      <c r="S2256">
        <v>5</v>
      </c>
    </row>
    <row r="2257" spans="1:19" x14ac:dyDescent="0.3">
      <c r="A2257" s="1">
        <v>44337</v>
      </c>
      <c r="B2257">
        <v>2021</v>
      </c>
      <c r="C2257" t="s">
        <v>56</v>
      </c>
      <c r="D2257" s="4">
        <v>297890</v>
      </c>
      <c r="E2257" s="2">
        <v>395000</v>
      </c>
      <c r="F2257" t="s">
        <v>19</v>
      </c>
      <c r="G2257" t="s">
        <v>20</v>
      </c>
      <c r="H2257">
        <v>3</v>
      </c>
      <c r="I2257">
        <v>3</v>
      </c>
      <c r="J2257">
        <v>980</v>
      </c>
      <c r="K2257" s="5">
        <v>1.0234955E-2</v>
      </c>
      <c r="L2257" t="s">
        <v>27</v>
      </c>
      <c r="M2257" s="4">
        <v>97110</v>
      </c>
      <c r="N2257" s="3">
        <v>403.06119999999999</v>
      </c>
      <c r="O2257" t="s">
        <v>22</v>
      </c>
      <c r="P2257" t="s">
        <v>24</v>
      </c>
      <c r="Q2257" t="s">
        <v>24</v>
      </c>
      <c r="R2257" t="s">
        <v>47</v>
      </c>
      <c r="S2257">
        <v>5</v>
      </c>
    </row>
    <row r="2258" spans="1:19" x14ac:dyDescent="0.3">
      <c r="A2258" s="1">
        <v>44338</v>
      </c>
      <c r="B2258">
        <v>2021</v>
      </c>
      <c r="C2258" t="s">
        <v>40</v>
      </c>
      <c r="D2258" s="4">
        <v>1204000</v>
      </c>
      <c r="E2258" s="2">
        <v>2120000</v>
      </c>
      <c r="F2258" t="s">
        <v>19</v>
      </c>
      <c r="G2258" t="s">
        <v>20</v>
      </c>
      <c r="H2258">
        <v>3</v>
      </c>
      <c r="I2258">
        <v>3</v>
      </c>
      <c r="J2258">
        <v>1111.6589814177564</v>
      </c>
      <c r="K2258" s="5">
        <v>1.0234955E-2</v>
      </c>
      <c r="L2258" t="s">
        <v>21</v>
      </c>
      <c r="M2258" s="4">
        <v>916000</v>
      </c>
      <c r="N2258" s="3">
        <v>1907.0597</v>
      </c>
      <c r="O2258" t="s">
        <v>22</v>
      </c>
      <c r="P2258" t="s">
        <v>28</v>
      </c>
      <c r="Q2258" t="s">
        <v>24</v>
      </c>
      <c r="R2258" t="s">
        <v>47</v>
      </c>
      <c r="S2258">
        <v>5</v>
      </c>
    </row>
    <row r="2259" spans="1:19" x14ac:dyDescent="0.3">
      <c r="A2259" s="1">
        <v>44339</v>
      </c>
      <c r="B2259">
        <v>2021</v>
      </c>
      <c r="C2259" t="s">
        <v>35</v>
      </c>
      <c r="D2259" s="4">
        <v>3303300</v>
      </c>
      <c r="E2259" s="2">
        <v>3500000</v>
      </c>
      <c r="F2259" t="s">
        <v>19</v>
      </c>
      <c r="G2259" t="s">
        <v>20</v>
      </c>
      <c r="H2259">
        <v>3</v>
      </c>
      <c r="I2259">
        <v>2</v>
      </c>
      <c r="J2259">
        <v>1097</v>
      </c>
      <c r="K2259" s="5">
        <v>1.0234955E-2</v>
      </c>
      <c r="L2259" t="s">
        <v>32</v>
      </c>
      <c r="M2259" s="4">
        <v>196700</v>
      </c>
      <c r="N2259" s="3">
        <v>3190.5196000000001</v>
      </c>
      <c r="O2259" t="s">
        <v>22</v>
      </c>
      <c r="P2259" t="s">
        <v>28</v>
      </c>
      <c r="Q2259" t="s">
        <v>24</v>
      </c>
      <c r="R2259" t="s">
        <v>47</v>
      </c>
      <c r="S2259">
        <v>5</v>
      </c>
    </row>
    <row r="2260" spans="1:19" x14ac:dyDescent="0.3">
      <c r="A2260" s="1">
        <v>44340</v>
      </c>
      <c r="B2260">
        <v>2021</v>
      </c>
      <c r="C2260" t="s">
        <v>35</v>
      </c>
      <c r="D2260" s="4">
        <v>666190</v>
      </c>
      <c r="E2260" s="2">
        <v>870000</v>
      </c>
      <c r="F2260" t="s">
        <v>19</v>
      </c>
      <c r="G2260" t="s">
        <v>20</v>
      </c>
      <c r="H2260">
        <v>3</v>
      </c>
      <c r="I2260">
        <v>1</v>
      </c>
      <c r="J2260">
        <v>1062</v>
      </c>
      <c r="K2260" s="5">
        <v>1.0234955E-2</v>
      </c>
      <c r="L2260" t="s">
        <v>38</v>
      </c>
      <c r="M2260" s="4">
        <v>203810</v>
      </c>
      <c r="N2260" s="3">
        <v>819.20899999999995</v>
      </c>
      <c r="O2260" t="s">
        <v>22</v>
      </c>
      <c r="P2260" t="s">
        <v>28</v>
      </c>
      <c r="Q2260" t="s">
        <v>24</v>
      </c>
      <c r="R2260" t="s">
        <v>47</v>
      </c>
      <c r="S2260">
        <v>5</v>
      </c>
    </row>
    <row r="2261" spans="1:19" x14ac:dyDescent="0.3">
      <c r="A2261" s="1">
        <v>44344</v>
      </c>
      <c r="B2261">
        <v>2021</v>
      </c>
      <c r="C2261" t="s">
        <v>52</v>
      </c>
      <c r="D2261" s="4">
        <v>149730</v>
      </c>
      <c r="E2261" s="2">
        <v>237000</v>
      </c>
      <c r="F2261" t="s">
        <v>19</v>
      </c>
      <c r="G2261" t="s">
        <v>20</v>
      </c>
      <c r="H2261">
        <v>3</v>
      </c>
      <c r="I2261">
        <v>1</v>
      </c>
      <c r="J2261">
        <v>991</v>
      </c>
      <c r="K2261" s="5">
        <v>1.0234955E-2</v>
      </c>
      <c r="L2261" t="s">
        <v>38</v>
      </c>
      <c r="M2261" s="4">
        <v>87270</v>
      </c>
      <c r="N2261" s="3">
        <v>239.1524</v>
      </c>
      <c r="O2261" t="s">
        <v>22</v>
      </c>
      <c r="P2261" t="s">
        <v>24</v>
      </c>
      <c r="Q2261" t="s">
        <v>24</v>
      </c>
      <c r="R2261" t="s">
        <v>47</v>
      </c>
      <c r="S2261">
        <v>5</v>
      </c>
    </row>
    <row r="2262" spans="1:19" x14ac:dyDescent="0.3">
      <c r="A2262" s="1">
        <v>44346</v>
      </c>
      <c r="B2262">
        <v>2021</v>
      </c>
      <c r="C2262" t="s">
        <v>56</v>
      </c>
      <c r="D2262" s="4">
        <v>399360</v>
      </c>
      <c r="E2262" s="2">
        <v>492000</v>
      </c>
      <c r="F2262" t="s">
        <v>19</v>
      </c>
      <c r="G2262" t="s">
        <v>20</v>
      </c>
      <c r="H2262">
        <v>3</v>
      </c>
      <c r="I2262">
        <v>3</v>
      </c>
      <c r="J2262">
        <v>971</v>
      </c>
      <c r="K2262" s="5">
        <v>1.0234955E-2</v>
      </c>
      <c r="L2262" t="s">
        <v>27</v>
      </c>
      <c r="M2262" s="4">
        <v>92640</v>
      </c>
      <c r="N2262" s="3">
        <v>506.69409999999999</v>
      </c>
      <c r="O2262" t="s">
        <v>22</v>
      </c>
      <c r="P2262" t="s">
        <v>24</v>
      </c>
      <c r="Q2262" t="s">
        <v>24</v>
      </c>
      <c r="R2262" t="s">
        <v>47</v>
      </c>
      <c r="S2262">
        <v>5</v>
      </c>
    </row>
    <row r="2263" spans="1:19" x14ac:dyDescent="0.3">
      <c r="A2263" s="1">
        <v>44347</v>
      </c>
      <c r="B2263">
        <v>2021</v>
      </c>
      <c r="C2263" t="s">
        <v>39</v>
      </c>
      <c r="D2263" s="4">
        <v>306950</v>
      </c>
      <c r="E2263" s="2">
        <v>592000</v>
      </c>
      <c r="F2263" t="s">
        <v>19</v>
      </c>
      <c r="G2263" t="s">
        <v>20</v>
      </c>
      <c r="H2263">
        <v>3</v>
      </c>
      <c r="I2263">
        <v>3</v>
      </c>
      <c r="J2263">
        <v>1111.6589814177564</v>
      </c>
      <c r="K2263" s="5">
        <v>1.0234955E-2</v>
      </c>
      <c r="L2263" t="s">
        <v>27</v>
      </c>
      <c r="M2263" s="4">
        <v>285050</v>
      </c>
      <c r="N2263" s="3">
        <v>532.53740000000005</v>
      </c>
      <c r="O2263" t="s">
        <v>22</v>
      </c>
      <c r="P2263" t="s">
        <v>24</v>
      </c>
      <c r="Q2263" t="s">
        <v>24</v>
      </c>
      <c r="R2263" t="s">
        <v>47</v>
      </c>
      <c r="S2263">
        <v>5</v>
      </c>
    </row>
    <row r="2264" spans="1:19" x14ac:dyDescent="0.3">
      <c r="A2264" s="1">
        <v>44349</v>
      </c>
      <c r="B2264">
        <v>2021</v>
      </c>
      <c r="C2264" t="s">
        <v>18</v>
      </c>
      <c r="D2264" s="4">
        <v>71870</v>
      </c>
      <c r="E2264" s="2">
        <v>130000</v>
      </c>
      <c r="F2264" t="s">
        <v>19</v>
      </c>
      <c r="G2264" t="s">
        <v>20</v>
      </c>
      <c r="H2264">
        <v>3</v>
      </c>
      <c r="I2264">
        <v>2</v>
      </c>
      <c r="J2264">
        <v>1059</v>
      </c>
      <c r="K2264" s="5">
        <v>1.0234955E-2</v>
      </c>
      <c r="L2264" t="s">
        <v>38</v>
      </c>
      <c r="M2264" s="4">
        <v>58130</v>
      </c>
      <c r="N2264" s="3">
        <v>122.7573</v>
      </c>
      <c r="O2264" t="s">
        <v>22</v>
      </c>
      <c r="P2264" t="s">
        <v>23</v>
      </c>
      <c r="Q2264" t="s">
        <v>24</v>
      </c>
      <c r="R2264" t="s">
        <v>48</v>
      </c>
      <c r="S2264">
        <v>6</v>
      </c>
    </row>
    <row r="2265" spans="1:19" x14ac:dyDescent="0.3">
      <c r="A2265" s="1">
        <v>44350</v>
      </c>
      <c r="B2265">
        <v>2021</v>
      </c>
      <c r="C2265" t="s">
        <v>18</v>
      </c>
      <c r="D2265" s="4">
        <v>92140</v>
      </c>
      <c r="E2265" s="2">
        <v>210000</v>
      </c>
      <c r="F2265" t="s">
        <v>42</v>
      </c>
      <c r="G2265" t="s">
        <v>43</v>
      </c>
      <c r="H2265">
        <v>8</v>
      </c>
      <c r="I2265">
        <v>6</v>
      </c>
      <c r="J2265">
        <v>2506</v>
      </c>
      <c r="K2265" s="5">
        <v>1.0234955E-2</v>
      </c>
      <c r="L2265" t="s">
        <v>32</v>
      </c>
      <c r="M2265" s="4">
        <v>117860</v>
      </c>
      <c r="N2265" s="3">
        <v>83.798900000000003</v>
      </c>
      <c r="O2265" t="s">
        <v>22</v>
      </c>
      <c r="P2265" t="s">
        <v>24</v>
      </c>
      <c r="Q2265" t="s">
        <v>34</v>
      </c>
      <c r="R2265" t="s">
        <v>48</v>
      </c>
      <c r="S2265">
        <v>6</v>
      </c>
    </row>
    <row r="2266" spans="1:19" x14ac:dyDescent="0.3">
      <c r="A2266" s="1">
        <v>44351</v>
      </c>
      <c r="B2266">
        <v>2021</v>
      </c>
      <c r="C2266" t="s">
        <v>56</v>
      </c>
      <c r="D2266" s="4">
        <v>633100</v>
      </c>
      <c r="E2266" s="2">
        <v>845000</v>
      </c>
      <c r="F2266" t="s">
        <v>19</v>
      </c>
      <c r="G2266" t="s">
        <v>20</v>
      </c>
      <c r="H2266">
        <v>3</v>
      </c>
      <c r="I2266">
        <v>1</v>
      </c>
      <c r="J2266">
        <v>931</v>
      </c>
      <c r="K2266" s="5">
        <v>1.0234955E-2</v>
      </c>
      <c r="L2266" t="s">
        <v>21</v>
      </c>
      <c r="M2266" s="4">
        <v>211900</v>
      </c>
      <c r="N2266" s="3">
        <v>907.62620000000004</v>
      </c>
      <c r="O2266" t="s">
        <v>22</v>
      </c>
      <c r="P2266" t="s">
        <v>28</v>
      </c>
      <c r="Q2266" t="s">
        <v>24</v>
      </c>
      <c r="R2266" t="s">
        <v>48</v>
      </c>
      <c r="S2266">
        <v>6</v>
      </c>
    </row>
    <row r="2267" spans="1:19" x14ac:dyDescent="0.3">
      <c r="A2267" s="1">
        <v>44352</v>
      </c>
      <c r="B2267">
        <v>2021</v>
      </c>
      <c r="C2267" t="s">
        <v>39</v>
      </c>
      <c r="D2267" s="4">
        <v>444220</v>
      </c>
      <c r="E2267" s="2">
        <v>900000</v>
      </c>
      <c r="F2267" t="s">
        <v>19</v>
      </c>
      <c r="G2267" t="s">
        <v>20</v>
      </c>
      <c r="H2267">
        <v>3</v>
      </c>
      <c r="I2267">
        <v>1</v>
      </c>
      <c r="J2267">
        <v>1083</v>
      </c>
      <c r="K2267" s="5">
        <v>1.0234955E-2</v>
      </c>
      <c r="L2267" t="s">
        <v>38</v>
      </c>
      <c r="M2267" s="4">
        <v>455780</v>
      </c>
      <c r="N2267" s="3">
        <v>831.0249</v>
      </c>
      <c r="O2267" t="s">
        <v>22</v>
      </c>
      <c r="P2267" t="s">
        <v>28</v>
      </c>
      <c r="Q2267" t="s">
        <v>24</v>
      </c>
      <c r="R2267" t="s">
        <v>48</v>
      </c>
      <c r="S2267">
        <v>6</v>
      </c>
    </row>
    <row r="2268" spans="1:19" x14ac:dyDescent="0.3">
      <c r="A2268" s="1">
        <v>44354</v>
      </c>
      <c r="B2268">
        <v>2021</v>
      </c>
      <c r="C2268" t="s">
        <v>40</v>
      </c>
      <c r="D2268" s="4">
        <v>612920</v>
      </c>
      <c r="E2268" s="2">
        <v>875000</v>
      </c>
      <c r="F2268" t="s">
        <v>19</v>
      </c>
      <c r="G2268" t="s">
        <v>20</v>
      </c>
      <c r="H2268">
        <v>3</v>
      </c>
      <c r="I2268">
        <v>3</v>
      </c>
      <c r="J2268">
        <v>1111.6589814177564</v>
      </c>
      <c r="K2268" s="5">
        <v>1.0234955E-2</v>
      </c>
      <c r="L2268" t="s">
        <v>38</v>
      </c>
      <c r="M2268" s="4">
        <v>262080</v>
      </c>
      <c r="N2268" s="3">
        <v>787.11189999999999</v>
      </c>
      <c r="O2268" t="s">
        <v>22</v>
      </c>
      <c r="P2268" t="s">
        <v>28</v>
      </c>
      <c r="Q2268" t="s">
        <v>24</v>
      </c>
      <c r="R2268" t="s">
        <v>48</v>
      </c>
      <c r="S2268">
        <v>6</v>
      </c>
    </row>
    <row r="2269" spans="1:19" x14ac:dyDescent="0.3">
      <c r="A2269" s="1">
        <v>44357</v>
      </c>
      <c r="B2269">
        <v>2021</v>
      </c>
      <c r="C2269" t="s">
        <v>40</v>
      </c>
      <c r="D2269" s="4">
        <v>145450</v>
      </c>
      <c r="E2269" s="2">
        <v>268000</v>
      </c>
      <c r="F2269" t="s">
        <v>19</v>
      </c>
      <c r="G2269" t="s">
        <v>20</v>
      </c>
      <c r="H2269">
        <v>3</v>
      </c>
      <c r="I2269">
        <v>1</v>
      </c>
      <c r="J2269">
        <v>1096</v>
      </c>
      <c r="K2269" s="5">
        <v>1.0234955E-2</v>
      </c>
      <c r="L2269" t="s">
        <v>32</v>
      </c>
      <c r="M2269" s="4">
        <v>122550</v>
      </c>
      <c r="N2269" s="3">
        <v>244.52549999999999</v>
      </c>
      <c r="O2269" t="s">
        <v>22</v>
      </c>
      <c r="P2269" t="s">
        <v>24</v>
      </c>
      <c r="Q2269" t="s">
        <v>24</v>
      </c>
      <c r="R2269" t="s">
        <v>48</v>
      </c>
      <c r="S2269">
        <v>6</v>
      </c>
    </row>
    <row r="2270" spans="1:19" x14ac:dyDescent="0.3">
      <c r="A2270" s="1">
        <v>44358</v>
      </c>
      <c r="B2270">
        <v>2021</v>
      </c>
      <c r="C2270" t="s">
        <v>56</v>
      </c>
      <c r="D2270" s="4">
        <v>444584.20699999999</v>
      </c>
      <c r="E2270" s="2">
        <v>530000</v>
      </c>
      <c r="F2270" t="s">
        <v>19</v>
      </c>
      <c r="G2270" t="s">
        <v>20</v>
      </c>
      <c r="H2270">
        <v>3</v>
      </c>
      <c r="I2270">
        <v>3</v>
      </c>
      <c r="J2270">
        <v>952</v>
      </c>
      <c r="K2270" s="5">
        <v>1.0234955E-2</v>
      </c>
      <c r="L2270" t="s">
        <v>32</v>
      </c>
      <c r="M2270" s="4">
        <v>85415.793000000005</v>
      </c>
      <c r="N2270" s="3">
        <v>556.72270000000003</v>
      </c>
      <c r="O2270" t="s">
        <v>22</v>
      </c>
      <c r="P2270" t="s">
        <v>24</v>
      </c>
      <c r="Q2270" t="s">
        <v>24</v>
      </c>
      <c r="R2270" t="s">
        <v>48</v>
      </c>
      <c r="S2270">
        <v>6</v>
      </c>
    </row>
    <row r="2271" spans="1:19" x14ac:dyDescent="0.3">
      <c r="A2271" s="1">
        <v>44360</v>
      </c>
      <c r="B2271">
        <v>2021</v>
      </c>
      <c r="C2271" t="s">
        <v>29</v>
      </c>
      <c r="D2271" s="4">
        <v>100340</v>
      </c>
      <c r="E2271" s="2">
        <v>180000</v>
      </c>
      <c r="F2271" t="s">
        <v>19</v>
      </c>
      <c r="G2271" t="s">
        <v>20</v>
      </c>
      <c r="H2271">
        <v>3</v>
      </c>
      <c r="I2271">
        <v>1</v>
      </c>
      <c r="J2271">
        <v>1111.6589814177564</v>
      </c>
      <c r="K2271" s="5">
        <v>1.0234955E-2</v>
      </c>
      <c r="L2271" t="s">
        <v>21</v>
      </c>
      <c r="M2271" s="4">
        <v>79660</v>
      </c>
      <c r="N2271" s="3">
        <v>161.92019999999999</v>
      </c>
      <c r="O2271" t="s">
        <v>22</v>
      </c>
      <c r="P2271" t="s">
        <v>23</v>
      </c>
      <c r="Q2271" t="s">
        <v>24</v>
      </c>
      <c r="R2271" t="s">
        <v>48</v>
      </c>
      <c r="S2271">
        <v>6</v>
      </c>
    </row>
    <row r="2272" spans="1:19" x14ac:dyDescent="0.3">
      <c r="A2272" s="1">
        <v>44361</v>
      </c>
      <c r="B2272">
        <v>2021</v>
      </c>
      <c r="C2272" t="s">
        <v>35</v>
      </c>
      <c r="D2272" s="4">
        <v>2973810</v>
      </c>
      <c r="E2272" s="2">
        <v>6600000</v>
      </c>
      <c r="F2272" t="s">
        <v>19</v>
      </c>
      <c r="G2272" t="s">
        <v>20</v>
      </c>
      <c r="H2272">
        <v>3</v>
      </c>
      <c r="I2272">
        <v>2</v>
      </c>
      <c r="J2272">
        <v>903</v>
      </c>
      <c r="K2272" s="5">
        <v>1.0234955E-2</v>
      </c>
      <c r="L2272" t="s">
        <v>27</v>
      </c>
      <c r="M2272" s="4">
        <v>3626190</v>
      </c>
      <c r="N2272" s="3">
        <v>7308.9700999999995</v>
      </c>
      <c r="O2272" t="s">
        <v>22</v>
      </c>
      <c r="P2272" t="s">
        <v>28</v>
      </c>
      <c r="Q2272" t="s">
        <v>24</v>
      </c>
      <c r="R2272" t="s">
        <v>48</v>
      </c>
      <c r="S2272">
        <v>6</v>
      </c>
    </row>
    <row r="2273" spans="1:19" x14ac:dyDescent="0.3">
      <c r="A2273" s="1">
        <v>44364</v>
      </c>
      <c r="B2273">
        <v>2021</v>
      </c>
      <c r="C2273" t="s">
        <v>40</v>
      </c>
      <c r="D2273" s="4">
        <v>88800</v>
      </c>
      <c r="E2273" s="2">
        <v>230000</v>
      </c>
      <c r="F2273" t="s">
        <v>30</v>
      </c>
      <c r="G2273" t="s">
        <v>31</v>
      </c>
      <c r="H2273">
        <v>4</v>
      </c>
      <c r="I2273">
        <v>4</v>
      </c>
      <c r="J2273">
        <v>1476</v>
      </c>
      <c r="K2273" s="5">
        <v>1.0234955E-2</v>
      </c>
      <c r="L2273" t="s">
        <v>21</v>
      </c>
      <c r="M2273" s="4">
        <v>141200</v>
      </c>
      <c r="N2273" s="3">
        <v>155.82660000000001</v>
      </c>
      <c r="O2273" t="s">
        <v>22</v>
      </c>
      <c r="P2273" t="s">
        <v>24</v>
      </c>
      <c r="Q2273" t="s">
        <v>34</v>
      </c>
      <c r="R2273" t="s">
        <v>48</v>
      </c>
      <c r="S2273">
        <v>6</v>
      </c>
    </row>
    <row r="2274" spans="1:19" x14ac:dyDescent="0.3">
      <c r="A2274" s="1">
        <v>44365</v>
      </c>
      <c r="B2274">
        <v>2021</v>
      </c>
      <c r="C2274" t="s">
        <v>29</v>
      </c>
      <c r="D2274" s="4">
        <v>83430</v>
      </c>
      <c r="E2274" s="2">
        <v>160000</v>
      </c>
      <c r="F2274" t="s">
        <v>19</v>
      </c>
      <c r="G2274" t="s">
        <v>20</v>
      </c>
      <c r="H2274">
        <v>3</v>
      </c>
      <c r="I2274">
        <v>2</v>
      </c>
      <c r="J2274">
        <v>968</v>
      </c>
      <c r="K2274" s="5">
        <v>1.0234955E-2</v>
      </c>
      <c r="L2274" t="s">
        <v>38</v>
      </c>
      <c r="M2274" s="4">
        <v>76570</v>
      </c>
      <c r="N2274" s="3">
        <v>165.2893</v>
      </c>
      <c r="O2274" t="s">
        <v>22</v>
      </c>
      <c r="P2274" t="s">
        <v>23</v>
      </c>
      <c r="Q2274" t="s">
        <v>24</v>
      </c>
      <c r="R2274" t="s">
        <v>48</v>
      </c>
      <c r="S2274">
        <v>6</v>
      </c>
    </row>
    <row r="2275" spans="1:19" x14ac:dyDescent="0.3">
      <c r="A2275" s="1">
        <v>44366</v>
      </c>
      <c r="B2275">
        <v>2021</v>
      </c>
      <c r="C2275" t="s">
        <v>56</v>
      </c>
      <c r="D2275" s="4">
        <v>416690</v>
      </c>
      <c r="E2275" s="2">
        <v>675000</v>
      </c>
      <c r="F2275" t="s">
        <v>19</v>
      </c>
      <c r="G2275" t="s">
        <v>20</v>
      </c>
      <c r="H2275">
        <v>3</v>
      </c>
      <c r="I2275">
        <v>3</v>
      </c>
      <c r="J2275">
        <v>1111.6589814177564</v>
      </c>
      <c r="K2275" s="5">
        <v>1.0234955E-2</v>
      </c>
      <c r="L2275" t="s">
        <v>27</v>
      </c>
      <c r="M2275" s="4">
        <v>258310</v>
      </c>
      <c r="N2275" s="3">
        <v>607.20060000000001</v>
      </c>
      <c r="O2275" t="s">
        <v>22</v>
      </c>
      <c r="P2275" t="s">
        <v>28</v>
      </c>
      <c r="Q2275" t="s">
        <v>24</v>
      </c>
      <c r="R2275" t="s">
        <v>48</v>
      </c>
      <c r="S2275">
        <v>6</v>
      </c>
    </row>
    <row r="2276" spans="1:19" x14ac:dyDescent="0.3">
      <c r="A2276" s="1">
        <v>44368</v>
      </c>
      <c r="B2276">
        <v>2021</v>
      </c>
      <c r="C2276" t="s">
        <v>18</v>
      </c>
      <c r="D2276" s="4">
        <v>114720</v>
      </c>
      <c r="E2276" s="2">
        <v>152000</v>
      </c>
      <c r="F2276" t="s">
        <v>19</v>
      </c>
      <c r="G2276" t="s">
        <v>20</v>
      </c>
      <c r="H2276">
        <v>3</v>
      </c>
      <c r="I2276">
        <v>2</v>
      </c>
      <c r="J2276">
        <v>991</v>
      </c>
      <c r="K2276" s="5">
        <v>1.0234955E-2</v>
      </c>
      <c r="L2276" t="s">
        <v>21</v>
      </c>
      <c r="M2276" s="4">
        <v>37280</v>
      </c>
      <c r="N2276" s="3">
        <v>153.38040000000001</v>
      </c>
      <c r="O2276" t="s">
        <v>22</v>
      </c>
      <c r="P2276" t="s">
        <v>23</v>
      </c>
      <c r="Q2276" t="s">
        <v>24</v>
      </c>
      <c r="R2276" t="s">
        <v>48</v>
      </c>
      <c r="S2276">
        <v>6</v>
      </c>
    </row>
    <row r="2277" spans="1:19" x14ac:dyDescent="0.3">
      <c r="A2277" s="1">
        <v>44371</v>
      </c>
      <c r="B2277">
        <v>2021</v>
      </c>
      <c r="C2277" t="s">
        <v>52</v>
      </c>
      <c r="D2277" s="4">
        <v>145180</v>
      </c>
      <c r="E2277" s="2">
        <v>230000</v>
      </c>
      <c r="F2277" t="s">
        <v>30</v>
      </c>
      <c r="G2277" t="s">
        <v>31</v>
      </c>
      <c r="H2277">
        <v>4</v>
      </c>
      <c r="I2277">
        <v>3</v>
      </c>
      <c r="J2277">
        <v>1347</v>
      </c>
      <c r="K2277" s="5">
        <v>1.0234955E-2</v>
      </c>
      <c r="L2277" t="s">
        <v>32</v>
      </c>
      <c r="M2277" s="4">
        <v>84820</v>
      </c>
      <c r="N2277" s="3">
        <v>170.74979999999999</v>
      </c>
      <c r="O2277" t="s">
        <v>22</v>
      </c>
      <c r="P2277" t="s">
        <v>24</v>
      </c>
      <c r="Q2277" t="s">
        <v>34</v>
      </c>
      <c r="R2277" t="s">
        <v>48</v>
      </c>
      <c r="S2277">
        <v>6</v>
      </c>
    </row>
    <row r="2278" spans="1:19" x14ac:dyDescent="0.3">
      <c r="A2278" s="1">
        <v>44372</v>
      </c>
      <c r="B2278">
        <v>2021</v>
      </c>
      <c r="C2278" t="s">
        <v>39</v>
      </c>
      <c r="D2278" s="4">
        <v>307160</v>
      </c>
      <c r="E2278" s="2">
        <v>485000</v>
      </c>
      <c r="F2278" t="s">
        <v>19</v>
      </c>
      <c r="G2278" t="s">
        <v>20</v>
      </c>
      <c r="H2278">
        <v>3</v>
      </c>
      <c r="I2278">
        <v>2</v>
      </c>
      <c r="J2278">
        <v>954</v>
      </c>
      <c r="K2278" s="5">
        <v>1.0234955E-2</v>
      </c>
      <c r="L2278" t="s">
        <v>21</v>
      </c>
      <c r="M2278" s="4">
        <v>177840</v>
      </c>
      <c r="N2278" s="3">
        <v>508.38569999999999</v>
      </c>
      <c r="O2278" t="s">
        <v>22</v>
      </c>
      <c r="P2278" t="s">
        <v>24</v>
      </c>
      <c r="Q2278" t="s">
        <v>24</v>
      </c>
      <c r="R2278" t="s">
        <v>48</v>
      </c>
      <c r="S2278">
        <v>6</v>
      </c>
    </row>
    <row r="2279" spans="1:19" x14ac:dyDescent="0.3">
      <c r="A2279" s="1">
        <v>44373</v>
      </c>
      <c r="B2279">
        <v>2021</v>
      </c>
      <c r="C2279" t="s">
        <v>35</v>
      </c>
      <c r="D2279" s="4">
        <v>2059750</v>
      </c>
      <c r="E2279" s="2">
        <v>2940000</v>
      </c>
      <c r="F2279" t="s">
        <v>19</v>
      </c>
      <c r="G2279" t="s">
        <v>20</v>
      </c>
      <c r="H2279">
        <v>3</v>
      </c>
      <c r="I2279">
        <v>1</v>
      </c>
      <c r="J2279">
        <v>981</v>
      </c>
      <c r="K2279" s="5">
        <v>1.0234955E-2</v>
      </c>
      <c r="L2279" t="s">
        <v>21</v>
      </c>
      <c r="M2279" s="4">
        <v>880250</v>
      </c>
      <c r="N2279" s="3">
        <v>2996.9418999999998</v>
      </c>
      <c r="O2279" t="s">
        <v>22</v>
      </c>
      <c r="P2279" t="s">
        <v>28</v>
      </c>
      <c r="Q2279" t="s">
        <v>24</v>
      </c>
      <c r="R2279" t="s">
        <v>48</v>
      </c>
      <c r="S2279">
        <v>6</v>
      </c>
    </row>
    <row r="2280" spans="1:19" x14ac:dyDescent="0.3">
      <c r="A2280" s="1">
        <v>44374</v>
      </c>
      <c r="B2280">
        <v>2021</v>
      </c>
      <c r="C2280" t="s">
        <v>35</v>
      </c>
      <c r="D2280" s="4">
        <v>910420</v>
      </c>
      <c r="E2280" s="2">
        <v>1165000</v>
      </c>
      <c r="F2280" t="s">
        <v>19</v>
      </c>
      <c r="G2280" t="s">
        <v>20</v>
      </c>
      <c r="H2280">
        <v>3</v>
      </c>
      <c r="I2280">
        <v>1</v>
      </c>
      <c r="J2280">
        <v>1096</v>
      </c>
      <c r="K2280" s="5">
        <v>1.0234955E-2</v>
      </c>
      <c r="L2280" t="s">
        <v>32</v>
      </c>
      <c r="M2280" s="4">
        <v>254580</v>
      </c>
      <c r="N2280" s="3">
        <v>1062.9562000000001</v>
      </c>
      <c r="O2280" t="s">
        <v>22</v>
      </c>
      <c r="P2280" t="s">
        <v>28</v>
      </c>
      <c r="Q2280" t="s">
        <v>24</v>
      </c>
      <c r="R2280" t="s">
        <v>48</v>
      </c>
      <c r="S2280">
        <v>6</v>
      </c>
    </row>
    <row r="2281" spans="1:19" x14ac:dyDescent="0.3">
      <c r="A2281" s="1">
        <v>44375</v>
      </c>
      <c r="B2281">
        <v>2021</v>
      </c>
      <c r="C2281" t="s">
        <v>29</v>
      </c>
      <c r="D2281" s="4">
        <v>158760</v>
      </c>
      <c r="E2281" s="2">
        <v>220000</v>
      </c>
      <c r="F2281" t="s">
        <v>19</v>
      </c>
      <c r="G2281" t="s">
        <v>20</v>
      </c>
      <c r="H2281">
        <v>3</v>
      </c>
      <c r="I2281">
        <v>2</v>
      </c>
      <c r="J2281">
        <v>1005</v>
      </c>
      <c r="K2281" s="5">
        <v>1.0234955E-2</v>
      </c>
      <c r="L2281" t="s">
        <v>32</v>
      </c>
      <c r="M2281" s="4">
        <v>61240</v>
      </c>
      <c r="N2281" s="3">
        <v>218.90549999999999</v>
      </c>
      <c r="O2281" t="s">
        <v>22</v>
      </c>
      <c r="P2281" t="s">
        <v>24</v>
      </c>
      <c r="Q2281" t="s">
        <v>24</v>
      </c>
      <c r="R2281" t="s">
        <v>48</v>
      </c>
      <c r="S2281">
        <v>6</v>
      </c>
    </row>
    <row r="2282" spans="1:19" x14ac:dyDescent="0.3">
      <c r="A2282" s="1">
        <v>44379</v>
      </c>
      <c r="B2282">
        <v>2021</v>
      </c>
      <c r="C2282" t="s">
        <v>52</v>
      </c>
      <c r="D2282" s="4">
        <v>148820</v>
      </c>
      <c r="E2282" s="2">
        <v>327000</v>
      </c>
      <c r="F2282" t="s">
        <v>19</v>
      </c>
      <c r="G2282" t="s">
        <v>20</v>
      </c>
      <c r="H2282">
        <v>3</v>
      </c>
      <c r="I2282">
        <v>3</v>
      </c>
      <c r="J2282">
        <v>1080</v>
      </c>
      <c r="K2282" s="5">
        <v>1.0234955E-2</v>
      </c>
      <c r="L2282" t="s">
        <v>32</v>
      </c>
      <c r="M2282" s="4">
        <v>178180</v>
      </c>
      <c r="N2282" s="3">
        <v>302.77780000000001</v>
      </c>
      <c r="O2282" t="s">
        <v>22</v>
      </c>
      <c r="P2282" t="s">
        <v>24</v>
      </c>
      <c r="Q2282" t="s">
        <v>24</v>
      </c>
      <c r="R2282" t="s">
        <v>49</v>
      </c>
      <c r="S2282">
        <v>7</v>
      </c>
    </row>
    <row r="2283" spans="1:19" x14ac:dyDescent="0.3">
      <c r="A2283" s="1">
        <v>44380</v>
      </c>
      <c r="B2283">
        <v>2021</v>
      </c>
      <c r="C2283" t="s">
        <v>29</v>
      </c>
      <c r="D2283" s="4">
        <v>208240</v>
      </c>
      <c r="E2283" s="2">
        <v>505000</v>
      </c>
      <c r="F2283" t="s">
        <v>36</v>
      </c>
      <c r="G2283" t="s">
        <v>37</v>
      </c>
      <c r="H2283">
        <v>6</v>
      </c>
      <c r="I2283">
        <v>5</v>
      </c>
      <c r="J2283">
        <v>2163</v>
      </c>
      <c r="K2283" s="5">
        <v>1.0234955E-2</v>
      </c>
      <c r="L2283" t="s">
        <v>38</v>
      </c>
      <c r="M2283" s="4">
        <v>296760</v>
      </c>
      <c r="N2283" s="3">
        <v>233.47200000000001</v>
      </c>
      <c r="O2283" t="s">
        <v>22</v>
      </c>
      <c r="P2283" t="s">
        <v>24</v>
      </c>
      <c r="Q2283" t="s">
        <v>34</v>
      </c>
      <c r="R2283" t="s">
        <v>49</v>
      </c>
      <c r="S2283">
        <v>7</v>
      </c>
    </row>
    <row r="2284" spans="1:19" x14ac:dyDescent="0.3">
      <c r="A2284" s="1">
        <v>44382</v>
      </c>
      <c r="B2284">
        <v>2021</v>
      </c>
      <c r="C2284" t="s">
        <v>35</v>
      </c>
      <c r="D2284" s="4">
        <v>469070</v>
      </c>
      <c r="E2284" s="2">
        <v>927000</v>
      </c>
      <c r="F2284" t="s">
        <v>19</v>
      </c>
      <c r="G2284" t="s">
        <v>20</v>
      </c>
      <c r="H2284">
        <v>3</v>
      </c>
      <c r="I2284">
        <v>2</v>
      </c>
      <c r="J2284">
        <v>1059</v>
      </c>
      <c r="K2284" s="5">
        <v>1.0234955E-2</v>
      </c>
      <c r="L2284" t="s">
        <v>32</v>
      </c>
      <c r="M2284" s="4">
        <v>457930</v>
      </c>
      <c r="N2284" s="3">
        <v>875.35410000000002</v>
      </c>
      <c r="O2284" t="s">
        <v>22</v>
      </c>
      <c r="P2284" t="s">
        <v>28</v>
      </c>
      <c r="Q2284" t="s">
        <v>24</v>
      </c>
      <c r="R2284" t="s">
        <v>49</v>
      </c>
      <c r="S2284">
        <v>7</v>
      </c>
    </row>
    <row r="2285" spans="1:19" x14ac:dyDescent="0.3">
      <c r="A2285" s="1">
        <v>44385</v>
      </c>
      <c r="B2285">
        <v>2021</v>
      </c>
      <c r="C2285" t="s">
        <v>40</v>
      </c>
      <c r="D2285" s="4">
        <v>444584.20699999999</v>
      </c>
      <c r="E2285" s="2">
        <v>410000</v>
      </c>
      <c r="F2285" t="s">
        <v>36</v>
      </c>
      <c r="G2285" t="s">
        <v>37</v>
      </c>
      <c r="H2285">
        <v>6</v>
      </c>
      <c r="I2285">
        <v>5</v>
      </c>
      <c r="J2285">
        <v>2103</v>
      </c>
      <c r="K2285" s="5">
        <v>1.0234955E-2</v>
      </c>
      <c r="L2285" t="s">
        <v>32</v>
      </c>
      <c r="M2285" s="4">
        <v>-34584.207000000002</v>
      </c>
      <c r="N2285" s="3">
        <v>194.95959999999999</v>
      </c>
      <c r="O2285" t="s">
        <v>33</v>
      </c>
      <c r="P2285" t="s">
        <v>24</v>
      </c>
      <c r="Q2285" t="s">
        <v>34</v>
      </c>
      <c r="R2285" t="s">
        <v>49</v>
      </c>
      <c r="S2285">
        <v>7</v>
      </c>
    </row>
    <row r="2286" spans="1:19" x14ac:dyDescent="0.3">
      <c r="A2286" s="1">
        <v>44387</v>
      </c>
      <c r="B2286">
        <v>2021</v>
      </c>
      <c r="C2286" t="s">
        <v>18</v>
      </c>
      <c r="D2286" s="4">
        <v>20140</v>
      </c>
      <c r="E2286" s="2">
        <v>73000</v>
      </c>
      <c r="F2286" t="s">
        <v>36</v>
      </c>
      <c r="G2286" t="s">
        <v>37</v>
      </c>
      <c r="H2286">
        <v>6</v>
      </c>
      <c r="I2286">
        <v>5</v>
      </c>
      <c r="J2286">
        <v>2067</v>
      </c>
      <c r="K2286" s="5">
        <v>1.0234955E-2</v>
      </c>
      <c r="L2286" t="s">
        <v>32</v>
      </c>
      <c r="M2286" s="4">
        <v>52860</v>
      </c>
      <c r="N2286" s="3">
        <v>35.316899999999997</v>
      </c>
      <c r="O2286" t="s">
        <v>22</v>
      </c>
      <c r="P2286" t="s">
        <v>23</v>
      </c>
      <c r="Q2286" t="s">
        <v>34</v>
      </c>
      <c r="R2286" t="s">
        <v>49</v>
      </c>
      <c r="S2286">
        <v>7</v>
      </c>
    </row>
    <row r="2287" spans="1:19" x14ac:dyDescent="0.3">
      <c r="A2287" s="1">
        <v>44388</v>
      </c>
      <c r="B2287">
        <v>2021</v>
      </c>
      <c r="C2287" t="s">
        <v>40</v>
      </c>
      <c r="D2287" s="4">
        <v>271740</v>
      </c>
      <c r="E2287" s="2">
        <v>412000</v>
      </c>
      <c r="F2287" t="s">
        <v>19</v>
      </c>
      <c r="G2287" t="s">
        <v>20</v>
      </c>
      <c r="H2287">
        <v>3</v>
      </c>
      <c r="I2287">
        <v>2</v>
      </c>
      <c r="J2287">
        <v>937</v>
      </c>
      <c r="K2287" s="5">
        <v>1.0234955E-2</v>
      </c>
      <c r="L2287" t="s">
        <v>38</v>
      </c>
      <c r="M2287" s="4">
        <v>140260</v>
      </c>
      <c r="N2287" s="3">
        <v>439.70119999999997</v>
      </c>
      <c r="O2287" t="s">
        <v>22</v>
      </c>
      <c r="P2287" t="s">
        <v>24</v>
      </c>
      <c r="Q2287" t="s">
        <v>24</v>
      </c>
      <c r="R2287" t="s">
        <v>49</v>
      </c>
      <c r="S2287">
        <v>7</v>
      </c>
    </row>
    <row r="2288" spans="1:19" x14ac:dyDescent="0.3">
      <c r="A2288" s="1">
        <v>44389</v>
      </c>
      <c r="B2288">
        <v>2021</v>
      </c>
      <c r="C2288" t="s">
        <v>39</v>
      </c>
      <c r="D2288" s="4">
        <v>355670</v>
      </c>
      <c r="E2288" s="2">
        <v>630000</v>
      </c>
      <c r="F2288" t="s">
        <v>19</v>
      </c>
      <c r="G2288" t="s">
        <v>20</v>
      </c>
      <c r="H2288">
        <v>3</v>
      </c>
      <c r="I2288">
        <v>1</v>
      </c>
      <c r="J2288">
        <v>1074</v>
      </c>
      <c r="K2288" s="5">
        <v>1.0234955E-2</v>
      </c>
      <c r="L2288" t="s">
        <v>38</v>
      </c>
      <c r="M2288" s="4">
        <v>274330</v>
      </c>
      <c r="N2288" s="3">
        <v>586.59220000000005</v>
      </c>
      <c r="O2288" t="s">
        <v>22</v>
      </c>
      <c r="P2288" t="s">
        <v>28</v>
      </c>
      <c r="Q2288" t="s">
        <v>24</v>
      </c>
      <c r="R2288" t="s">
        <v>49</v>
      </c>
      <c r="S2288">
        <v>7</v>
      </c>
    </row>
    <row r="2289" spans="1:19" x14ac:dyDescent="0.3">
      <c r="A2289" s="1">
        <v>44392</v>
      </c>
      <c r="B2289">
        <v>2021</v>
      </c>
      <c r="C2289" t="s">
        <v>29</v>
      </c>
      <c r="D2289" s="4">
        <v>101070</v>
      </c>
      <c r="E2289" s="2">
        <v>130000</v>
      </c>
      <c r="F2289" t="s">
        <v>19</v>
      </c>
      <c r="G2289" t="s">
        <v>20</v>
      </c>
      <c r="H2289">
        <v>3</v>
      </c>
      <c r="I2289">
        <v>1</v>
      </c>
      <c r="J2289">
        <v>1111.6589814177564</v>
      </c>
      <c r="K2289" s="5">
        <v>1.0234955E-2</v>
      </c>
      <c r="L2289" t="s">
        <v>38</v>
      </c>
      <c r="M2289" s="4">
        <v>28930</v>
      </c>
      <c r="N2289" s="3">
        <v>116.9423</v>
      </c>
      <c r="O2289" t="s">
        <v>22</v>
      </c>
      <c r="P2289" t="s">
        <v>23</v>
      </c>
      <c r="Q2289" t="s">
        <v>24</v>
      </c>
      <c r="R2289" t="s">
        <v>49</v>
      </c>
      <c r="S2289">
        <v>7</v>
      </c>
    </row>
    <row r="2290" spans="1:19" x14ac:dyDescent="0.3">
      <c r="A2290" s="1">
        <v>44393</v>
      </c>
      <c r="B2290">
        <v>2021</v>
      </c>
      <c r="C2290" t="s">
        <v>18</v>
      </c>
      <c r="D2290" s="4">
        <v>81150</v>
      </c>
      <c r="E2290" s="2">
        <v>157000</v>
      </c>
      <c r="F2290" t="s">
        <v>19</v>
      </c>
      <c r="G2290" t="s">
        <v>20</v>
      </c>
      <c r="H2290">
        <v>3</v>
      </c>
      <c r="I2290">
        <v>1</v>
      </c>
      <c r="J2290">
        <v>1009</v>
      </c>
      <c r="K2290" s="5">
        <v>1.0234955E-2</v>
      </c>
      <c r="L2290" t="s">
        <v>21</v>
      </c>
      <c r="M2290" s="4">
        <v>75850</v>
      </c>
      <c r="N2290" s="3">
        <v>155.59960000000001</v>
      </c>
      <c r="O2290" t="s">
        <v>22</v>
      </c>
      <c r="P2290" t="s">
        <v>23</v>
      </c>
      <c r="Q2290" t="s">
        <v>24</v>
      </c>
      <c r="R2290" t="s">
        <v>49</v>
      </c>
      <c r="S2290">
        <v>7</v>
      </c>
    </row>
    <row r="2291" spans="1:19" x14ac:dyDescent="0.3">
      <c r="A2291" s="1">
        <v>44394</v>
      </c>
      <c r="B2291">
        <v>2021</v>
      </c>
      <c r="C2291" t="s">
        <v>18</v>
      </c>
      <c r="D2291" s="4">
        <v>444584.20699999999</v>
      </c>
      <c r="E2291" s="2">
        <v>150000</v>
      </c>
      <c r="F2291" t="s">
        <v>19</v>
      </c>
      <c r="G2291" t="s">
        <v>20</v>
      </c>
      <c r="H2291">
        <v>3</v>
      </c>
      <c r="I2291">
        <v>3</v>
      </c>
      <c r="J2291">
        <v>906</v>
      </c>
      <c r="K2291" s="5">
        <v>1.0234955E-2</v>
      </c>
      <c r="L2291" t="s">
        <v>32</v>
      </c>
      <c r="M2291" s="4">
        <v>-294584.20699999999</v>
      </c>
      <c r="N2291" s="3">
        <v>165.56290000000001</v>
      </c>
      <c r="O2291" t="s">
        <v>33</v>
      </c>
      <c r="P2291" t="s">
        <v>23</v>
      </c>
      <c r="Q2291" t="s">
        <v>24</v>
      </c>
      <c r="R2291" t="s">
        <v>49</v>
      </c>
      <c r="S2291">
        <v>7</v>
      </c>
    </row>
    <row r="2292" spans="1:19" x14ac:dyDescent="0.3">
      <c r="A2292" s="1">
        <v>44396</v>
      </c>
      <c r="B2292">
        <v>2021</v>
      </c>
      <c r="C2292" t="s">
        <v>39</v>
      </c>
      <c r="D2292" s="4">
        <v>726460</v>
      </c>
      <c r="E2292" s="2">
        <v>1520000</v>
      </c>
      <c r="F2292" t="s">
        <v>19</v>
      </c>
      <c r="G2292" t="s">
        <v>20</v>
      </c>
      <c r="H2292">
        <v>3</v>
      </c>
      <c r="I2292">
        <v>3</v>
      </c>
      <c r="J2292">
        <v>1098</v>
      </c>
      <c r="K2292" s="5">
        <v>1.0234955E-2</v>
      </c>
      <c r="L2292" t="s">
        <v>21</v>
      </c>
      <c r="M2292" s="4">
        <v>793540</v>
      </c>
      <c r="N2292" s="3">
        <v>1384.3352</v>
      </c>
      <c r="O2292" t="s">
        <v>22</v>
      </c>
      <c r="P2292" t="s">
        <v>28</v>
      </c>
      <c r="Q2292" t="s">
        <v>24</v>
      </c>
      <c r="R2292" t="s">
        <v>49</v>
      </c>
      <c r="S2292">
        <v>7</v>
      </c>
    </row>
    <row r="2293" spans="1:19" x14ac:dyDescent="0.3">
      <c r="A2293" s="1">
        <v>44400</v>
      </c>
      <c r="B2293">
        <v>2021</v>
      </c>
      <c r="C2293" t="s">
        <v>29</v>
      </c>
      <c r="D2293" s="4">
        <v>91180</v>
      </c>
      <c r="E2293" s="2">
        <v>79900</v>
      </c>
      <c r="F2293" t="s">
        <v>19</v>
      </c>
      <c r="G2293" t="s">
        <v>20</v>
      </c>
      <c r="H2293">
        <v>3</v>
      </c>
      <c r="I2293">
        <v>2</v>
      </c>
      <c r="J2293">
        <v>949</v>
      </c>
      <c r="K2293" s="5">
        <v>1.0234955E-2</v>
      </c>
      <c r="L2293" t="s">
        <v>21</v>
      </c>
      <c r="M2293" s="4">
        <v>-11280</v>
      </c>
      <c r="N2293" s="3">
        <v>84.193899999999999</v>
      </c>
      <c r="O2293" t="s">
        <v>33</v>
      </c>
      <c r="P2293" t="s">
        <v>23</v>
      </c>
      <c r="Q2293" t="s">
        <v>24</v>
      </c>
      <c r="R2293" t="s">
        <v>49</v>
      </c>
      <c r="S2293">
        <v>7</v>
      </c>
    </row>
    <row r="2294" spans="1:19" x14ac:dyDescent="0.3">
      <c r="A2294" s="1">
        <v>44401</v>
      </c>
      <c r="B2294">
        <v>2021</v>
      </c>
      <c r="C2294" t="s">
        <v>18</v>
      </c>
      <c r="D2294" s="4">
        <v>444584.20699999999</v>
      </c>
      <c r="E2294" s="2">
        <v>175000</v>
      </c>
      <c r="F2294" t="s">
        <v>36</v>
      </c>
      <c r="G2294" t="s">
        <v>37</v>
      </c>
      <c r="H2294">
        <v>6</v>
      </c>
      <c r="I2294">
        <v>6</v>
      </c>
      <c r="J2294">
        <v>2115</v>
      </c>
      <c r="K2294" s="5">
        <v>1.0234955E-2</v>
      </c>
      <c r="L2294" t="s">
        <v>32</v>
      </c>
      <c r="M2294" s="4">
        <v>-269584.20699999999</v>
      </c>
      <c r="N2294" s="3">
        <v>82.7423</v>
      </c>
      <c r="O2294" t="s">
        <v>33</v>
      </c>
      <c r="P2294" t="s">
        <v>23</v>
      </c>
      <c r="Q2294" t="s">
        <v>34</v>
      </c>
      <c r="R2294" t="s">
        <v>49</v>
      </c>
      <c r="S2294">
        <v>7</v>
      </c>
    </row>
    <row r="2295" spans="1:19" x14ac:dyDescent="0.3">
      <c r="A2295" s="1">
        <v>44403</v>
      </c>
      <c r="B2295">
        <v>2021</v>
      </c>
      <c r="C2295" t="s">
        <v>39</v>
      </c>
      <c r="D2295" s="4">
        <v>544460</v>
      </c>
      <c r="E2295" s="2">
        <v>742000</v>
      </c>
      <c r="F2295" t="s">
        <v>19</v>
      </c>
      <c r="G2295" t="s">
        <v>20</v>
      </c>
      <c r="H2295">
        <v>3</v>
      </c>
      <c r="I2295">
        <v>2</v>
      </c>
      <c r="J2295">
        <v>1066</v>
      </c>
      <c r="K2295" s="5">
        <v>1.0234955E-2</v>
      </c>
      <c r="L2295" t="s">
        <v>27</v>
      </c>
      <c r="M2295" s="4">
        <v>197540</v>
      </c>
      <c r="N2295" s="3">
        <v>696.06</v>
      </c>
      <c r="O2295" t="s">
        <v>22</v>
      </c>
      <c r="P2295" t="s">
        <v>28</v>
      </c>
      <c r="Q2295" t="s">
        <v>24</v>
      </c>
      <c r="R2295" t="s">
        <v>49</v>
      </c>
      <c r="S2295">
        <v>7</v>
      </c>
    </row>
    <row r="2296" spans="1:19" x14ac:dyDescent="0.3">
      <c r="A2296" s="1">
        <v>44406</v>
      </c>
      <c r="B2296">
        <v>2021</v>
      </c>
      <c r="C2296" t="s">
        <v>40</v>
      </c>
      <c r="D2296" s="4">
        <v>78270</v>
      </c>
      <c r="E2296" s="2">
        <v>74696</v>
      </c>
      <c r="F2296" t="s">
        <v>19</v>
      </c>
      <c r="G2296" t="s">
        <v>20</v>
      </c>
      <c r="H2296">
        <v>3</v>
      </c>
      <c r="I2296">
        <v>2</v>
      </c>
      <c r="J2296">
        <v>1080</v>
      </c>
      <c r="K2296" s="5">
        <v>1.0234955E-2</v>
      </c>
      <c r="L2296" t="s">
        <v>27</v>
      </c>
      <c r="M2296" s="4">
        <v>-3574</v>
      </c>
      <c r="N2296" s="3">
        <v>69.162999999999997</v>
      </c>
      <c r="O2296" t="s">
        <v>33</v>
      </c>
      <c r="P2296" t="s">
        <v>23</v>
      </c>
      <c r="Q2296" t="s">
        <v>24</v>
      </c>
      <c r="R2296" t="s">
        <v>49</v>
      </c>
      <c r="S2296">
        <v>7</v>
      </c>
    </row>
    <row r="2297" spans="1:19" x14ac:dyDescent="0.3">
      <c r="A2297" s="1">
        <v>44407</v>
      </c>
      <c r="B2297">
        <v>2021</v>
      </c>
      <c r="C2297" t="s">
        <v>39</v>
      </c>
      <c r="D2297" s="4">
        <v>628600</v>
      </c>
      <c r="E2297" s="2">
        <v>829000</v>
      </c>
      <c r="F2297" t="s">
        <v>19</v>
      </c>
      <c r="G2297" t="s">
        <v>20</v>
      </c>
      <c r="H2297">
        <v>3</v>
      </c>
      <c r="I2297">
        <v>2</v>
      </c>
      <c r="J2297">
        <v>1047</v>
      </c>
      <c r="K2297" s="5">
        <v>1.0234955E-2</v>
      </c>
      <c r="L2297" t="s">
        <v>32</v>
      </c>
      <c r="M2297" s="4">
        <v>200400</v>
      </c>
      <c r="N2297" s="3">
        <v>791.78610000000003</v>
      </c>
      <c r="O2297" t="s">
        <v>22</v>
      </c>
      <c r="P2297" t="s">
        <v>28</v>
      </c>
      <c r="Q2297" t="s">
        <v>24</v>
      </c>
      <c r="R2297" t="s">
        <v>49</v>
      </c>
      <c r="S2297">
        <v>7</v>
      </c>
    </row>
    <row r="2298" spans="1:19" x14ac:dyDescent="0.3">
      <c r="A2298" s="1">
        <v>44408</v>
      </c>
      <c r="B2298">
        <v>2021</v>
      </c>
      <c r="C2298" t="s">
        <v>18</v>
      </c>
      <c r="D2298" s="4">
        <v>48680</v>
      </c>
      <c r="E2298" s="2">
        <v>67600</v>
      </c>
      <c r="F2298" t="s">
        <v>36</v>
      </c>
      <c r="G2298" t="s">
        <v>37</v>
      </c>
      <c r="H2298">
        <v>6</v>
      </c>
      <c r="I2298">
        <v>4</v>
      </c>
      <c r="J2298">
        <v>1836</v>
      </c>
      <c r="K2298" s="5">
        <v>1.0234955E-2</v>
      </c>
      <c r="L2298" t="s">
        <v>21</v>
      </c>
      <c r="M2298" s="4">
        <v>18920</v>
      </c>
      <c r="N2298" s="3">
        <v>36.819200000000002</v>
      </c>
      <c r="O2298" t="s">
        <v>22</v>
      </c>
      <c r="P2298" t="s">
        <v>23</v>
      </c>
      <c r="Q2298" t="s">
        <v>34</v>
      </c>
      <c r="R2298" t="s">
        <v>49</v>
      </c>
      <c r="S2298">
        <v>7</v>
      </c>
    </row>
    <row r="2299" spans="1:19" x14ac:dyDescent="0.3">
      <c r="A2299" s="1">
        <v>44410</v>
      </c>
      <c r="B2299">
        <v>2021</v>
      </c>
      <c r="C2299" t="s">
        <v>39</v>
      </c>
      <c r="D2299" s="4">
        <v>595000</v>
      </c>
      <c r="E2299" s="2">
        <v>810000</v>
      </c>
      <c r="F2299" t="s">
        <v>19</v>
      </c>
      <c r="G2299" t="s">
        <v>20</v>
      </c>
      <c r="H2299">
        <v>3</v>
      </c>
      <c r="I2299">
        <v>1</v>
      </c>
      <c r="J2299">
        <v>925</v>
      </c>
      <c r="K2299" s="5">
        <v>1.0234955E-2</v>
      </c>
      <c r="L2299" t="s">
        <v>27</v>
      </c>
      <c r="M2299" s="4">
        <v>215000</v>
      </c>
      <c r="N2299" s="3">
        <v>875.67570000000001</v>
      </c>
      <c r="O2299" t="s">
        <v>22</v>
      </c>
      <c r="P2299" t="s">
        <v>28</v>
      </c>
      <c r="Q2299" t="s">
        <v>24</v>
      </c>
      <c r="R2299" t="s">
        <v>50</v>
      </c>
      <c r="S2299">
        <v>8</v>
      </c>
    </row>
    <row r="2300" spans="1:19" x14ac:dyDescent="0.3">
      <c r="A2300" s="1">
        <v>44414</v>
      </c>
      <c r="B2300">
        <v>2021</v>
      </c>
      <c r="C2300" t="s">
        <v>29</v>
      </c>
      <c r="D2300" s="4">
        <v>137180</v>
      </c>
      <c r="E2300" s="2">
        <v>275000</v>
      </c>
      <c r="F2300" t="s">
        <v>19</v>
      </c>
      <c r="G2300" t="s">
        <v>20</v>
      </c>
      <c r="H2300">
        <v>3</v>
      </c>
      <c r="I2300">
        <v>1</v>
      </c>
      <c r="J2300">
        <v>907</v>
      </c>
      <c r="K2300" s="5">
        <v>1.0234955E-2</v>
      </c>
      <c r="L2300" t="s">
        <v>21</v>
      </c>
      <c r="M2300" s="4">
        <v>137820</v>
      </c>
      <c r="N2300" s="3">
        <v>303.19740000000002</v>
      </c>
      <c r="O2300" t="s">
        <v>22</v>
      </c>
      <c r="P2300" t="s">
        <v>24</v>
      </c>
      <c r="Q2300" t="s">
        <v>24</v>
      </c>
      <c r="R2300" t="s">
        <v>50</v>
      </c>
      <c r="S2300">
        <v>8</v>
      </c>
    </row>
    <row r="2301" spans="1:19" x14ac:dyDescent="0.3">
      <c r="A2301" s="1">
        <v>44415</v>
      </c>
      <c r="B2301">
        <v>2021</v>
      </c>
      <c r="C2301" t="s">
        <v>29</v>
      </c>
      <c r="D2301" s="4">
        <v>124470</v>
      </c>
      <c r="E2301" s="2">
        <v>215000</v>
      </c>
      <c r="F2301" t="s">
        <v>30</v>
      </c>
      <c r="G2301" t="s">
        <v>31</v>
      </c>
      <c r="H2301">
        <v>4</v>
      </c>
      <c r="I2301">
        <v>2</v>
      </c>
      <c r="J2301">
        <v>1285</v>
      </c>
      <c r="K2301" s="5">
        <v>1.0234955E-2</v>
      </c>
      <c r="L2301" t="s">
        <v>32</v>
      </c>
      <c r="M2301" s="4">
        <v>90530</v>
      </c>
      <c r="N2301" s="3">
        <v>167.3152</v>
      </c>
      <c r="O2301" t="s">
        <v>22</v>
      </c>
      <c r="P2301" t="s">
        <v>24</v>
      </c>
      <c r="Q2301" t="s">
        <v>24</v>
      </c>
      <c r="R2301" t="s">
        <v>50</v>
      </c>
      <c r="S2301">
        <v>8</v>
      </c>
    </row>
    <row r="2302" spans="1:19" x14ac:dyDescent="0.3">
      <c r="A2302" s="1">
        <v>44416</v>
      </c>
      <c r="B2302">
        <v>2021</v>
      </c>
      <c r="C2302" t="s">
        <v>40</v>
      </c>
      <c r="D2302" s="4">
        <v>136640</v>
      </c>
      <c r="E2302" s="2">
        <v>238000</v>
      </c>
      <c r="F2302" t="s">
        <v>19</v>
      </c>
      <c r="G2302" t="s">
        <v>20</v>
      </c>
      <c r="H2302">
        <v>3</v>
      </c>
      <c r="I2302">
        <v>2</v>
      </c>
      <c r="J2302">
        <v>1111.6589814177564</v>
      </c>
      <c r="K2302" s="5">
        <v>1.0234955E-2</v>
      </c>
      <c r="L2302" t="s">
        <v>27</v>
      </c>
      <c r="M2302" s="4">
        <v>101360</v>
      </c>
      <c r="N2302" s="3">
        <v>214.09440000000001</v>
      </c>
      <c r="O2302" t="s">
        <v>22</v>
      </c>
      <c r="P2302" t="s">
        <v>24</v>
      </c>
      <c r="Q2302" t="s">
        <v>24</v>
      </c>
      <c r="R2302" t="s">
        <v>50</v>
      </c>
      <c r="S2302">
        <v>8</v>
      </c>
    </row>
    <row r="2303" spans="1:19" x14ac:dyDescent="0.3">
      <c r="A2303" s="1">
        <v>44417</v>
      </c>
      <c r="B2303">
        <v>2021</v>
      </c>
      <c r="C2303" t="s">
        <v>39</v>
      </c>
      <c r="D2303" s="4">
        <v>619990</v>
      </c>
      <c r="E2303" s="2">
        <v>901500</v>
      </c>
      <c r="F2303" t="s">
        <v>19</v>
      </c>
      <c r="G2303" t="s">
        <v>20</v>
      </c>
      <c r="H2303">
        <v>3</v>
      </c>
      <c r="I2303">
        <v>2</v>
      </c>
      <c r="J2303">
        <v>1087</v>
      </c>
      <c r="K2303" s="5">
        <v>1.0234955E-2</v>
      </c>
      <c r="L2303" t="s">
        <v>27</v>
      </c>
      <c r="M2303" s="4">
        <v>281510</v>
      </c>
      <c r="N2303" s="3">
        <v>829.34680000000003</v>
      </c>
      <c r="O2303" t="s">
        <v>22</v>
      </c>
      <c r="P2303" t="s">
        <v>28</v>
      </c>
      <c r="Q2303" t="s">
        <v>24</v>
      </c>
      <c r="R2303" t="s">
        <v>50</v>
      </c>
      <c r="S2303">
        <v>8</v>
      </c>
    </row>
    <row r="2304" spans="1:19" x14ac:dyDescent="0.3">
      <c r="A2304" s="1">
        <v>44420</v>
      </c>
      <c r="B2304">
        <v>2021</v>
      </c>
      <c r="C2304" t="s">
        <v>39</v>
      </c>
      <c r="D2304" s="4">
        <v>389410</v>
      </c>
      <c r="E2304" s="2">
        <v>404000</v>
      </c>
      <c r="F2304" t="s">
        <v>19</v>
      </c>
      <c r="G2304" t="s">
        <v>20</v>
      </c>
      <c r="H2304">
        <v>3</v>
      </c>
      <c r="I2304">
        <v>2</v>
      </c>
      <c r="J2304">
        <v>1061</v>
      </c>
      <c r="K2304" s="5">
        <v>1.0234955E-2</v>
      </c>
      <c r="L2304" t="s">
        <v>32</v>
      </c>
      <c r="M2304" s="4">
        <v>14590</v>
      </c>
      <c r="N2304" s="3">
        <v>380.77289999999999</v>
      </c>
      <c r="O2304" t="s">
        <v>22</v>
      </c>
      <c r="P2304" t="s">
        <v>24</v>
      </c>
      <c r="Q2304" t="s">
        <v>24</v>
      </c>
      <c r="R2304" t="s">
        <v>50</v>
      </c>
      <c r="S2304">
        <v>8</v>
      </c>
    </row>
    <row r="2305" spans="1:19" x14ac:dyDescent="0.3">
      <c r="A2305" s="1">
        <v>44421</v>
      </c>
      <c r="B2305">
        <v>2021</v>
      </c>
      <c r="C2305" t="s">
        <v>29</v>
      </c>
      <c r="D2305" s="4">
        <v>140060</v>
      </c>
      <c r="E2305" s="2">
        <v>225000</v>
      </c>
      <c r="F2305" t="s">
        <v>36</v>
      </c>
      <c r="G2305" t="s">
        <v>37</v>
      </c>
      <c r="H2305">
        <v>6</v>
      </c>
      <c r="I2305">
        <v>5</v>
      </c>
      <c r="J2305">
        <v>1111.6589814177564</v>
      </c>
      <c r="K2305" s="5">
        <v>1.0234955E-2</v>
      </c>
      <c r="L2305" t="s">
        <v>38</v>
      </c>
      <c r="M2305" s="4">
        <v>84940</v>
      </c>
      <c r="N2305" s="3">
        <v>202.40020000000001</v>
      </c>
      <c r="O2305" t="s">
        <v>22</v>
      </c>
      <c r="P2305" t="s">
        <v>24</v>
      </c>
      <c r="Q2305" t="s">
        <v>24</v>
      </c>
      <c r="R2305" t="s">
        <v>50</v>
      </c>
      <c r="S2305">
        <v>8</v>
      </c>
    </row>
    <row r="2306" spans="1:19" x14ac:dyDescent="0.3">
      <c r="A2306" s="1">
        <v>44422</v>
      </c>
      <c r="B2306">
        <v>2021</v>
      </c>
      <c r="C2306" t="s">
        <v>29</v>
      </c>
      <c r="D2306" s="4">
        <v>122450</v>
      </c>
      <c r="E2306" s="2">
        <v>220000</v>
      </c>
      <c r="F2306" t="s">
        <v>36</v>
      </c>
      <c r="G2306" t="s">
        <v>37</v>
      </c>
      <c r="H2306">
        <v>6</v>
      </c>
      <c r="I2306">
        <v>4</v>
      </c>
      <c r="J2306">
        <v>1848</v>
      </c>
      <c r="K2306" s="5">
        <v>1.0234955E-2</v>
      </c>
      <c r="L2306" t="s">
        <v>32</v>
      </c>
      <c r="M2306" s="4">
        <v>97550</v>
      </c>
      <c r="N2306" s="3">
        <v>119.0476</v>
      </c>
      <c r="O2306" t="s">
        <v>22</v>
      </c>
      <c r="P2306" t="s">
        <v>24</v>
      </c>
      <c r="Q2306" t="s">
        <v>34</v>
      </c>
      <c r="R2306" t="s">
        <v>50</v>
      </c>
      <c r="S2306">
        <v>8</v>
      </c>
    </row>
    <row r="2307" spans="1:19" x14ac:dyDescent="0.3">
      <c r="A2307" s="1">
        <v>44423</v>
      </c>
      <c r="B2307">
        <v>2021</v>
      </c>
      <c r="C2307" t="s">
        <v>52</v>
      </c>
      <c r="D2307" s="4">
        <v>281960</v>
      </c>
      <c r="E2307" s="2">
        <v>395000</v>
      </c>
      <c r="F2307" t="s">
        <v>19</v>
      </c>
      <c r="G2307" t="s">
        <v>20</v>
      </c>
      <c r="H2307">
        <v>3</v>
      </c>
      <c r="I2307">
        <v>2</v>
      </c>
      <c r="J2307">
        <v>972</v>
      </c>
      <c r="K2307" s="5">
        <v>1.0234955E-2</v>
      </c>
      <c r="L2307" t="s">
        <v>32</v>
      </c>
      <c r="M2307" s="4">
        <v>113040</v>
      </c>
      <c r="N2307" s="3">
        <v>406.37860000000001</v>
      </c>
      <c r="O2307" t="s">
        <v>22</v>
      </c>
      <c r="P2307" t="s">
        <v>24</v>
      </c>
      <c r="Q2307" t="s">
        <v>24</v>
      </c>
      <c r="R2307" t="s">
        <v>50</v>
      </c>
      <c r="S2307">
        <v>8</v>
      </c>
    </row>
    <row r="2308" spans="1:19" x14ac:dyDescent="0.3">
      <c r="A2308" s="1">
        <v>44424</v>
      </c>
      <c r="B2308">
        <v>2021</v>
      </c>
      <c r="C2308" t="s">
        <v>18</v>
      </c>
      <c r="D2308" s="4">
        <v>87000</v>
      </c>
      <c r="E2308" s="2">
        <v>155500</v>
      </c>
      <c r="F2308" t="s">
        <v>19</v>
      </c>
      <c r="G2308" t="s">
        <v>20</v>
      </c>
      <c r="H2308">
        <v>3</v>
      </c>
      <c r="I2308">
        <v>2</v>
      </c>
      <c r="J2308">
        <v>1111.6589814177564</v>
      </c>
      <c r="K2308" s="5">
        <v>1.0234955E-2</v>
      </c>
      <c r="L2308" t="s">
        <v>38</v>
      </c>
      <c r="M2308" s="4">
        <v>68500</v>
      </c>
      <c r="N2308" s="3">
        <v>139.881</v>
      </c>
      <c r="O2308" t="s">
        <v>22</v>
      </c>
      <c r="P2308" t="s">
        <v>23</v>
      </c>
      <c r="Q2308" t="s">
        <v>24</v>
      </c>
      <c r="R2308" t="s">
        <v>50</v>
      </c>
      <c r="S2308">
        <v>8</v>
      </c>
    </row>
    <row r="2309" spans="1:19" x14ac:dyDescent="0.3">
      <c r="A2309" s="1">
        <v>44427</v>
      </c>
      <c r="B2309">
        <v>2021</v>
      </c>
      <c r="C2309" t="s">
        <v>29</v>
      </c>
      <c r="D2309" s="4">
        <v>444584.20699999999</v>
      </c>
      <c r="E2309" s="2">
        <v>195000</v>
      </c>
      <c r="F2309" t="s">
        <v>36</v>
      </c>
      <c r="G2309" t="s">
        <v>37</v>
      </c>
      <c r="H2309">
        <v>6</v>
      </c>
      <c r="I2309">
        <v>6</v>
      </c>
      <c r="J2309">
        <v>2132</v>
      </c>
      <c r="K2309" s="5">
        <v>1.0234955E-2</v>
      </c>
      <c r="L2309" t="s">
        <v>27</v>
      </c>
      <c r="M2309" s="4">
        <v>-249584.20699999999</v>
      </c>
      <c r="N2309" s="3">
        <v>91.463399999999993</v>
      </c>
      <c r="O2309" t="s">
        <v>33</v>
      </c>
      <c r="P2309" t="s">
        <v>23</v>
      </c>
      <c r="Q2309" t="s">
        <v>34</v>
      </c>
      <c r="R2309" t="s">
        <v>50</v>
      </c>
      <c r="S2309">
        <v>8</v>
      </c>
    </row>
    <row r="2310" spans="1:19" x14ac:dyDescent="0.3">
      <c r="A2310" s="1">
        <v>44428</v>
      </c>
      <c r="B2310">
        <v>2021</v>
      </c>
      <c r="C2310" t="s">
        <v>18</v>
      </c>
      <c r="D2310" s="4">
        <v>85750</v>
      </c>
      <c r="E2310" s="2">
        <v>105000</v>
      </c>
      <c r="F2310" t="s">
        <v>19</v>
      </c>
      <c r="G2310" t="s">
        <v>20</v>
      </c>
      <c r="H2310">
        <v>3</v>
      </c>
      <c r="I2310">
        <v>2</v>
      </c>
      <c r="J2310">
        <v>1042</v>
      </c>
      <c r="K2310" s="5">
        <v>1.0234955E-2</v>
      </c>
      <c r="L2310" t="s">
        <v>21</v>
      </c>
      <c r="M2310" s="4">
        <v>19250</v>
      </c>
      <c r="N2310" s="3">
        <v>100.76779999999999</v>
      </c>
      <c r="O2310" t="s">
        <v>22</v>
      </c>
      <c r="P2310" t="s">
        <v>23</v>
      </c>
      <c r="Q2310" t="s">
        <v>24</v>
      </c>
      <c r="R2310" t="s">
        <v>50</v>
      </c>
      <c r="S2310">
        <v>8</v>
      </c>
    </row>
    <row r="2311" spans="1:19" x14ac:dyDescent="0.3">
      <c r="A2311" s="1">
        <v>44429</v>
      </c>
      <c r="B2311">
        <v>2021</v>
      </c>
      <c r="C2311" t="s">
        <v>18</v>
      </c>
      <c r="D2311" s="4">
        <v>37370</v>
      </c>
      <c r="E2311" s="2">
        <v>129900</v>
      </c>
      <c r="F2311" t="s">
        <v>19</v>
      </c>
      <c r="G2311" t="s">
        <v>20</v>
      </c>
      <c r="H2311">
        <v>3</v>
      </c>
      <c r="I2311">
        <v>1</v>
      </c>
      <c r="J2311">
        <v>905</v>
      </c>
      <c r="K2311" s="5">
        <v>1.0234955E-2</v>
      </c>
      <c r="L2311" t="s">
        <v>27</v>
      </c>
      <c r="M2311" s="4">
        <v>92530</v>
      </c>
      <c r="N2311" s="3">
        <v>143.5359</v>
      </c>
      <c r="O2311" t="s">
        <v>22</v>
      </c>
      <c r="P2311" t="s">
        <v>23</v>
      </c>
      <c r="Q2311" t="s">
        <v>24</v>
      </c>
      <c r="R2311" t="s">
        <v>50</v>
      </c>
      <c r="S2311">
        <v>8</v>
      </c>
    </row>
    <row r="2312" spans="1:19" x14ac:dyDescent="0.3">
      <c r="A2312" s="1">
        <v>44430</v>
      </c>
      <c r="B2312">
        <v>2021</v>
      </c>
      <c r="C2312" t="s">
        <v>56</v>
      </c>
      <c r="D2312" s="4">
        <v>330130</v>
      </c>
      <c r="E2312" s="2">
        <v>599950</v>
      </c>
      <c r="F2312" t="s">
        <v>30</v>
      </c>
      <c r="G2312" t="s">
        <v>31</v>
      </c>
      <c r="H2312">
        <v>4</v>
      </c>
      <c r="I2312">
        <v>4</v>
      </c>
      <c r="J2312">
        <v>1277</v>
      </c>
      <c r="K2312" s="5">
        <v>1.0234955E-2</v>
      </c>
      <c r="L2312" t="s">
        <v>27</v>
      </c>
      <c r="M2312" s="4">
        <v>269820</v>
      </c>
      <c r="N2312" s="3">
        <v>469.81209999999999</v>
      </c>
      <c r="O2312" t="s">
        <v>22</v>
      </c>
      <c r="P2312" t="s">
        <v>24</v>
      </c>
      <c r="Q2312" t="s">
        <v>24</v>
      </c>
      <c r="R2312" t="s">
        <v>50</v>
      </c>
      <c r="S2312">
        <v>8</v>
      </c>
    </row>
    <row r="2313" spans="1:19" x14ac:dyDescent="0.3">
      <c r="A2313" s="1">
        <v>44434</v>
      </c>
      <c r="B2313">
        <v>2021</v>
      </c>
      <c r="C2313" t="s">
        <v>35</v>
      </c>
      <c r="D2313" s="4">
        <v>580790</v>
      </c>
      <c r="E2313" s="2">
        <v>275000</v>
      </c>
      <c r="F2313" t="s">
        <v>19</v>
      </c>
      <c r="G2313" t="s">
        <v>20</v>
      </c>
      <c r="H2313">
        <v>3</v>
      </c>
      <c r="I2313">
        <v>3</v>
      </c>
      <c r="J2313">
        <v>909</v>
      </c>
      <c r="K2313" s="5">
        <v>1.0234955E-2</v>
      </c>
      <c r="L2313" t="s">
        <v>27</v>
      </c>
      <c r="M2313" s="4">
        <v>-305790</v>
      </c>
      <c r="N2313" s="3">
        <v>302.53030000000001</v>
      </c>
      <c r="O2313" t="s">
        <v>33</v>
      </c>
      <c r="P2313" t="s">
        <v>24</v>
      </c>
      <c r="Q2313" t="s">
        <v>24</v>
      </c>
      <c r="R2313" t="s">
        <v>50</v>
      </c>
      <c r="S2313">
        <v>8</v>
      </c>
    </row>
    <row r="2314" spans="1:19" x14ac:dyDescent="0.3">
      <c r="A2314" s="1">
        <v>44435</v>
      </c>
      <c r="B2314">
        <v>2021</v>
      </c>
      <c r="C2314" t="s">
        <v>40</v>
      </c>
      <c r="D2314" s="4">
        <v>135610</v>
      </c>
      <c r="E2314" s="2">
        <v>214200</v>
      </c>
      <c r="F2314" t="s">
        <v>19</v>
      </c>
      <c r="G2314" t="s">
        <v>20</v>
      </c>
      <c r="H2314">
        <v>3</v>
      </c>
      <c r="I2314">
        <v>2</v>
      </c>
      <c r="J2314">
        <v>971</v>
      </c>
      <c r="K2314" s="5">
        <v>1.0234955E-2</v>
      </c>
      <c r="L2314" t="s">
        <v>32</v>
      </c>
      <c r="M2314" s="4">
        <v>78590</v>
      </c>
      <c r="N2314" s="3">
        <v>220.59729999999999</v>
      </c>
      <c r="O2314" t="s">
        <v>22</v>
      </c>
      <c r="P2314" t="s">
        <v>24</v>
      </c>
      <c r="Q2314" t="s">
        <v>24</v>
      </c>
      <c r="R2314" t="s">
        <v>50</v>
      </c>
      <c r="S2314">
        <v>8</v>
      </c>
    </row>
    <row r="2315" spans="1:19" x14ac:dyDescent="0.3">
      <c r="A2315" s="1">
        <v>44436</v>
      </c>
      <c r="B2315">
        <v>2021</v>
      </c>
      <c r="C2315" t="s">
        <v>40</v>
      </c>
      <c r="D2315" s="4">
        <v>234010</v>
      </c>
      <c r="E2315" s="2">
        <v>425000</v>
      </c>
      <c r="F2315" t="s">
        <v>19</v>
      </c>
      <c r="G2315" t="s">
        <v>20</v>
      </c>
      <c r="H2315">
        <v>3</v>
      </c>
      <c r="I2315">
        <v>2</v>
      </c>
      <c r="J2315">
        <v>994</v>
      </c>
      <c r="K2315" s="5">
        <v>1.0234955E-2</v>
      </c>
      <c r="L2315" t="s">
        <v>21</v>
      </c>
      <c r="M2315" s="4">
        <v>190990</v>
      </c>
      <c r="N2315" s="3">
        <v>427.56540000000001</v>
      </c>
      <c r="O2315" t="s">
        <v>22</v>
      </c>
      <c r="P2315" t="s">
        <v>24</v>
      </c>
      <c r="Q2315" t="s">
        <v>24</v>
      </c>
      <c r="R2315" t="s">
        <v>50</v>
      </c>
      <c r="S2315">
        <v>8</v>
      </c>
    </row>
    <row r="2316" spans="1:19" x14ac:dyDescent="0.3">
      <c r="A2316" s="1">
        <v>44438</v>
      </c>
      <c r="B2316">
        <v>2021</v>
      </c>
      <c r="C2316" t="s">
        <v>39</v>
      </c>
      <c r="D2316" s="4">
        <v>629510</v>
      </c>
      <c r="E2316" s="2">
        <v>865000</v>
      </c>
      <c r="F2316" t="s">
        <v>19</v>
      </c>
      <c r="G2316" t="s">
        <v>20</v>
      </c>
      <c r="H2316">
        <v>3</v>
      </c>
      <c r="I2316">
        <v>3</v>
      </c>
      <c r="J2316">
        <v>1058</v>
      </c>
      <c r="K2316" s="5">
        <v>1.0234955E-2</v>
      </c>
      <c r="L2316" t="s">
        <v>27</v>
      </c>
      <c r="M2316" s="4">
        <v>235490</v>
      </c>
      <c r="N2316" s="3">
        <v>817.58029999999997</v>
      </c>
      <c r="O2316" t="s">
        <v>22</v>
      </c>
      <c r="P2316" t="s">
        <v>28</v>
      </c>
      <c r="Q2316" t="s">
        <v>24</v>
      </c>
      <c r="R2316" t="s">
        <v>50</v>
      </c>
      <c r="S2316">
        <v>8</v>
      </c>
    </row>
    <row r="2317" spans="1:19" x14ac:dyDescent="0.3">
      <c r="A2317" s="1">
        <v>44444</v>
      </c>
      <c r="B2317">
        <v>2021</v>
      </c>
      <c r="C2317" t="s">
        <v>56</v>
      </c>
      <c r="D2317" s="4">
        <v>640290</v>
      </c>
      <c r="E2317" s="2">
        <v>775300</v>
      </c>
      <c r="F2317" t="s">
        <v>19</v>
      </c>
      <c r="G2317" t="s">
        <v>20</v>
      </c>
      <c r="H2317">
        <v>3</v>
      </c>
      <c r="I2317">
        <v>2</v>
      </c>
      <c r="J2317">
        <v>982</v>
      </c>
      <c r="K2317" s="5">
        <v>1.0234955E-2</v>
      </c>
      <c r="L2317" t="s">
        <v>21</v>
      </c>
      <c r="M2317" s="4">
        <v>135010</v>
      </c>
      <c r="N2317" s="3">
        <v>789.51120000000003</v>
      </c>
      <c r="O2317" t="s">
        <v>22</v>
      </c>
      <c r="P2317" t="s">
        <v>28</v>
      </c>
      <c r="Q2317" t="s">
        <v>24</v>
      </c>
      <c r="R2317" t="s">
        <v>51</v>
      </c>
      <c r="S2317">
        <v>9</v>
      </c>
    </row>
    <row r="2318" spans="1:19" x14ac:dyDescent="0.3">
      <c r="A2318" s="1">
        <v>44445</v>
      </c>
      <c r="B2318">
        <v>2021</v>
      </c>
      <c r="C2318" t="s">
        <v>39</v>
      </c>
      <c r="D2318" s="4">
        <v>1512700</v>
      </c>
      <c r="E2318" s="2">
        <v>861000</v>
      </c>
      <c r="F2318" t="s">
        <v>19</v>
      </c>
      <c r="G2318" t="s">
        <v>20</v>
      </c>
      <c r="H2318">
        <v>3</v>
      </c>
      <c r="I2318">
        <v>3</v>
      </c>
      <c r="J2318">
        <v>1111.6589814177564</v>
      </c>
      <c r="K2318" s="5">
        <v>1.0234955E-2</v>
      </c>
      <c r="L2318" t="s">
        <v>32</v>
      </c>
      <c r="M2318" s="4">
        <v>-651700</v>
      </c>
      <c r="N2318" s="3">
        <v>774.5181</v>
      </c>
      <c r="O2318" t="s">
        <v>33</v>
      </c>
      <c r="P2318" t="s">
        <v>28</v>
      </c>
      <c r="Q2318" t="s">
        <v>24</v>
      </c>
      <c r="R2318" t="s">
        <v>51</v>
      </c>
      <c r="S2318">
        <v>9</v>
      </c>
    </row>
    <row r="2319" spans="1:19" x14ac:dyDescent="0.3">
      <c r="A2319" s="1">
        <v>44448</v>
      </c>
      <c r="B2319">
        <v>2021</v>
      </c>
      <c r="C2319" t="s">
        <v>40</v>
      </c>
      <c r="D2319" s="4">
        <v>353900</v>
      </c>
      <c r="E2319" s="2">
        <v>657500</v>
      </c>
      <c r="F2319" t="s">
        <v>30</v>
      </c>
      <c r="G2319" t="s">
        <v>31</v>
      </c>
      <c r="H2319">
        <v>4</v>
      </c>
      <c r="I2319">
        <v>3</v>
      </c>
      <c r="J2319">
        <v>1446</v>
      </c>
      <c r="K2319" s="5">
        <v>1.0234955E-2</v>
      </c>
      <c r="L2319" t="s">
        <v>32</v>
      </c>
      <c r="M2319" s="4">
        <v>303600</v>
      </c>
      <c r="N2319" s="3">
        <v>454.70260000000002</v>
      </c>
      <c r="O2319" t="s">
        <v>22</v>
      </c>
      <c r="P2319" t="s">
        <v>28</v>
      </c>
      <c r="Q2319" t="s">
        <v>34</v>
      </c>
      <c r="R2319" t="s">
        <v>51</v>
      </c>
      <c r="S2319">
        <v>9</v>
      </c>
    </row>
    <row r="2320" spans="1:19" x14ac:dyDescent="0.3">
      <c r="A2320" s="1">
        <v>44449</v>
      </c>
      <c r="B2320">
        <v>2021</v>
      </c>
      <c r="C2320" t="s">
        <v>18</v>
      </c>
      <c r="D2320" s="4">
        <v>72880</v>
      </c>
      <c r="E2320" s="2">
        <v>124000</v>
      </c>
      <c r="F2320" t="s">
        <v>19</v>
      </c>
      <c r="G2320" t="s">
        <v>20</v>
      </c>
      <c r="H2320">
        <v>3</v>
      </c>
      <c r="I2320">
        <v>3</v>
      </c>
      <c r="J2320">
        <v>1111.6589814177564</v>
      </c>
      <c r="K2320" s="5">
        <v>1.0234955E-2</v>
      </c>
      <c r="L2320" t="s">
        <v>32</v>
      </c>
      <c r="M2320" s="4">
        <v>51120</v>
      </c>
      <c r="N2320" s="3">
        <v>111.545</v>
      </c>
      <c r="O2320" t="s">
        <v>22</v>
      </c>
      <c r="P2320" t="s">
        <v>23</v>
      </c>
      <c r="Q2320" t="s">
        <v>24</v>
      </c>
      <c r="R2320" t="s">
        <v>51</v>
      </c>
      <c r="S2320">
        <v>9</v>
      </c>
    </row>
    <row r="2321" spans="1:19" x14ac:dyDescent="0.3">
      <c r="A2321" s="1">
        <v>44450</v>
      </c>
      <c r="B2321">
        <v>2021</v>
      </c>
      <c r="C2321" t="s">
        <v>18</v>
      </c>
      <c r="D2321" s="4">
        <v>76960</v>
      </c>
      <c r="E2321" s="2">
        <v>121000</v>
      </c>
      <c r="F2321" t="s">
        <v>19</v>
      </c>
      <c r="G2321" t="s">
        <v>20</v>
      </c>
      <c r="H2321">
        <v>3</v>
      </c>
      <c r="I2321">
        <v>1</v>
      </c>
      <c r="J2321">
        <v>903</v>
      </c>
      <c r="K2321" s="5">
        <v>1.0234955E-2</v>
      </c>
      <c r="L2321" t="s">
        <v>21</v>
      </c>
      <c r="M2321" s="4">
        <v>44040</v>
      </c>
      <c r="N2321" s="3">
        <v>133.99780000000001</v>
      </c>
      <c r="O2321" t="s">
        <v>22</v>
      </c>
      <c r="P2321" t="s">
        <v>23</v>
      </c>
      <c r="Q2321" t="s">
        <v>24</v>
      </c>
      <c r="R2321" t="s">
        <v>51</v>
      </c>
      <c r="S2321">
        <v>9</v>
      </c>
    </row>
    <row r="2322" spans="1:19" x14ac:dyDescent="0.3">
      <c r="A2322" s="1">
        <v>44451</v>
      </c>
      <c r="B2322">
        <v>2021</v>
      </c>
      <c r="C2322" t="s">
        <v>39</v>
      </c>
      <c r="D2322" s="4">
        <v>331660</v>
      </c>
      <c r="E2322" s="2">
        <v>550000</v>
      </c>
      <c r="F2322" t="s">
        <v>19</v>
      </c>
      <c r="G2322" t="s">
        <v>20</v>
      </c>
      <c r="H2322">
        <v>3</v>
      </c>
      <c r="I2322">
        <v>3</v>
      </c>
      <c r="J2322">
        <v>1014</v>
      </c>
      <c r="K2322" s="5">
        <v>1.0234955E-2</v>
      </c>
      <c r="L2322" t="s">
        <v>27</v>
      </c>
      <c r="M2322" s="4">
        <v>218340</v>
      </c>
      <c r="N2322" s="3">
        <v>542.40629999999999</v>
      </c>
      <c r="O2322" t="s">
        <v>22</v>
      </c>
      <c r="P2322" t="s">
        <v>24</v>
      </c>
      <c r="Q2322" t="s">
        <v>24</v>
      </c>
      <c r="R2322" t="s">
        <v>51</v>
      </c>
      <c r="S2322">
        <v>9</v>
      </c>
    </row>
    <row r="2323" spans="1:19" x14ac:dyDescent="0.3">
      <c r="A2323" s="1">
        <v>44452</v>
      </c>
      <c r="B2323">
        <v>2021</v>
      </c>
      <c r="C2323" t="s">
        <v>56</v>
      </c>
      <c r="D2323" s="4">
        <v>464200</v>
      </c>
      <c r="E2323" s="2">
        <v>580000</v>
      </c>
      <c r="F2323" t="s">
        <v>19</v>
      </c>
      <c r="G2323" t="s">
        <v>20</v>
      </c>
      <c r="H2323">
        <v>3</v>
      </c>
      <c r="I2323">
        <v>3</v>
      </c>
      <c r="J2323">
        <v>1111.6589814177564</v>
      </c>
      <c r="K2323" s="5">
        <v>1.0234955E-2</v>
      </c>
      <c r="L2323" t="s">
        <v>27</v>
      </c>
      <c r="M2323" s="4">
        <v>115800</v>
      </c>
      <c r="N2323" s="3">
        <v>521.74270000000001</v>
      </c>
      <c r="O2323" t="s">
        <v>22</v>
      </c>
      <c r="P2323" t="s">
        <v>24</v>
      </c>
      <c r="Q2323" t="s">
        <v>24</v>
      </c>
      <c r="R2323" t="s">
        <v>51</v>
      </c>
      <c r="S2323">
        <v>9</v>
      </c>
    </row>
    <row r="2324" spans="1:19" x14ac:dyDescent="0.3">
      <c r="A2324" s="1">
        <v>44455</v>
      </c>
      <c r="B2324">
        <v>2021</v>
      </c>
      <c r="C2324" t="s">
        <v>39</v>
      </c>
      <c r="D2324" s="4">
        <v>261240</v>
      </c>
      <c r="E2324" s="2">
        <v>375000</v>
      </c>
      <c r="F2324" t="s">
        <v>19</v>
      </c>
      <c r="G2324" t="s">
        <v>20</v>
      </c>
      <c r="H2324">
        <v>3</v>
      </c>
      <c r="I2324">
        <v>2</v>
      </c>
      <c r="J2324">
        <v>1111.6589814177564</v>
      </c>
      <c r="K2324" s="5">
        <v>1.0234955E-2</v>
      </c>
      <c r="L2324" t="s">
        <v>27</v>
      </c>
      <c r="M2324" s="4">
        <v>113760</v>
      </c>
      <c r="N2324" s="3">
        <v>337.33370000000002</v>
      </c>
      <c r="O2324" t="s">
        <v>22</v>
      </c>
      <c r="P2324" t="s">
        <v>24</v>
      </c>
      <c r="Q2324" t="s">
        <v>24</v>
      </c>
      <c r="R2324" t="s">
        <v>51</v>
      </c>
      <c r="S2324">
        <v>9</v>
      </c>
    </row>
    <row r="2325" spans="1:19" x14ac:dyDescent="0.3">
      <c r="A2325" s="1">
        <v>44456</v>
      </c>
      <c r="B2325">
        <v>2021</v>
      </c>
      <c r="C2325" t="s">
        <v>40</v>
      </c>
      <c r="D2325" s="4">
        <v>116280</v>
      </c>
      <c r="E2325" s="2">
        <v>220000</v>
      </c>
      <c r="F2325" t="s">
        <v>19</v>
      </c>
      <c r="G2325" t="s">
        <v>20</v>
      </c>
      <c r="H2325">
        <v>3</v>
      </c>
      <c r="I2325">
        <v>2</v>
      </c>
      <c r="J2325">
        <v>1000</v>
      </c>
      <c r="K2325" s="5">
        <v>1.0234955E-2</v>
      </c>
      <c r="L2325" t="s">
        <v>38</v>
      </c>
      <c r="M2325" s="4">
        <v>103720</v>
      </c>
      <c r="N2325" s="3">
        <v>220</v>
      </c>
      <c r="O2325" t="s">
        <v>22</v>
      </c>
      <c r="P2325" t="s">
        <v>24</v>
      </c>
      <c r="Q2325" t="s">
        <v>24</v>
      </c>
      <c r="R2325" t="s">
        <v>51</v>
      </c>
      <c r="S2325">
        <v>9</v>
      </c>
    </row>
    <row r="2326" spans="1:19" x14ac:dyDescent="0.3">
      <c r="A2326" s="1">
        <v>44457</v>
      </c>
      <c r="B2326">
        <v>2021</v>
      </c>
      <c r="C2326" t="s">
        <v>29</v>
      </c>
      <c r="D2326" s="4">
        <v>98590</v>
      </c>
      <c r="E2326" s="2">
        <v>174000</v>
      </c>
      <c r="F2326" t="s">
        <v>30</v>
      </c>
      <c r="G2326" t="s">
        <v>31</v>
      </c>
      <c r="H2326">
        <v>4</v>
      </c>
      <c r="I2326">
        <v>2</v>
      </c>
      <c r="J2326">
        <v>1451</v>
      </c>
      <c r="K2326" s="5">
        <v>1.0234955E-2</v>
      </c>
      <c r="L2326" t="s">
        <v>27</v>
      </c>
      <c r="M2326" s="4">
        <v>75410</v>
      </c>
      <c r="N2326" s="3">
        <v>119.9173</v>
      </c>
      <c r="O2326" t="s">
        <v>22</v>
      </c>
      <c r="P2326" t="s">
        <v>23</v>
      </c>
      <c r="Q2326" t="s">
        <v>34</v>
      </c>
      <c r="R2326" t="s">
        <v>51</v>
      </c>
      <c r="S2326">
        <v>9</v>
      </c>
    </row>
    <row r="2327" spans="1:19" x14ac:dyDescent="0.3">
      <c r="A2327" s="1">
        <v>44458</v>
      </c>
      <c r="B2327">
        <v>2021</v>
      </c>
      <c r="C2327" t="s">
        <v>29</v>
      </c>
      <c r="D2327" s="4">
        <v>49310</v>
      </c>
      <c r="E2327" s="2">
        <v>65000</v>
      </c>
      <c r="F2327" t="s">
        <v>19</v>
      </c>
      <c r="G2327" t="s">
        <v>20</v>
      </c>
      <c r="H2327">
        <v>3</v>
      </c>
      <c r="I2327">
        <v>3</v>
      </c>
      <c r="J2327">
        <v>930</v>
      </c>
      <c r="K2327" s="5">
        <v>1.0234955E-2</v>
      </c>
      <c r="L2327" t="s">
        <v>21</v>
      </c>
      <c r="M2327" s="4">
        <v>15690</v>
      </c>
      <c r="N2327" s="3">
        <v>69.892499999999998</v>
      </c>
      <c r="O2327" t="s">
        <v>22</v>
      </c>
      <c r="P2327" t="s">
        <v>23</v>
      </c>
      <c r="Q2327" t="s">
        <v>24</v>
      </c>
      <c r="R2327" t="s">
        <v>51</v>
      </c>
      <c r="S2327">
        <v>9</v>
      </c>
    </row>
    <row r="2328" spans="1:19" x14ac:dyDescent="0.3">
      <c r="A2328" s="1">
        <v>44459</v>
      </c>
      <c r="B2328">
        <v>2021</v>
      </c>
      <c r="C2328" t="s">
        <v>56</v>
      </c>
      <c r="D2328" s="4">
        <v>518080</v>
      </c>
      <c r="E2328" s="2">
        <v>800000</v>
      </c>
      <c r="F2328" t="s">
        <v>19</v>
      </c>
      <c r="G2328" t="s">
        <v>20</v>
      </c>
      <c r="H2328">
        <v>3</v>
      </c>
      <c r="I2328">
        <v>2</v>
      </c>
      <c r="J2328">
        <v>1002</v>
      </c>
      <c r="K2328" s="5">
        <v>1.0234955E-2</v>
      </c>
      <c r="L2328" t="s">
        <v>21</v>
      </c>
      <c r="M2328" s="4">
        <v>281920</v>
      </c>
      <c r="N2328" s="3">
        <v>798.40319999999997</v>
      </c>
      <c r="O2328" t="s">
        <v>22</v>
      </c>
      <c r="P2328" t="s">
        <v>28</v>
      </c>
      <c r="Q2328" t="s">
        <v>24</v>
      </c>
      <c r="R2328" t="s">
        <v>51</v>
      </c>
      <c r="S2328">
        <v>9</v>
      </c>
    </row>
    <row r="2329" spans="1:19" x14ac:dyDescent="0.3">
      <c r="A2329" s="1">
        <v>44462</v>
      </c>
      <c r="B2329">
        <v>2021</v>
      </c>
      <c r="C2329" t="s">
        <v>52</v>
      </c>
      <c r="D2329" s="4">
        <v>343280</v>
      </c>
      <c r="E2329" s="2">
        <v>485000</v>
      </c>
      <c r="F2329" t="s">
        <v>19</v>
      </c>
      <c r="G2329" t="s">
        <v>20</v>
      </c>
      <c r="H2329">
        <v>3</v>
      </c>
      <c r="I2329">
        <v>2</v>
      </c>
      <c r="J2329">
        <v>1035</v>
      </c>
      <c r="K2329" s="5">
        <v>1.0234955E-2</v>
      </c>
      <c r="L2329" t="s">
        <v>21</v>
      </c>
      <c r="M2329" s="4">
        <v>141720</v>
      </c>
      <c r="N2329" s="3">
        <v>468.59899999999999</v>
      </c>
      <c r="O2329" t="s">
        <v>22</v>
      </c>
      <c r="P2329" t="s">
        <v>24</v>
      </c>
      <c r="Q2329" t="s">
        <v>24</v>
      </c>
      <c r="R2329" t="s">
        <v>51</v>
      </c>
      <c r="S2329">
        <v>9</v>
      </c>
    </row>
    <row r="2330" spans="1:19" x14ac:dyDescent="0.3">
      <c r="A2330" s="1">
        <v>44463</v>
      </c>
      <c r="B2330">
        <v>2021</v>
      </c>
      <c r="C2330" t="s">
        <v>35</v>
      </c>
      <c r="D2330" s="4">
        <v>444584.20699999999</v>
      </c>
      <c r="E2330" s="2">
        <v>8347000</v>
      </c>
      <c r="F2330" t="s">
        <v>19</v>
      </c>
      <c r="G2330" t="s">
        <v>20</v>
      </c>
      <c r="H2330">
        <v>3</v>
      </c>
      <c r="I2330">
        <v>1</v>
      </c>
      <c r="J2330">
        <v>1048</v>
      </c>
      <c r="K2330" s="5">
        <v>1.0234955E-2</v>
      </c>
      <c r="L2330" t="s">
        <v>38</v>
      </c>
      <c r="M2330" s="4">
        <v>7902415.7929999996</v>
      </c>
      <c r="N2330" s="3">
        <v>7964.6947</v>
      </c>
      <c r="O2330" t="s">
        <v>22</v>
      </c>
      <c r="P2330" t="s">
        <v>28</v>
      </c>
      <c r="Q2330" t="s">
        <v>24</v>
      </c>
      <c r="R2330" t="s">
        <v>51</v>
      </c>
      <c r="S2330">
        <v>9</v>
      </c>
    </row>
    <row r="2331" spans="1:19" x14ac:dyDescent="0.3">
      <c r="A2331" s="1">
        <v>44465</v>
      </c>
      <c r="B2331">
        <v>2021</v>
      </c>
      <c r="C2331" t="s">
        <v>29</v>
      </c>
      <c r="D2331" s="4">
        <v>444584.20699999999</v>
      </c>
      <c r="E2331" s="2">
        <v>38750</v>
      </c>
      <c r="F2331" t="s">
        <v>30</v>
      </c>
      <c r="G2331" t="s">
        <v>31</v>
      </c>
      <c r="H2331">
        <v>4</v>
      </c>
      <c r="I2331">
        <v>4</v>
      </c>
      <c r="J2331">
        <v>1402</v>
      </c>
      <c r="K2331" s="5">
        <v>1.0234955E-2</v>
      </c>
      <c r="L2331" t="s">
        <v>27</v>
      </c>
      <c r="M2331" s="4">
        <v>-405834.20699999999</v>
      </c>
      <c r="N2331" s="3">
        <v>27.639099999999999</v>
      </c>
      <c r="O2331" t="s">
        <v>33</v>
      </c>
      <c r="P2331" t="s">
        <v>23</v>
      </c>
      <c r="Q2331" t="s">
        <v>34</v>
      </c>
      <c r="R2331" t="s">
        <v>51</v>
      </c>
      <c r="S2331">
        <v>9</v>
      </c>
    </row>
    <row r="2332" spans="1:19" x14ac:dyDescent="0.3">
      <c r="A2332" s="1">
        <v>44466</v>
      </c>
      <c r="B2332">
        <v>2021</v>
      </c>
      <c r="C2332" t="s">
        <v>18</v>
      </c>
      <c r="D2332" s="4">
        <v>64020</v>
      </c>
      <c r="E2332" s="2">
        <v>175000</v>
      </c>
      <c r="F2332" t="s">
        <v>42</v>
      </c>
      <c r="G2332" t="s">
        <v>43</v>
      </c>
      <c r="H2332">
        <v>8</v>
      </c>
      <c r="I2332">
        <v>8</v>
      </c>
      <c r="J2332">
        <v>2989</v>
      </c>
      <c r="K2332" s="5">
        <v>1.0234955E-2</v>
      </c>
      <c r="L2332" t="s">
        <v>27</v>
      </c>
      <c r="M2332" s="4">
        <v>110980</v>
      </c>
      <c r="N2332" s="3">
        <v>58.548000000000002</v>
      </c>
      <c r="O2332" t="s">
        <v>22</v>
      </c>
      <c r="P2332" t="s">
        <v>23</v>
      </c>
      <c r="Q2332" t="s">
        <v>34</v>
      </c>
      <c r="R2332" t="s">
        <v>51</v>
      </c>
      <c r="S2332">
        <v>9</v>
      </c>
    </row>
    <row r="2333" spans="1:19" x14ac:dyDescent="0.3">
      <c r="A2333" s="1">
        <v>44469</v>
      </c>
      <c r="B2333">
        <v>2021</v>
      </c>
      <c r="C2333" t="s">
        <v>40</v>
      </c>
      <c r="D2333" s="4">
        <v>66870</v>
      </c>
      <c r="E2333" s="2">
        <v>156000</v>
      </c>
      <c r="F2333" t="s">
        <v>30</v>
      </c>
      <c r="G2333" t="s">
        <v>31</v>
      </c>
      <c r="H2333">
        <v>4</v>
      </c>
      <c r="I2333">
        <v>3</v>
      </c>
      <c r="J2333">
        <v>1264</v>
      </c>
      <c r="K2333" s="5">
        <v>1.0234955E-2</v>
      </c>
      <c r="L2333" t="s">
        <v>32</v>
      </c>
      <c r="M2333" s="4">
        <v>89130</v>
      </c>
      <c r="N2333" s="3">
        <v>123.4177</v>
      </c>
      <c r="O2333" t="s">
        <v>22</v>
      </c>
      <c r="P2333" t="s">
        <v>23</v>
      </c>
      <c r="Q2333" t="s">
        <v>24</v>
      </c>
      <c r="R2333" t="s">
        <v>51</v>
      </c>
      <c r="S2333">
        <v>9</v>
      </c>
    </row>
    <row r="2334" spans="1:19" x14ac:dyDescent="0.3">
      <c r="A2334" s="1">
        <v>44470</v>
      </c>
      <c r="B2334">
        <v>2021</v>
      </c>
      <c r="C2334" t="s">
        <v>26</v>
      </c>
      <c r="D2334" s="4">
        <v>260600</v>
      </c>
      <c r="E2334" s="2">
        <v>430000</v>
      </c>
      <c r="F2334" t="s">
        <v>19</v>
      </c>
      <c r="G2334" t="s">
        <v>20</v>
      </c>
      <c r="H2334">
        <v>3</v>
      </c>
      <c r="I2334">
        <v>3</v>
      </c>
      <c r="J2334">
        <v>1111.6589814177564</v>
      </c>
      <c r="K2334" s="5">
        <v>1.0234955E-2</v>
      </c>
      <c r="L2334" t="s">
        <v>32</v>
      </c>
      <c r="M2334" s="4">
        <v>169400</v>
      </c>
      <c r="N2334" s="3">
        <v>386.80930000000001</v>
      </c>
      <c r="O2334" t="s">
        <v>22</v>
      </c>
      <c r="P2334" t="s">
        <v>24</v>
      </c>
      <c r="Q2334" t="s">
        <v>24</v>
      </c>
      <c r="R2334" t="s">
        <v>53</v>
      </c>
      <c r="S2334">
        <v>10</v>
      </c>
    </row>
    <row r="2335" spans="1:19" x14ac:dyDescent="0.3">
      <c r="A2335" s="1">
        <v>44471</v>
      </c>
      <c r="B2335">
        <v>2021</v>
      </c>
      <c r="C2335" t="s">
        <v>18</v>
      </c>
      <c r="D2335" s="4">
        <v>71250</v>
      </c>
      <c r="E2335" s="2">
        <v>135000</v>
      </c>
      <c r="F2335" t="s">
        <v>19</v>
      </c>
      <c r="G2335" t="s">
        <v>20</v>
      </c>
      <c r="H2335">
        <v>3</v>
      </c>
      <c r="I2335">
        <v>3</v>
      </c>
      <c r="J2335">
        <v>1111.6589814177564</v>
      </c>
      <c r="K2335" s="5">
        <v>1.0234955E-2</v>
      </c>
      <c r="L2335" t="s">
        <v>32</v>
      </c>
      <c r="M2335" s="4">
        <v>63750</v>
      </c>
      <c r="N2335" s="3">
        <v>121.4401</v>
      </c>
      <c r="O2335" t="s">
        <v>22</v>
      </c>
      <c r="P2335" t="s">
        <v>23</v>
      </c>
      <c r="Q2335" t="s">
        <v>24</v>
      </c>
      <c r="R2335" t="s">
        <v>53</v>
      </c>
      <c r="S2335">
        <v>10</v>
      </c>
    </row>
    <row r="2336" spans="1:19" x14ac:dyDescent="0.3">
      <c r="A2336" s="1">
        <v>44472</v>
      </c>
      <c r="B2336">
        <v>2021</v>
      </c>
      <c r="C2336" t="s">
        <v>56</v>
      </c>
      <c r="D2336" s="4">
        <v>596820</v>
      </c>
      <c r="E2336" s="2">
        <v>475000</v>
      </c>
      <c r="F2336" t="s">
        <v>19</v>
      </c>
      <c r="G2336" t="s">
        <v>20</v>
      </c>
      <c r="H2336">
        <v>3</v>
      </c>
      <c r="I2336">
        <v>2</v>
      </c>
      <c r="J2336">
        <v>1092</v>
      </c>
      <c r="K2336" s="5">
        <v>1.0234955E-2</v>
      </c>
      <c r="L2336" t="s">
        <v>21</v>
      </c>
      <c r="M2336" s="4">
        <v>-121820</v>
      </c>
      <c r="N2336" s="3">
        <v>434.98169999999999</v>
      </c>
      <c r="O2336" t="s">
        <v>33</v>
      </c>
      <c r="P2336" t="s">
        <v>24</v>
      </c>
      <c r="Q2336" t="s">
        <v>24</v>
      </c>
      <c r="R2336" t="s">
        <v>53</v>
      </c>
      <c r="S2336">
        <v>10</v>
      </c>
    </row>
    <row r="2337" spans="1:19" x14ac:dyDescent="0.3">
      <c r="A2337" s="1">
        <v>44476</v>
      </c>
      <c r="B2337">
        <v>2021</v>
      </c>
      <c r="C2337" t="s">
        <v>39</v>
      </c>
      <c r="D2337" s="4">
        <v>444584.20699999999</v>
      </c>
      <c r="E2337" s="2">
        <v>1455750</v>
      </c>
      <c r="F2337" t="s">
        <v>19</v>
      </c>
      <c r="G2337" t="s">
        <v>20</v>
      </c>
      <c r="H2337">
        <v>3</v>
      </c>
      <c r="I2337">
        <v>2</v>
      </c>
      <c r="J2337">
        <v>909</v>
      </c>
      <c r="K2337" s="5">
        <v>1.0234955E-2</v>
      </c>
      <c r="L2337" t="s">
        <v>27</v>
      </c>
      <c r="M2337" s="4">
        <v>1011165.7929999999</v>
      </c>
      <c r="N2337" s="3">
        <v>1601.4851000000001</v>
      </c>
      <c r="O2337" t="s">
        <v>22</v>
      </c>
      <c r="P2337" t="s">
        <v>28</v>
      </c>
      <c r="Q2337" t="s">
        <v>24</v>
      </c>
      <c r="R2337" t="s">
        <v>53</v>
      </c>
      <c r="S2337">
        <v>10</v>
      </c>
    </row>
    <row r="2338" spans="1:19" x14ac:dyDescent="0.3">
      <c r="A2338" s="1">
        <v>44477</v>
      </c>
      <c r="B2338">
        <v>2021</v>
      </c>
      <c r="C2338" t="s">
        <v>56</v>
      </c>
      <c r="D2338" s="4">
        <v>436390</v>
      </c>
      <c r="E2338" s="2">
        <v>720000</v>
      </c>
      <c r="F2338" t="s">
        <v>19</v>
      </c>
      <c r="G2338" t="s">
        <v>20</v>
      </c>
      <c r="H2338">
        <v>3</v>
      </c>
      <c r="I2338">
        <v>1</v>
      </c>
      <c r="J2338">
        <v>966</v>
      </c>
      <c r="K2338" s="5">
        <v>1.0234955E-2</v>
      </c>
      <c r="L2338" t="s">
        <v>21</v>
      </c>
      <c r="M2338" s="4">
        <v>283610</v>
      </c>
      <c r="N2338" s="3">
        <v>745.34159999999997</v>
      </c>
      <c r="O2338" t="s">
        <v>22</v>
      </c>
      <c r="P2338" t="s">
        <v>28</v>
      </c>
      <c r="Q2338" t="s">
        <v>24</v>
      </c>
      <c r="R2338" t="s">
        <v>53</v>
      </c>
      <c r="S2338">
        <v>10</v>
      </c>
    </row>
    <row r="2339" spans="1:19" x14ac:dyDescent="0.3">
      <c r="A2339" s="1">
        <v>44478</v>
      </c>
      <c r="B2339">
        <v>2021</v>
      </c>
      <c r="C2339" t="s">
        <v>56</v>
      </c>
      <c r="D2339" s="4">
        <v>374260</v>
      </c>
      <c r="E2339" s="2">
        <v>438000</v>
      </c>
      <c r="F2339" t="s">
        <v>19</v>
      </c>
      <c r="G2339" t="s">
        <v>20</v>
      </c>
      <c r="H2339">
        <v>3</v>
      </c>
      <c r="I2339">
        <v>2</v>
      </c>
      <c r="J2339">
        <v>932</v>
      </c>
      <c r="K2339" s="5">
        <v>1.0234955E-2</v>
      </c>
      <c r="L2339" t="s">
        <v>27</v>
      </c>
      <c r="M2339" s="4">
        <v>63740</v>
      </c>
      <c r="N2339" s="3">
        <v>469.95710000000003</v>
      </c>
      <c r="O2339" t="s">
        <v>22</v>
      </c>
      <c r="P2339" t="s">
        <v>24</v>
      </c>
      <c r="Q2339" t="s">
        <v>24</v>
      </c>
      <c r="R2339" t="s">
        <v>53</v>
      </c>
      <c r="S2339">
        <v>10</v>
      </c>
    </row>
    <row r="2340" spans="1:19" x14ac:dyDescent="0.3">
      <c r="A2340" s="1">
        <v>44479</v>
      </c>
      <c r="B2340">
        <v>2021</v>
      </c>
      <c r="C2340" t="s">
        <v>40</v>
      </c>
      <c r="D2340" s="4">
        <v>80850</v>
      </c>
      <c r="E2340" s="2">
        <v>100000</v>
      </c>
      <c r="F2340" t="s">
        <v>19</v>
      </c>
      <c r="G2340" t="s">
        <v>20</v>
      </c>
      <c r="H2340">
        <v>3</v>
      </c>
      <c r="I2340">
        <v>1</v>
      </c>
      <c r="J2340">
        <v>924</v>
      </c>
      <c r="K2340" s="5">
        <v>1.0234955E-2</v>
      </c>
      <c r="L2340" t="s">
        <v>21</v>
      </c>
      <c r="M2340" s="4">
        <v>19150</v>
      </c>
      <c r="N2340" s="3">
        <v>108.2251</v>
      </c>
      <c r="O2340" t="s">
        <v>22</v>
      </c>
      <c r="P2340" t="s">
        <v>23</v>
      </c>
      <c r="Q2340" t="s">
        <v>24</v>
      </c>
      <c r="R2340" t="s">
        <v>53</v>
      </c>
      <c r="S2340">
        <v>10</v>
      </c>
    </row>
    <row r="2341" spans="1:19" x14ac:dyDescent="0.3">
      <c r="A2341" s="1">
        <v>44484</v>
      </c>
      <c r="B2341">
        <v>2021</v>
      </c>
      <c r="C2341" t="s">
        <v>52</v>
      </c>
      <c r="D2341" s="4">
        <v>234500</v>
      </c>
      <c r="E2341" s="2">
        <v>325000</v>
      </c>
      <c r="F2341" t="s">
        <v>19</v>
      </c>
      <c r="G2341" t="s">
        <v>20</v>
      </c>
      <c r="H2341">
        <v>3</v>
      </c>
      <c r="I2341">
        <v>2</v>
      </c>
      <c r="J2341">
        <v>1029</v>
      </c>
      <c r="K2341" s="5">
        <v>1.0234955E-2</v>
      </c>
      <c r="L2341" t="s">
        <v>21</v>
      </c>
      <c r="M2341" s="4">
        <v>90500</v>
      </c>
      <c r="N2341" s="3">
        <v>315.84059999999999</v>
      </c>
      <c r="O2341" t="s">
        <v>22</v>
      </c>
      <c r="P2341" t="s">
        <v>24</v>
      </c>
      <c r="Q2341" t="s">
        <v>24</v>
      </c>
      <c r="R2341" t="s">
        <v>53</v>
      </c>
      <c r="S2341">
        <v>10</v>
      </c>
    </row>
    <row r="2342" spans="1:19" x14ac:dyDescent="0.3">
      <c r="A2342" s="1">
        <v>44485</v>
      </c>
      <c r="B2342">
        <v>2021</v>
      </c>
      <c r="C2342" t="s">
        <v>18</v>
      </c>
      <c r="D2342" s="4">
        <v>444584.20699999999</v>
      </c>
      <c r="E2342" s="2">
        <v>149900</v>
      </c>
      <c r="F2342" t="s">
        <v>19</v>
      </c>
      <c r="G2342" t="s">
        <v>20</v>
      </c>
      <c r="H2342">
        <v>3</v>
      </c>
      <c r="I2342">
        <v>1</v>
      </c>
      <c r="J2342">
        <v>1111.6589814177564</v>
      </c>
      <c r="K2342" s="5">
        <v>1.0234955E-2</v>
      </c>
      <c r="L2342" t="s">
        <v>21</v>
      </c>
      <c r="M2342" s="4">
        <v>-294684.20699999999</v>
      </c>
      <c r="N2342" s="3">
        <v>134.84350000000001</v>
      </c>
      <c r="O2342" t="s">
        <v>33</v>
      </c>
      <c r="P2342" t="s">
        <v>23</v>
      </c>
      <c r="Q2342" t="s">
        <v>24</v>
      </c>
      <c r="R2342" t="s">
        <v>53</v>
      </c>
      <c r="S2342">
        <v>10</v>
      </c>
    </row>
    <row r="2343" spans="1:19" x14ac:dyDescent="0.3">
      <c r="A2343" s="1">
        <v>44486</v>
      </c>
      <c r="B2343">
        <v>2021</v>
      </c>
      <c r="C2343" t="s">
        <v>29</v>
      </c>
      <c r="D2343" s="4">
        <v>106560</v>
      </c>
      <c r="E2343" s="2">
        <v>194000</v>
      </c>
      <c r="F2343" t="s">
        <v>30</v>
      </c>
      <c r="G2343" t="s">
        <v>31</v>
      </c>
      <c r="H2343">
        <v>4</v>
      </c>
      <c r="I2343">
        <v>4</v>
      </c>
      <c r="J2343">
        <v>1348</v>
      </c>
      <c r="K2343" s="5">
        <v>1.0234955E-2</v>
      </c>
      <c r="L2343" t="s">
        <v>38</v>
      </c>
      <c r="M2343" s="4">
        <v>87440</v>
      </c>
      <c r="N2343" s="3">
        <v>143.9169</v>
      </c>
      <c r="O2343" t="s">
        <v>22</v>
      </c>
      <c r="P2343" t="s">
        <v>23</v>
      </c>
      <c r="Q2343" t="s">
        <v>34</v>
      </c>
      <c r="R2343" t="s">
        <v>53</v>
      </c>
      <c r="S2343">
        <v>10</v>
      </c>
    </row>
    <row r="2344" spans="1:19" x14ac:dyDescent="0.3">
      <c r="A2344" s="1">
        <v>44487</v>
      </c>
      <c r="B2344">
        <v>2021</v>
      </c>
      <c r="C2344" t="s">
        <v>18</v>
      </c>
      <c r="D2344" s="4">
        <v>62310</v>
      </c>
      <c r="E2344" s="2">
        <v>120000</v>
      </c>
      <c r="F2344" t="s">
        <v>36</v>
      </c>
      <c r="G2344" t="s">
        <v>37</v>
      </c>
      <c r="H2344">
        <v>6</v>
      </c>
      <c r="I2344">
        <v>5</v>
      </c>
      <c r="J2344">
        <v>2183</v>
      </c>
      <c r="K2344" s="5">
        <v>1.0234955E-2</v>
      </c>
      <c r="L2344" t="s">
        <v>38</v>
      </c>
      <c r="M2344" s="4">
        <v>57690</v>
      </c>
      <c r="N2344" s="3">
        <v>54.970199999999998</v>
      </c>
      <c r="O2344" t="s">
        <v>22</v>
      </c>
      <c r="P2344" t="s">
        <v>23</v>
      </c>
      <c r="Q2344" t="s">
        <v>34</v>
      </c>
      <c r="R2344" t="s">
        <v>53</v>
      </c>
      <c r="S2344">
        <v>10</v>
      </c>
    </row>
    <row r="2345" spans="1:19" x14ac:dyDescent="0.3">
      <c r="A2345" s="1">
        <v>44490</v>
      </c>
      <c r="B2345">
        <v>2021</v>
      </c>
      <c r="C2345" t="s">
        <v>18</v>
      </c>
      <c r="D2345" s="4">
        <v>62220</v>
      </c>
      <c r="E2345" s="2">
        <v>147000</v>
      </c>
      <c r="F2345" t="s">
        <v>19</v>
      </c>
      <c r="G2345" t="s">
        <v>20</v>
      </c>
      <c r="H2345">
        <v>3</v>
      </c>
      <c r="I2345">
        <v>3</v>
      </c>
      <c r="J2345">
        <v>916</v>
      </c>
      <c r="K2345" s="5">
        <v>1.0234955E-2</v>
      </c>
      <c r="L2345" t="s">
        <v>38</v>
      </c>
      <c r="M2345" s="4">
        <v>84780</v>
      </c>
      <c r="N2345" s="3">
        <v>160.4803</v>
      </c>
      <c r="O2345" t="s">
        <v>22</v>
      </c>
      <c r="P2345" t="s">
        <v>23</v>
      </c>
      <c r="Q2345" t="s">
        <v>24</v>
      </c>
      <c r="R2345" t="s">
        <v>53</v>
      </c>
      <c r="S2345">
        <v>10</v>
      </c>
    </row>
    <row r="2346" spans="1:19" x14ac:dyDescent="0.3">
      <c r="A2346" s="1">
        <v>44492</v>
      </c>
      <c r="B2346">
        <v>2021</v>
      </c>
      <c r="C2346" t="s">
        <v>35</v>
      </c>
      <c r="D2346" s="4">
        <v>444584.20699999999</v>
      </c>
      <c r="E2346" s="2">
        <v>1600000</v>
      </c>
      <c r="F2346" t="s">
        <v>19</v>
      </c>
      <c r="G2346" t="s">
        <v>20</v>
      </c>
      <c r="H2346">
        <v>3</v>
      </c>
      <c r="I2346">
        <v>3</v>
      </c>
      <c r="J2346">
        <v>1111.6589814177564</v>
      </c>
      <c r="K2346" s="5">
        <v>1.0234955E-2</v>
      </c>
      <c r="L2346" t="s">
        <v>27</v>
      </c>
      <c r="M2346" s="4">
        <v>1155415.7930000001</v>
      </c>
      <c r="N2346" s="3">
        <v>1439.2902999999999</v>
      </c>
      <c r="O2346" t="s">
        <v>22</v>
      </c>
      <c r="P2346" t="s">
        <v>28</v>
      </c>
      <c r="Q2346" t="s">
        <v>24</v>
      </c>
      <c r="R2346" t="s">
        <v>53</v>
      </c>
      <c r="S2346">
        <v>10</v>
      </c>
    </row>
    <row r="2347" spans="1:19" x14ac:dyDescent="0.3">
      <c r="A2347" s="1">
        <v>44493</v>
      </c>
      <c r="B2347">
        <v>2021</v>
      </c>
      <c r="C2347" t="s">
        <v>56</v>
      </c>
      <c r="D2347" s="4">
        <v>307690</v>
      </c>
      <c r="E2347" s="2">
        <v>486000</v>
      </c>
      <c r="F2347" t="s">
        <v>19</v>
      </c>
      <c r="G2347" t="s">
        <v>20</v>
      </c>
      <c r="H2347">
        <v>3</v>
      </c>
      <c r="I2347">
        <v>3</v>
      </c>
      <c r="J2347">
        <v>1111.6589814177564</v>
      </c>
      <c r="K2347" s="5">
        <v>1.0234955E-2</v>
      </c>
      <c r="L2347" t="s">
        <v>38</v>
      </c>
      <c r="M2347" s="4">
        <v>178310</v>
      </c>
      <c r="N2347" s="3">
        <v>437.18439999999998</v>
      </c>
      <c r="O2347" t="s">
        <v>22</v>
      </c>
      <c r="P2347" t="s">
        <v>24</v>
      </c>
      <c r="Q2347" t="s">
        <v>24</v>
      </c>
      <c r="R2347" t="s">
        <v>53</v>
      </c>
      <c r="S2347">
        <v>10</v>
      </c>
    </row>
    <row r="2348" spans="1:19" x14ac:dyDescent="0.3">
      <c r="A2348" s="1">
        <v>44497</v>
      </c>
      <c r="B2348">
        <v>2021</v>
      </c>
      <c r="C2348" t="s">
        <v>29</v>
      </c>
      <c r="D2348" s="4">
        <v>115680</v>
      </c>
      <c r="E2348" s="2">
        <v>240000</v>
      </c>
      <c r="F2348" t="s">
        <v>30</v>
      </c>
      <c r="G2348" t="s">
        <v>31</v>
      </c>
      <c r="H2348">
        <v>4</v>
      </c>
      <c r="I2348">
        <v>4</v>
      </c>
      <c r="J2348">
        <v>1392</v>
      </c>
      <c r="K2348" s="5">
        <v>1.0234955E-2</v>
      </c>
      <c r="L2348" t="s">
        <v>32</v>
      </c>
      <c r="M2348" s="4">
        <v>124320</v>
      </c>
      <c r="N2348" s="3">
        <v>172.41380000000001</v>
      </c>
      <c r="O2348" t="s">
        <v>22</v>
      </c>
      <c r="P2348" t="s">
        <v>24</v>
      </c>
      <c r="Q2348" t="s">
        <v>34</v>
      </c>
      <c r="R2348" t="s">
        <v>53</v>
      </c>
      <c r="S2348">
        <v>10</v>
      </c>
    </row>
    <row r="2349" spans="1:19" x14ac:dyDescent="0.3">
      <c r="A2349" s="1">
        <v>44498</v>
      </c>
      <c r="B2349">
        <v>2021</v>
      </c>
      <c r="C2349" t="s">
        <v>18</v>
      </c>
      <c r="D2349" s="4">
        <v>67030</v>
      </c>
      <c r="E2349" s="2">
        <v>155000</v>
      </c>
      <c r="F2349" t="s">
        <v>19</v>
      </c>
      <c r="G2349" t="s">
        <v>20</v>
      </c>
      <c r="H2349">
        <v>3</v>
      </c>
      <c r="I2349">
        <v>1</v>
      </c>
      <c r="J2349">
        <v>1015</v>
      </c>
      <c r="K2349" s="5">
        <v>1.0234955E-2</v>
      </c>
      <c r="L2349" t="s">
        <v>27</v>
      </c>
      <c r="M2349" s="4">
        <v>87970</v>
      </c>
      <c r="N2349" s="3">
        <v>152.70939999999999</v>
      </c>
      <c r="O2349" t="s">
        <v>22</v>
      </c>
      <c r="P2349" t="s">
        <v>23</v>
      </c>
      <c r="Q2349" t="s">
        <v>24</v>
      </c>
      <c r="R2349" t="s">
        <v>53</v>
      </c>
      <c r="S2349">
        <v>10</v>
      </c>
    </row>
    <row r="2350" spans="1:19" x14ac:dyDescent="0.3">
      <c r="A2350" s="1">
        <v>44499</v>
      </c>
      <c r="B2350">
        <v>2021</v>
      </c>
      <c r="C2350" t="s">
        <v>29</v>
      </c>
      <c r="D2350" s="4">
        <v>118890</v>
      </c>
      <c r="E2350" s="2">
        <v>175000</v>
      </c>
      <c r="F2350" t="s">
        <v>19</v>
      </c>
      <c r="G2350" t="s">
        <v>20</v>
      </c>
      <c r="H2350">
        <v>3</v>
      </c>
      <c r="I2350">
        <v>3</v>
      </c>
      <c r="J2350">
        <v>1051</v>
      </c>
      <c r="K2350" s="5">
        <v>1.0234955E-2</v>
      </c>
      <c r="L2350" t="s">
        <v>21</v>
      </c>
      <c r="M2350" s="4">
        <v>56110</v>
      </c>
      <c r="N2350" s="3">
        <v>166.50810000000001</v>
      </c>
      <c r="O2350" t="s">
        <v>22</v>
      </c>
      <c r="P2350" t="s">
        <v>23</v>
      </c>
      <c r="Q2350" t="s">
        <v>24</v>
      </c>
      <c r="R2350" t="s">
        <v>53</v>
      </c>
      <c r="S2350">
        <v>10</v>
      </c>
    </row>
    <row r="2351" spans="1:19" x14ac:dyDescent="0.3">
      <c r="A2351" s="1">
        <v>44500</v>
      </c>
      <c r="B2351">
        <v>2021</v>
      </c>
      <c r="C2351" t="s">
        <v>18</v>
      </c>
      <c r="D2351" s="4">
        <v>52050</v>
      </c>
      <c r="E2351" s="2">
        <v>15000</v>
      </c>
      <c r="F2351" t="s">
        <v>36</v>
      </c>
      <c r="G2351" t="s">
        <v>37</v>
      </c>
      <c r="H2351">
        <v>6</v>
      </c>
      <c r="I2351">
        <v>4</v>
      </c>
      <c r="J2351">
        <v>1111.6589814177564</v>
      </c>
      <c r="K2351" s="5">
        <v>1.0234955E-2</v>
      </c>
      <c r="L2351" t="s">
        <v>32</v>
      </c>
      <c r="M2351" s="4">
        <v>-37050</v>
      </c>
      <c r="N2351" s="3">
        <v>13.4933</v>
      </c>
      <c r="O2351" t="s">
        <v>33</v>
      </c>
      <c r="P2351" t="s">
        <v>23</v>
      </c>
      <c r="Q2351" t="s">
        <v>24</v>
      </c>
      <c r="R2351" t="s">
        <v>53</v>
      </c>
      <c r="S2351">
        <v>10</v>
      </c>
    </row>
    <row r="2352" spans="1:19" x14ac:dyDescent="0.3">
      <c r="A2352" s="1">
        <v>44504</v>
      </c>
      <c r="B2352">
        <v>2021</v>
      </c>
      <c r="C2352" t="s">
        <v>29</v>
      </c>
      <c r="D2352" s="4">
        <v>57950</v>
      </c>
      <c r="E2352" s="2">
        <v>32500</v>
      </c>
      <c r="F2352" t="s">
        <v>19</v>
      </c>
      <c r="G2352" t="s">
        <v>20</v>
      </c>
      <c r="H2352">
        <v>3</v>
      </c>
      <c r="I2352">
        <v>1</v>
      </c>
      <c r="J2352">
        <v>1037</v>
      </c>
      <c r="K2352" s="5">
        <v>1.0234955E-2</v>
      </c>
      <c r="L2352" t="s">
        <v>27</v>
      </c>
      <c r="M2352" s="4">
        <v>-25450</v>
      </c>
      <c r="N2352" s="3">
        <v>31.340399999999999</v>
      </c>
      <c r="O2352" t="s">
        <v>33</v>
      </c>
      <c r="P2352" t="s">
        <v>23</v>
      </c>
      <c r="Q2352" t="s">
        <v>24</v>
      </c>
      <c r="R2352" t="s">
        <v>54</v>
      </c>
      <c r="S2352">
        <v>11</v>
      </c>
    </row>
    <row r="2353" spans="1:19" x14ac:dyDescent="0.3">
      <c r="A2353" s="1">
        <v>44505</v>
      </c>
      <c r="B2353">
        <v>2021</v>
      </c>
      <c r="C2353" t="s">
        <v>40</v>
      </c>
      <c r="D2353" s="4">
        <v>308700</v>
      </c>
      <c r="E2353" s="2">
        <v>385000</v>
      </c>
      <c r="F2353" t="s">
        <v>19</v>
      </c>
      <c r="G2353" t="s">
        <v>20</v>
      </c>
      <c r="H2353">
        <v>3</v>
      </c>
      <c r="I2353">
        <v>3</v>
      </c>
      <c r="J2353">
        <v>1099</v>
      </c>
      <c r="K2353" s="5">
        <v>1.0234955E-2</v>
      </c>
      <c r="L2353" t="s">
        <v>27</v>
      </c>
      <c r="M2353" s="4">
        <v>76300</v>
      </c>
      <c r="N2353" s="3">
        <v>350.31849999999997</v>
      </c>
      <c r="O2353" t="s">
        <v>22</v>
      </c>
      <c r="P2353" t="s">
        <v>24</v>
      </c>
      <c r="Q2353" t="s">
        <v>24</v>
      </c>
      <c r="R2353" t="s">
        <v>54</v>
      </c>
      <c r="S2353">
        <v>11</v>
      </c>
    </row>
    <row r="2354" spans="1:19" x14ac:dyDescent="0.3">
      <c r="A2354" s="1">
        <v>44506</v>
      </c>
      <c r="B2354">
        <v>2021</v>
      </c>
      <c r="C2354" t="s">
        <v>40</v>
      </c>
      <c r="D2354" s="4">
        <v>444584.20699999999</v>
      </c>
      <c r="E2354" s="2">
        <v>475000</v>
      </c>
      <c r="F2354" t="s">
        <v>19</v>
      </c>
      <c r="G2354" t="s">
        <v>20</v>
      </c>
      <c r="H2354">
        <v>3</v>
      </c>
      <c r="I2354">
        <v>1</v>
      </c>
      <c r="J2354">
        <v>1096</v>
      </c>
      <c r="K2354" s="5">
        <v>1.0234955E-2</v>
      </c>
      <c r="L2354" t="s">
        <v>32</v>
      </c>
      <c r="M2354" s="4">
        <v>30415.793000000001</v>
      </c>
      <c r="N2354" s="3">
        <v>433.39420000000001</v>
      </c>
      <c r="O2354" t="s">
        <v>22</v>
      </c>
      <c r="P2354" t="s">
        <v>24</v>
      </c>
      <c r="Q2354" t="s">
        <v>24</v>
      </c>
      <c r="R2354" t="s">
        <v>54</v>
      </c>
      <c r="S2354">
        <v>11</v>
      </c>
    </row>
    <row r="2355" spans="1:19" x14ac:dyDescent="0.3">
      <c r="A2355" s="1">
        <v>44507</v>
      </c>
      <c r="B2355">
        <v>2021</v>
      </c>
      <c r="C2355" t="s">
        <v>18</v>
      </c>
      <c r="D2355" s="4">
        <v>221410</v>
      </c>
      <c r="E2355" s="2">
        <v>282000</v>
      </c>
      <c r="F2355" t="s">
        <v>19</v>
      </c>
      <c r="G2355" t="s">
        <v>20</v>
      </c>
      <c r="H2355">
        <v>3</v>
      </c>
      <c r="I2355">
        <v>1</v>
      </c>
      <c r="J2355">
        <v>1111.6589814177564</v>
      </c>
      <c r="K2355" s="5">
        <v>1.0234955E-2</v>
      </c>
      <c r="L2355" t="s">
        <v>38</v>
      </c>
      <c r="M2355" s="4">
        <v>60590</v>
      </c>
      <c r="N2355" s="3">
        <v>253.67490000000001</v>
      </c>
      <c r="O2355" t="s">
        <v>22</v>
      </c>
      <c r="P2355" t="s">
        <v>24</v>
      </c>
      <c r="Q2355" t="s">
        <v>24</v>
      </c>
      <c r="R2355" t="s">
        <v>54</v>
      </c>
      <c r="S2355">
        <v>11</v>
      </c>
    </row>
    <row r="2356" spans="1:19" x14ac:dyDescent="0.3">
      <c r="A2356" s="1">
        <v>44508</v>
      </c>
      <c r="B2356">
        <v>2021</v>
      </c>
      <c r="C2356" t="s">
        <v>29</v>
      </c>
      <c r="D2356" s="4">
        <v>120150</v>
      </c>
      <c r="E2356" s="2">
        <v>225225</v>
      </c>
      <c r="F2356" t="s">
        <v>36</v>
      </c>
      <c r="G2356" t="s">
        <v>37</v>
      </c>
      <c r="H2356">
        <v>6</v>
      </c>
      <c r="I2356">
        <v>6</v>
      </c>
      <c r="J2356">
        <v>2097</v>
      </c>
      <c r="K2356" s="5">
        <v>1.0234955E-2</v>
      </c>
      <c r="L2356" t="s">
        <v>38</v>
      </c>
      <c r="M2356" s="4">
        <v>105075</v>
      </c>
      <c r="N2356" s="3">
        <v>107.4034</v>
      </c>
      <c r="O2356" t="s">
        <v>22</v>
      </c>
      <c r="P2356" t="s">
        <v>24</v>
      </c>
      <c r="Q2356" t="s">
        <v>34</v>
      </c>
      <c r="R2356" t="s">
        <v>54</v>
      </c>
      <c r="S2356">
        <v>11</v>
      </c>
    </row>
    <row r="2357" spans="1:19" x14ac:dyDescent="0.3">
      <c r="A2357" s="1">
        <v>44512</v>
      </c>
      <c r="B2357">
        <v>2021</v>
      </c>
      <c r="C2357" t="s">
        <v>52</v>
      </c>
      <c r="D2357" s="4">
        <v>444584.20699999999</v>
      </c>
      <c r="E2357" s="2">
        <v>419500</v>
      </c>
      <c r="F2357" t="s">
        <v>30</v>
      </c>
      <c r="G2357" t="s">
        <v>31</v>
      </c>
      <c r="H2357">
        <v>4</v>
      </c>
      <c r="I2357">
        <v>4</v>
      </c>
      <c r="J2357">
        <v>1350</v>
      </c>
      <c r="K2357" s="5">
        <v>1.0234955E-2</v>
      </c>
      <c r="L2357" t="s">
        <v>38</v>
      </c>
      <c r="M2357" s="4">
        <v>-25084.206999999999</v>
      </c>
      <c r="N2357" s="3">
        <v>310.7407</v>
      </c>
      <c r="O2357" t="s">
        <v>33</v>
      </c>
      <c r="P2357" t="s">
        <v>24</v>
      </c>
      <c r="Q2357" t="s">
        <v>34</v>
      </c>
      <c r="R2357" t="s">
        <v>54</v>
      </c>
      <c r="S2357">
        <v>11</v>
      </c>
    </row>
    <row r="2358" spans="1:19" x14ac:dyDescent="0.3">
      <c r="A2358" s="1">
        <v>44513</v>
      </c>
      <c r="B2358">
        <v>2021</v>
      </c>
      <c r="C2358" t="s">
        <v>29</v>
      </c>
      <c r="D2358" s="4">
        <v>130250</v>
      </c>
      <c r="E2358" s="2">
        <v>268000</v>
      </c>
      <c r="F2358" t="s">
        <v>19</v>
      </c>
      <c r="G2358" t="s">
        <v>20</v>
      </c>
      <c r="H2358">
        <v>3</v>
      </c>
      <c r="I2358">
        <v>3</v>
      </c>
      <c r="J2358">
        <v>1013</v>
      </c>
      <c r="K2358" s="5">
        <v>1.0234955E-2</v>
      </c>
      <c r="L2358" t="s">
        <v>38</v>
      </c>
      <c r="M2358" s="4">
        <v>137750</v>
      </c>
      <c r="N2358" s="3">
        <v>264.5607</v>
      </c>
      <c r="O2358" t="s">
        <v>22</v>
      </c>
      <c r="P2358" t="s">
        <v>24</v>
      </c>
      <c r="Q2358" t="s">
        <v>24</v>
      </c>
      <c r="R2358" t="s">
        <v>54</v>
      </c>
      <c r="S2358">
        <v>11</v>
      </c>
    </row>
    <row r="2359" spans="1:19" x14ac:dyDescent="0.3">
      <c r="A2359" s="1">
        <v>44515</v>
      </c>
      <c r="B2359">
        <v>2021</v>
      </c>
      <c r="C2359" t="s">
        <v>40</v>
      </c>
      <c r="D2359" s="4">
        <v>120980</v>
      </c>
      <c r="E2359" s="2">
        <v>240000</v>
      </c>
      <c r="F2359" t="s">
        <v>30</v>
      </c>
      <c r="G2359" t="s">
        <v>31</v>
      </c>
      <c r="H2359">
        <v>4</v>
      </c>
      <c r="I2359">
        <v>2</v>
      </c>
      <c r="J2359">
        <v>1111.6589814177564</v>
      </c>
      <c r="K2359" s="5">
        <v>1.0234955E-2</v>
      </c>
      <c r="L2359" t="s">
        <v>32</v>
      </c>
      <c r="M2359" s="4">
        <v>119020</v>
      </c>
      <c r="N2359" s="3">
        <v>215.89349999999999</v>
      </c>
      <c r="O2359" t="s">
        <v>22</v>
      </c>
      <c r="P2359" t="s">
        <v>24</v>
      </c>
      <c r="Q2359" t="s">
        <v>24</v>
      </c>
      <c r="R2359" t="s">
        <v>54</v>
      </c>
      <c r="S2359">
        <v>11</v>
      </c>
    </row>
    <row r="2360" spans="1:19" x14ac:dyDescent="0.3">
      <c r="A2360" s="1">
        <v>44518</v>
      </c>
      <c r="B2360">
        <v>2021</v>
      </c>
      <c r="C2360" t="s">
        <v>56</v>
      </c>
      <c r="D2360" s="4">
        <v>388440</v>
      </c>
      <c r="E2360" s="2">
        <v>635000</v>
      </c>
      <c r="F2360" t="s">
        <v>19</v>
      </c>
      <c r="G2360" t="s">
        <v>20</v>
      </c>
      <c r="H2360">
        <v>3</v>
      </c>
      <c r="I2360">
        <v>1</v>
      </c>
      <c r="J2360">
        <v>931</v>
      </c>
      <c r="K2360" s="5">
        <v>1.0234955E-2</v>
      </c>
      <c r="L2360" t="s">
        <v>32</v>
      </c>
      <c r="M2360" s="4">
        <v>246560</v>
      </c>
      <c r="N2360" s="3">
        <v>682.06230000000005</v>
      </c>
      <c r="O2360" t="s">
        <v>22</v>
      </c>
      <c r="P2360" t="s">
        <v>28</v>
      </c>
      <c r="Q2360" t="s">
        <v>24</v>
      </c>
      <c r="R2360" t="s">
        <v>54</v>
      </c>
      <c r="S2360">
        <v>11</v>
      </c>
    </row>
    <row r="2361" spans="1:19" x14ac:dyDescent="0.3">
      <c r="A2361" s="1">
        <v>44519</v>
      </c>
      <c r="B2361">
        <v>2021</v>
      </c>
      <c r="C2361" t="s">
        <v>26</v>
      </c>
      <c r="D2361" s="4">
        <v>235400</v>
      </c>
      <c r="E2361" s="2">
        <v>375000</v>
      </c>
      <c r="F2361" t="s">
        <v>19</v>
      </c>
      <c r="G2361" t="s">
        <v>20</v>
      </c>
      <c r="H2361">
        <v>3</v>
      </c>
      <c r="I2361">
        <v>3</v>
      </c>
      <c r="J2361">
        <v>951</v>
      </c>
      <c r="K2361" s="5">
        <v>1.0234955E-2</v>
      </c>
      <c r="L2361" t="s">
        <v>27</v>
      </c>
      <c r="M2361" s="4">
        <v>139600</v>
      </c>
      <c r="N2361" s="3">
        <v>394.3218</v>
      </c>
      <c r="O2361" t="s">
        <v>22</v>
      </c>
      <c r="P2361" t="s">
        <v>24</v>
      </c>
      <c r="Q2361" t="s">
        <v>24</v>
      </c>
      <c r="R2361" t="s">
        <v>54</v>
      </c>
      <c r="S2361">
        <v>11</v>
      </c>
    </row>
    <row r="2362" spans="1:19" x14ac:dyDescent="0.3">
      <c r="A2362" s="1">
        <v>44520</v>
      </c>
      <c r="B2362">
        <v>2021</v>
      </c>
      <c r="C2362" t="s">
        <v>39</v>
      </c>
      <c r="D2362" s="4">
        <v>734720</v>
      </c>
      <c r="E2362" s="2">
        <v>735000</v>
      </c>
      <c r="F2362" t="s">
        <v>19</v>
      </c>
      <c r="G2362" t="s">
        <v>20</v>
      </c>
      <c r="H2362">
        <v>3</v>
      </c>
      <c r="I2362">
        <v>3</v>
      </c>
      <c r="J2362">
        <v>1044</v>
      </c>
      <c r="K2362" s="5">
        <v>1.0234955E-2</v>
      </c>
      <c r="L2362" t="s">
        <v>21</v>
      </c>
      <c r="M2362" s="4">
        <v>280</v>
      </c>
      <c r="N2362" s="3">
        <v>704.02300000000002</v>
      </c>
      <c r="O2362" t="s">
        <v>22</v>
      </c>
      <c r="P2362" t="s">
        <v>28</v>
      </c>
      <c r="Q2362" t="s">
        <v>24</v>
      </c>
      <c r="R2362" t="s">
        <v>54</v>
      </c>
      <c r="S2362">
        <v>11</v>
      </c>
    </row>
    <row r="2363" spans="1:19" x14ac:dyDescent="0.3">
      <c r="A2363" s="1">
        <v>44521</v>
      </c>
      <c r="B2363">
        <v>2021</v>
      </c>
      <c r="C2363" t="s">
        <v>18</v>
      </c>
      <c r="D2363" s="4">
        <v>444584.20699999999</v>
      </c>
      <c r="E2363" s="2">
        <v>55000</v>
      </c>
      <c r="F2363" t="s">
        <v>36</v>
      </c>
      <c r="G2363" t="s">
        <v>37</v>
      </c>
      <c r="H2363">
        <v>6</v>
      </c>
      <c r="I2363">
        <v>4</v>
      </c>
      <c r="J2363">
        <v>1957</v>
      </c>
      <c r="K2363" s="5">
        <v>1.0234955E-2</v>
      </c>
      <c r="L2363" t="s">
        <v>32</v>
      </c>
      <c r="M2363" s="4">
        <v>-389584.20699999999</v>
      </c>
      <c r="N2363" s="3">
        <v>28.104199999999999</v>
      </c>
      <c r="O2363" t="s">
        <v>33</v>
      </c>
      <c r="P2363" t="s">
        <v>23</v>
      </c>
      <c r="Q2363" t="s">
        <v>34</v>
      </c>
      <c r="R2363" t="s">
        <v>54</v>
      </c>
      <c r="S2363">
        <v>11</v>
      </c>
    </row>
    <row r="2364" spans="1:19" x14ac:dyDescent="0.3">
      <c r="A2364" s="1">
        <v>44522</v>
      </c>
      <c r="B2364">
        <v>2021</v>
      </c>
      <c r="C2364" t="s">
        <v>39</v>
      </c>
      <c r="D2364" s="4">
        <v>348810</v>
      </c>
      <c r="E2364" s="2">
        <v>385000</v>
      </c>
      <c r="F2364" t="s">
        <v>19</v>
      </c>
      <c r="G2364" t="s">
        <v>20</v>
      </c>
      <c r="H2364">
        <v>3</v>
      </c>
      <c r="I2364">
        <v>3</v>
      </c>
      <c r="J2364">
        <v>1111.6589814177564</v>
      </c>
      <c r="K2364" s="5">
        <v>1.0234955E-2</v>
      </c>
      <c r="L2364" t="s">
        <v>21</v>
      </c>
      <c r="M2364" s="4">
        <v>36190</v>
      </c>
      <c r="N2364" s="3">
        <v>346.32920000000001</v>
      </c>
      <c r="O2364" t="s">
        <v>22</v>
      </c>
      <c r="P2364" t="s">
        <v>24</v>
      </c>
      <c r="Q2364" t="s">
        <v>24</v>
      </c>
      <c r="R2364" t="s">
        <v>54</v>
      </c>
      <c r="S2364">
        <v>11</v>
      </c>
    </row>
    <row r="2365" spans="1:19" x14ac:dyDescent="0.3">
      <c r="A2365" s="1">
        <v>44525</v>
      </c>
      <c r="B2365">
        <v>2021</v>
      </c>
      <c r="C2365" t="s">
        <v>56</v>
      </c>
      <c r="D2365" s="4">
        <v>503930</v>
      </c>
      <c r="E2365" s="2">
        <v>652222</v>
      </c>
      <c r="F2365" t="s">
        <v>19</v>
      </c>
      <c r="G2365" t="s">
        <v>20</v>
      </c>
      <c r="H2365">
        <v>3</v>
      </c>
      <c r="I2365">
        <v>1</v>
      </c>
      <c r="J2365">
        <v>1089</v>
      </c>
      <c r="K2365" s="5">
        <v>1.0234955E-2</v>
      </c>
      <c r="L2365" t="s">
        <v>38</v>
      </c>
      <c r="M2365" s="4">
        <v>148292</v>
      </c>
      <c r="N2365" s="3">
        <v>598.91830000000004</v>
      </c>
      <c r="O2365" t="s">
        <v>22</v>
      </c>
      <c r="P2365" t="s">
        <v>28</v>
      </c>
      <c r="Q2365" t="s">
        <v>24</v>
      </c>
      <c r="R2365" t="s">
        <v>54</v>
      </c>
      <c r="S2365">
        <v>11</v>
      </c>
    </row>
    <row r="2366" spans="1:19" x14ac:dyDescent="0.3">
      <c r="A2366" s="1">
        <v>44526</v>
      </c>
      <c r="B2366">
        <v>2021</v>
      </c>
      <c r="C2366" t="s">
        <v>40</v>
      </c>
      <c r="D2366" s="4">
        <v>444584.20699999999</v>
      </c>
      <c r="E2366" s="2">
        <v>57000</v>
      </c>
      <c r="F2366" t="s">
        <v>19</v>
      </c>
      <c r="G2366" t="s">
        <v>20</v>
      </c>
      <c r="H2366">
        <v>3</v>
      </c>
      <c r="I2366">
        <v>2</v>
      </c>
      <c r="J2366">
        <v>1031</v>
      </c>
      <c r="K2366" s="5">
        <v>1.0234955E-2</v>
      </c>
      <c r="L2366" t="s">
        <v>32</v>
      </c>
      <c r="M2366" s="4">
        <v>-387584.20699999999</v>
      </c>
      <c r="N2366" s="3">
        <v>55.286099999999998</v>
      </c>
      <c r="O2366" t="s">
        <v>33</v>
      </c>
      <c r="P2366" t="s">
        <v>23</v>
      </c>
      <c r="Q2366" t="s">
        <v>24</v>
      </c>
      <c r="R2366" t="s">
        <v>54</v>
      </c>
      <c r="S2366">
        <v>11</v>
      </c>
    </row>
    <row r="2367" spans="1:19" x14ac:dyDescent="0.3">
      <c r="A2367" s="1">
        <v>44527</v>
      </c>
      <c r="B2367">
        <v>2021</v>
      </c>
      <c r="C2367" t="s">
        <v>29</v>
      </c>
      <c r="D2367" s="4">
        <v>84650</v>
      </c>
      <c r="E2367" s="2">
        <v>150000</v>
      </c>
      <c r="F2367" t="s">
        <v>30</v>
      </c>
      <c r="G2367" t="s">
        <v>31</v>
      </c>
      <c r="H2367">
        <v>4</v>
      </c>
      <c r="I2367">
        <v>2</v>
      </c>
      <c r="J2367">
        <v>1290</v>
      </c>
      <c r="K2367" s="5">
        <v>1.0234955E-2</v>
      </c>
      <c r="L2367" t="s">
        <v>27</v>
      </c>
      <c r="M2367" s="4">
        <v>65350</v>
      </c>
      <c r="N2367" s="3">
        <v>116.2791</v>
      </c>
      <c r="O2367" t="s">
        <v>22</v>
      </c>
      <c r="P2367" t="s">
        <v>23</v>
      </c>
      <c r="Q2367" t="s">
        <v>24</v>
      </c>
      <c r="R2367" t="s">
        <v>54</v>
      </c>
      <c r="S2367">
        <v>11</v>
      </c>
    </row>
    <row r="2368" spans="1:19" x14ac:dyDescent="0.3">
      <c r="A2368" s="1">
        <v>44532</v>
      </c>
      <c r="B2368">
        <v>2021</v>
      </c>
      <c r="C2368" t="s">
        <v>52</v>
      </c>
      <c r="D2368" s="4">
        <v>170800</v>
      </c>
      <c r="E2368" s="2">
        <v>358500</v>
      </c>
      <c r="F2368" t="s">
        <v>19</v>
      </c>
      <c r="G2368" t="s">
        <v>20</v>
      </c>
      <c r="H2368">
        <v>3</v>
      </c>
      <c r="I2368">
        <v>2</v>
      </c>
      <c r="J2368">
        <v>1066</v>
      </c>
      <c r="K2368" s="5">
        <v>1.0234955E-2</v>
      </c>
      <c r="L2368" t="s">
        <v>32</v>
      </c>
      <c r="M2368" s="4">
        <v>187700</v>
      </c>
      <c r="N2368" s="3">
        <v>336.3039</v>
      </c>
      <c r="O2368" t="s">
        <v>22</v>
      </c>
      <c r="P2368" t="s">
        <v>24</v>
      </c>
      <c r="Q2368" t="s">
        <v>24</v>
      </c>
      <c r="R2368" t="s">
        <v>55</v>
      </c>
      <c r="S2368">
        <v>12</v>
      </c>
    </row>
    <row r="2369" spans="1:19" x14ac:dyDescent="0.3">
      <c r="A2369" s="1">
        <v>44533</v>
      </c>
      <c r="B2369">
        <v>2021</v>
      </c>
      <c r="C2369" t="s">
        <v>40</v>
      </c>
      <c r="D2369" s="4">
        <v>211120</v>
      </c>
      <c r="E2369" s="2">
        <v>330525</v>
      </c>
      <c r="F2369" t="s">
        <v>30</v>
      </c>
      <c r="G2369" t="s">
        <v>31</v>
      </c>
      <c r="H2369">
        <v>4</v>
      </c>
      <c r="I2369">
        <v>2</v>
      </c>
      <c r="J2369">
        <v>1111.6589814177564</v>
      </c>
      <c r="K2369" s="5">
        <v>1.0234955E-2</v>
      </c>
      <c r="L2369" t="s">
        <v>21</v>
      </c>
      <c r="M2369" s="4">
        <v>119405</v>
      </c>
      <c r="N2369" s="3">
        <v>297.32589999999999</v>
      </c>
      <c r="O2369" t="s">
        <v>22</v>
      </c>
      <c r="P2369" t="s">
        <v>24</v>
      </c>
      <c r="Q2369" t="s">
        <v>24</v>
      </c>
      <c r="R2369" t="s">
        <v>55</v>
      </c>
      <c r="S2369">
        <v>12</v>
      </c>
    </row>
    <row r="2370" spans="1:19" x14ac:dyDescent="0.3">
      <c r="A2370" s="1">
        <v>44534</v>
      </c>
      <c r="B2370">
        <v>2021</v>
      </c>
      <c r="C2370" t="s">
        <v>40</v>
      </c>
      <c r="D2370" s="4">
        <v>76710</v>
      </c>
      <c r="E2370" s="2">
        <v>168500</v>
      </c>
      <c r="F2370" t="s">
        <v>19</v>
      </c>
      <c r="G2370" t="s">
        <v>20</v>
      </c>
      <c r="H2370">
        <v>3</v>
      </c>
      <c r="I2370">
        <v>3</v>
      </c>
      <c r="J2370">
        <v>1067</v>
      </c>
      <c r="K2370" s="5">
        <v>1.0234955E-2</v>
      </c>
      <c r="L2370" t="s">
        <v>21</v>
      </c>
      <c r="M2370" s="4">
        <v>91790</v>
      </c>
      <c r="N2370" s="3">
        <v>157.9194</v>
      </c>
      <c r="O2370" t="s">
        <v>22</v>
      </c>
      <c r="P2370" t="s">
        <v>23</v>
      </c>
      <c r="Q2370" t="s">
        <v>24</v>
      </c>
      <c r="R2370" t="s">
        <v>55</v>
      </c>
      <c r="S2370">
        <v>12</v>
      </c>
    </row>
    <row r="2371" spans="1:19" x14ac:dyDescent="0.3">
      <c r="A2371" s="1">
        <v>44535</v>
      </c>
      <c r="B2371">
        <v>2021</v>
      </c>
      <c r="C2371" t="s">
        <v>29</v>
      </c>
      <c r="D2371" s="4">
        <v>120940</v>
      </c>
      <c r="E2371" s="2">
        <v>288000</v>
      </c>
      <c r="F2371" t="s">
        <v>30</v>
      </c>
      <c r="G2371" t="s">
        <v>31</v>
      </c>
      <c r="H2371">
        <v>4</v>
      </c>
      <c r="I2371">
        <v>2</v>
      </c>
      <c r="J2371">
        <v>1209</v>
      </c>
      <c r="K2371" s="5">
        <v>1.0234955E-2</v>
      </c>
      <c r="L2371" t="s">
        <v>27</v>
      </c>
      <c r="M2371" s="4">
        <v>167060</v>
      </c>
      <c r="N2371" s="3">
        <v>238.21340000000001</v>
      </c>
      <c r="O2371" t="s">
        <v>22</v>
      </c>
      <c r="P2371" t="s">
        <v>24</v>
      </c>
      <c r="Q2371" t="s">
        <v>24</v>
      </c>
      <c r="R2371" t="s">
        <v>55</v>
      </c>
      <c r="S2371">
        <v>12</v>
      </c>
    </row>
    <row r="2372" spans="1:19" x14ac:dyDescent="0.3">
      <c r="A2372" s="1">
        <v>44536</v>
      </c>
      <c r="B2372">
        <v>2021</v>
      </c>
      <c r="C2372" t="s">
        <v>40</v>
      </c>
      <c r="D2372" s="4">
        <v>347680</v>
      </c>
      <c r="E2372" s="2">
        <v>545000</v>
      </c>
      <c r="F2372" t="s">
        <v>19</v>
      </c>
      <c r="G2372" t="s">
        <v>20</v>
      </c>
      <c r="H2372">
        <v>3</v>
      </c>
      <c r="I2372">
        <v>1</v>
      </c>
      <c r="J2372">
        <v>975</v>
      </c>
      <c r="K2372" s="5">
        <v>1.0234955E-2</v>
      </c>
      <c r="L2372" t="s">
        <v>38</v>
      </c>
      <c r="M2372" s="4">
        <v>197320</v>
      </c>
      <c r="N2372" s="3">
        <v>558.97439999999995</v>
      </c>
      <c r="O2372" t="s">
        <v>22</v>
      </c>
      <c r="P2372" t="s">
        <v>24</v>
      </c>
      <c r="Q2372" t="s">
        <v>24</v>
      </c>
      <c r="R2372" t="s">
        <v>55</v>
      </c>
      <c r="S2372">
        <v>12</v>
      </c>
    </row>
    <row r="2373" spans="1:19" x14ac:dyDescent="0.3">
      <c r="A2373" s="1">
        <v>44539</v>
      </c>
      <c r="B2373">
        <v>2021</v>
      </c>
      <c r="C2373" t="s">
        <v>18</v>
      </c>
      <c r="D2373" s="4">
        <v>38480</v>
      </c>
      <c r="E2373" s="2">
        <v>120000</v>
      </c>
      <c r="F2373" t="s">
        <v>36</v>
      </c>
      <c r="G2373" t="s">
        <v>37</v>
      </c>
      <c r="H2373">
        <v>6</v>
      </c>
      <c r="I2373">
        <v>4</v>
      </c>
      <c r="J2373">
        <v>2137</v>
      </c>
      <c r="K2373" s="5">
        <v>1.0234955E-2</v>
      </c>
      <c r="L2373" t="s">
        <v>21</v>
      </c>
      <c r="M2373" s="4">
        <v>81520</v>
      </c>
      <c r="N2373" s="3">
        <v>56.153500000000001</v>
      </c>
      <c r="O2373" t="s">
        <v>22</v>
      </c>
      <c r="P2373" t="s">
        <v>23</v>
      </c>
      <c r="Q2373" t="s">
        <v>34</v>
      </c>
      <c r="R2373" t="s">
        <v>55</v>
      </c>
      <c r="S2373">
        <v>12</v>
      </c>
    </row>
    <row r="2374" spans="1:19" x14ac:dyDescent="0.3">
      <c r="A2374" s="1">
        <v>44540</v>
      </c>
      <c r="B2374">
        <v>2021</v>
      </c>
      <c r="C2374" t="s">
        <v>40</v>
      </c>
      <c r="D2374" s="4">
        <v>405210</v>
      </c>
      <c r="E2374" s="2">
        <v>450000</v>
      </c>
      <c r="F2374" t="s">
        <v>19</v>
      </c>
      <c r="G2374" t="s">
        <v>20</v>
      </c>
      <c r="H2374">
        <v>3</v>
      </c>
      <c r="I2374">
        <v>1</v>
      </c>
      <c r="J2374">
        <v>980</v>
      </c>
      <c r="K2374" s="5">
        <v>1.0234955E-2</v>
      </c>
      <c r="L2374" t="s">
        <v>38</v>
      </c>
      <c r="M2374" s="4">
        <v>44790</v>
      </c>
      <c r="N2374" s="3">
        <v>459.18369999999999</v>
      </c>
      <c r="O2374" t="s">
        <v>22</v>
      </c>
      <c r="P2374" t="s">
        <v>24</v>
      </c>
      <c r="Q2374" t="s">
        <v>24</v>
      </c>
      <c r="R2374" t="s">
        <v>55</v>
      </c>
      <c r="S2374">
        <v>12</v>
      </c>
    </row>
    <row r="2375" spans="1:19" x14ac:dyDescent="0.3">
      <c r="A2375" s="1">
        <v>44541</v>
      </c>
      <c r="B2375">
        <v>2021</v>
      </c>
      <c r="C2375" t="s">
        <v>18</v>
      </c>
      <c r="D2375" s="4">
        <v>444584.20699999999</v>
      </c>
      <c r="E2375" s="2">
        <v>90000</v>
      </c>
      <c r="F2375" t="s">
        <v>36</v>
      </c>
      <c r="G2375" t="s">
        <v>37</v>
      </c>
      <c r="H2375">
        <v>6</v>
      </c>
      <c r="I2375">
        <v>4</v>
      </c>
      <c r="J2375">
        <v>1826</v>
      </c>
      <c r="K2375" s="5">
        <v>1.0234955E-2</v>
      </c>
      <c r="L2375" t="s">
        <v>32</v>
      </c>
      <c r="M2375" s="4">
        <v>-354584.20699999999</v>
      </c>
      <c r="N2375" s="3">
        <v>49.2881</v>
      </c>
      <c r="O2375" t="s">
        <v>33</v>
      </c>
      <c r="P2375" t="s">
        <v>23</v>
      </c>
      <c r="Q2375" t="s">
        <v>34</v>
      </c>
      <c r="R2375" t="s">
        <v>55</v>
      </c>
      <c r="S2375">
        <v>12</v>
      </c>
    </row>
    <row r="2376" spans="1:19" x14ac:dyDescent="0.3">
      <c r="A2376" s="1">
        <v>44542</v>
      </c>
      <c r="B2376">
        <v>2021</v>
      </c>
      <c r="C2376" t="s">
        <v>56</v>
      </c>
      <c r="D2376" s="4">
        <v>808260</v>
      </c>
      <c r="E2376" s="2">
        <v>875000</v>
      </c>
      <c r="F2376" t="s">
        <v>19</v>
      </c>
      <c r="G2376" t="s">
        <v>20</v>
      </c>
      <c r="H2376">
        <v>3</v>
      </c>
      <c r="I2376">
        <v>2</v>
      </c>
      <c r="J2376">
        <v>900</v>
      </c>
      <c r="K2376" s="5">
        <v>1.0234955E-2</v>
      </c>
      <c r="L2376" t="s">
        <v>21</v>
      </c>
      <c r="M2376" s="4">
        <v>66740</v>
      </c>
      <c r="N2376" s="3">
        <v>972.22220000000004</v>
      </c>
      <c r="O2376" t="s">
        <v>22</v>
      </c>
      <c r="P2376" t="s">
        <v>28</v>
      </c>
      <c r="Q2376" t="s">
        <v>24</v>
      </c>
      <c r="R2376" t="s">
        <v>55</v>
      </c>
      <c r="S2376">
        <v>12</v>
      </c>
    </row>
    <row r="2377" spans="1:19" x14ac:dyDescent="0.3">
      <c r="A2377" s="1">
        <v>44547</v>
      </c>
      <c r="B2377">
        <v>2021</v>
      </c>
      <c r="C2377" t="s">
        <v>40</v>
      </c>
      <c r="D2377" s="4">
        <v>656740</v>
      </c>
      <c r="E2377" s="2">
        <v>850000</v>
      </c>
      <c r="F2377" t="s">
        <v>19</v>
      </c>
      <c r="G2377" t="s">
        <v>20</v>
      </c>
      <c r="H2377">
        <v>3</v>
      </c>
      <c r="I2377">
        <v>2</v>
      </c>
      <c r="J2377">
        <v>977</v>
      </c>
      <c r="K2377" s="5">
        <v>1.0234955E-2</v>
      </c>
      <c r="L2377" t="s">
        <v>38</v>
      </c>
      <c r="M2377" s="4">
        <v>193260</v>
      </c>
      <c r="N2377" s="3">
        <v>870.01020000000005</v>
      </c>
      <c r="O2377" t="s">
        <v>22</v>
      </c>
      <c r="P2377" t="s">
        <v>28</v>
      </c>
      <c r="Q2377" t="s">
        <v>24</v>
      </c>
      <c r="R2377" t="s">
        <v>55</v>
      </c>
      <c r="S2377">
        <v>12</v>
      </c>
    </row>
    <row r="2378" spans="1:19" x14ac:dyDescent="0.3">
      <c r="A2378" s="1">
        <v>44548</v>
      </c>
      <c r="B2378">
        <v>2021</v>
      </c>
      <c r="C2378" t="s">
        <v>29</v>
      </c>
      <c r="D2378" s="4">
        <v>176350</v>
      </c>
      <c r="E2378" s="2">
        <v>220000</v>
      </c>
      <c r="F2378" t="s">
        <v>19</v>
      </c>
      <c r="G2378" t="s">
        <v>20</v>
      </c>
      <c r="H2378">
        <v>3</v>
      </c>
      <c r="I2378">
        <v>3</v>
      </c>
      <c r="J2378">
        <v>1077</v>
      </c>
      <c r="K2378" s="5">
        <v>1.0234955E-2</v>
      </c>
      <c r="L2378" t="s">
        <v>32</v>
      </c>
      <c r="M2378" s="4">
        <v>43650</v>
      </c>
      <c r="N2378" s="3">
        <v>204.27109999999999</v>
      </c>
      <c r="O2378" t="s">
        <v>22</v>
      </c>
      <c r="P2378" t="s">
        <v>24</v>
      </c>
      <c r="Q2378" t="s">
        <v>24</v>
      </c>
      <c r="R2378" t="s">
        <v>55</v>
      </c>
      <c r="S2378">
        <v>12</v>
      </c>
    </row>
    <row r="2379" spans="1:19" x14ac:dyDescent="0.3">
      <c r="A2379" s="1">
        <v>44549</v>
      </c>
      <c r="B2379">
        <v>2021</v>
      </c>
      <c r="C2379" t="s">
        <v>18</v>
      </c>
      <c r="D2379" s="4">
        <v>65900</v>
      </c>
      <c r="E2379" s="2">
        <v>100000</v>
      </c>
      <c r="F2379" t="s">
        <v>19</v>
      </c>
      <c r="G2379" t="s">
        <v>20</v>
      </c>
      <c r="H2379">
        <v>3</v>
      </c>
      <c r="I2379">
        <v>2</v>
      </c>
      <c r="J2379">
        <v>1111.6589814177564</v>
      </c>
      <c r="K2379" s="5">
        <v>1.0234955E-2</v>
      </c>
      <c r="L2379" t="s">
        <v>32</v>
      </c>
      <c r="M2379" s="4">
        <v>34100</v>
      </c>
      <c r="N2379" s="3">
        <v>89.955600000000004</v>
      </c>
      <c r="O2379" t="s">
        <v>22</v>
      </c>
      <c r="P2379" t="s">
        <v>23</v>
      </c>
      <c r="Q2379" t="s">
        <v>24</v>
      </c>
      <c r="R2379" t="s">
        <v>55</v>
      </c>
      <c r="S2379">
        <v>12</v>
      </c>
    </row>
    <row r="2380" spans="1:19" x14ac:dyDescent="0.3">
      <c r="A2380" s="1">
        <v>44550</v>
      </c>
      <c r="B2380">
        <v>2021</v>
      </c>
      <c r="C2380" t="s">
        <v>52</v>
      </c>
      <c r="D2380" s="4">
        <v>194040</v>
      </c>
      <c r="E2380" s="2">
        <v>205000</v>
      </c>
      <c r="F2380" t="s">
        <v>19</v>
      </c>
      <c r="G2380" t="s">
        <v>20</v>
      </c>
      <c r="H2380">
        <v>3</v>
      </c>
      <c r="I2380">
        <v>2</v>
      </c>
      <c r="J2380">
        <v>996</v>
      </c>
      <c r="K2380" s="5">
        <v>1.0234955E-2</v>
      </c>
      <c r="L2380" t="s">
        <v>32</v>
      </c>
      <c r="M2380" s="4">
        <v>10960</v>
      </c>
      <c r="N2380" s="3">
        <v>205.82329999999999</v>
      </c>
      <c r="O2380" t="s">
        <v>22</v>
      </c>
      <c r="P2380" t="s">
        <v>24</v>
      </c>
      <c r="Q2380" t="s">
        <v>24</v>
      </c>
      <c r="R2380" t="s">
        <v>55</v>
      </c>
      <c r="S2380">
        <v>12</v>
      </c>
    </row>
    <row r="2381" spans="1:19" x14ac:dyDescent="0.3">
      <c r="A2381" s="1">
        <v>44553</v>
      </c>
      <c r="B2381">
        <v>2021</v>
      </c>
      <c r="C2381" t="s">
        <v>26</v>
      </c>
      <c r="D2381" s="4">
        <v>219400</v>
      </c>
      <c r="E2381" s="2">
        <v>360000</v>
      </c>
      <c r="F2381" t="s">
        <v>19</v>
      </c>
      <c r="G2381" t="s">
        <v>20</v>
      </c>
      <c r="H2381">
        <v>3</v>
      </c>
      <c r="I2381">
        <v>3</v>
      </c>
      <c r="J2381">
        <v>1007</v>
      </c>
      <c r="K2381" s="5">
        <v>1.0234955E-2</v>
      </c>
      <c r="L2381" t="s">
        <v>27</v>
      </c>
      <c r="M2381" s="4">
        <v>140600</v>
      </c>
      <c r="N2381" s="3">
        <v>357.4975</v>
      </c>
      <c r="O2381" t="s">
        <v>22</v>
      </c>
      <c r="P2381" t="s">
        <v>24</v>
      </c>
      <c r="Q2381" t="s">
        <v>24</v>
      </c>
      <c r="R2381" t="s">
        <v>55</v>
      </c>
      <c r="S2381">
        <v>12</v>
      </c>
    </row>
    <row r="2382" spans="1:19" x14ac:dyDescent="0.3">
      <c r="A2382" s="1">
        <v>44556</v>
      </c>
      <c r="B2382">
        <v>2021</v>
      </c>
      <c r="C2382" t="s">
        <v>52</v>
      </c>
      <c r="D2382" s="4">
        <v>198100</v>
      </c>
      <c r="E2382" s="2">
        <v>272950</v>
      </c>
      <c r="F2382" t="s">
        <v>19</v>
      </c>
      <c r="G2382" t="s">
        <v>20</v>
      </c>
      <c r="H2382">
        <v>3</v>
      </c>
      <c r="I2382">
        <v>2</v>
      </c>
      <c r="J2382">
        <v>1061</v>
      </c>
      <c r="K2382" s="5">
        <v>1.0234955E-2</v>
      </c>
      <c r="L2382" t="s">
        <v>32</v>
      </c>
      <c r="M2382" s="4">
        <v>74850</v>
      </c>
      <c r="N2382" s="3">
        <v>257.25729999999999</v>
      </c>
      <c r="O2382" t="s">
        <v>22</v>
      </c>
      <c r="P2382" t="s">
        <v>24</v>
      </c>
      <c r="Q2382" t="s">
        <v>24</v>
      </c>
      <c r="R2382" t="s">
        <v>55</v>
      </c>
      <c r="S2382">
        <v>12</v>
      </c>
    </row>
    <row r="2383" spans="1:19" x14ac:dyDescent="0.3">
      <c r="A2383" s="1">
        <v>44557</v>
      </c>
      <c r="B2383">
        <v>2021</v>
      </c>
      <c r="C2383" t="s">
        <v>18</v>
      </c>
      <c r="D2383" s="4">
        <v>102560</v>
      </c>
      <c r="E2383" s="2">
        <v>90000</v>
      </c>
      <c r="F2383" t="s">
        <v>19</v>
      </c>
      <c r="G2383" t="s">
        <v>20</v>
      </c>
      <c r="H2383">
        <v>3</v>
      </c>
      <c r="I2383">
        <v>3</v>
      </c>
      <c r="J2383">
        <v>900</v>
      </c>
      <c r="K2383" s="5">
        <v>1.0234955E-2</v>
      </c>
      <c r="L2383" t="s">
        <v>27</v>
      </c>
      <c r="M2383" s="4">
        <v>-12560</v>
      </c>
      <c r="N2383" s="3">
        <v>100</v>
      </c>
      <c r="O2383" t="s">
        <v>33</v>
      </c>
      <c r="P2383" t="s">
        <v>23</v>
      </c>
      <c r="Q2383" t="s">
        <v>24</v>
      </c>
      <c r="R2383" t="s">
        <v>55</v>
      </c>
      <c r="S2383">
        <v>12</v>
      </c>
    </row>
    <row r="2384" spans="1:19" x14ac:dyDescent="0.3">
      <c r="A2384" s="1">
        <v>44561</v>
      </c>
      <c r="B2384">
        <v>2021</v>
      </c>
      <c r="C2384" t="s">
        <v>29</v>
      </c>
      <c r="D2384" s="4">
        <v>142660</v>
      </c>
      <c r="E2384" s="2">
        <v>275000</v>
      </c>
      <c r="F2384" t="s">
        <v>19</v>
      </c>
      <c r="G2384" t="s">
        <v>20</v>
      </c>
      <c r="H2384">
        <v>3</v>
      </c>
      <c r="I2384">
        <v>1</v>
      </c>
      <c r="J2384">
        <v>1111.6589814177564</v>
      </c>
      <c r="K2384" s="5">
        <v>1.0234955E-2</v>
      </c>
      <c r="L2384" t="s">
        <v>38</v>
      </c>
      <c r="M2384" s="4">
        <v>132340</v>
      </c>
      <c r="N2384" s="3">
        <v>247.37799999999999</v>
      </c>
      <c r="O2384" t="s">
        <v>22</v>
      </c>
      <c r="P2384" t="s">
        <v>24</v>
      </c>
      <c r="Q2384" t="s">
        <v>24</v>
      </c>
      <c r="R2384" t="s">
        <v>55</v>
      </c>
      <c r="S2384">
        <v>12</v>
      </c>
    </row>
    <row r="2385" spans="1:19" x14ac:dyDescent="0.3">
      <c r="A2385" s="1">
        <v>44563</v>
      </c>
      <c r="B2385">
        <v>2022</v>
      </c>
      <c r="C2385" t="s">
        <v>56</v>
      </c>
      <c r="D2385" s="4">
        <v>286190</v>
      </c>
      <c r="E2385" s="2">
        <v>393250</v>
      </c>
      <c r="F2385" t="s">
        <v>19</v>
      </c>
      <c r="G2385" t="s">
        <v>20</v>
      </c>
      <c r="H2385">
        <v>3</v>
      </c>
      <c r="I2385">
        <v>2</v>
      </c>
      <c r="J2385">
        <v>1025</v>
      </c>
      <c r="K2385" s="5">
        <v>1.003979E-2</v>
      </c>
      <c r="L2385" t="s">
        <v>21</v>
      </c>
      <c r="M2385" s="4">
        <v>107060</v>
      </c>
      <c r="N2385" s="3">
        <v>383.6585</v>
      </c>
      <c r="O2385" t="s">
        <v>22</v>
      </c>
      <c r="P2385" t="s">
        <v>24</v>
      </c>
      <c r="Q2385" t="s">
        <v>24</v>
      </c>
      <c r="R2385" t="s">
        <v>25</v>
      </c>
      <c r="S2385">
        <v>1</v>
      </c>
    </row>
    <row r="2386" spans="1:19" x14ac:dyDescent="0.3">
      <c r="A2386" s="1">
        <v>44564</v>
      </c>
      <c r="B2386">
        <v>2022</v>
      </c>
      <c r="C2386" t="s">
        <v>18</v>
      </c>
      <c r="D2386" s="4">
        <v>89180</v>
      </c>
      <c r="E2386" s="2">
        <v>174000</v>
      </c>
      <c r="F2386" t="s">
        <v>19</v>
      </c>
      <c r="G2386" t="s">
        <v>20</v>
      </c>
      <c r="H2386">
        <v>3</v>
      </c>
      <c r="I2386">
        <v>3</v>
      </c>
      <c r="J2386">
        <v>1086</v>
      </c>
      <c r="K2386" s="5">
        <v>1.003979E-2</v>
      </c>
      <c r="L2386" t="s">
        <v>27</v>
      </c>
      <c r="M2386" s="4">
        <v>84820</v>
      </c>
      <c r="N2386" s="3">
        <v>160.221</v>
      </c>
      <c r="O2386" t="s">
        <v>22</v>
      </c>
      <c r="P2386" t="s">
        <v>23</v>
      </c>
      <c r="Q2386" t="s">
        <v>24</v>
      </c>
      <c r="R2386" t="s">
        <v>25</v>
      </c>
      <c r="S2386">
        <v>1</v>
      </c>
    </row>
    <row r="2387" spans="1:19" x14ac:dyDescent="0.3">
      <c r="A2387" s="1">
        <v>44567</v>
      </c>
      <c r="B2387">
        <v>2022</v>
      </c>
      <c r="C2387" t="s">
        <v>26</v>
      </c>
      <c r="D2387" s="4">
        <v>142870</v>
      </c>
      <c r="E2387" s="2">
        <v>167000</v>
      </c>
      <c r="F2387" t="s">
        <v>19</v>
      </c>
      <c r="G2387" t="s">
        <v>20</v>
      </c>
      <c r="H2387">
        <v>3</v>
      </c>
      <c r="I2387">
        <v>2</v>
      </c>
      <c r="J2387">
        <v>971</v>
      </c>
      <c r="K2387" s="5">
        <v>1.003979E-2</v>
      </c>
      <c r="L2387" t="s">
        <v>38</v>
      </c>
      <c r="M2387" s="4">
        <v>24130</v>
      </c>
      <c r="N2387" s="3">
        <v>171.98759999999999</v>
      </c>
      <c r="O2387" t="s">
        <v>22</v>
      </c>
      <c r="P2387" t="s">
        <v>23</v>
      </c>
      <c r="Q2387" t="s">
        <v>24</v>
      </c>
      <c r="R2387" t="s">
        <v>25</v>
      </c>
      <c r="S2387">
        <v>1</v>
      </c>
    </row>
    <row r="2388" spans="1:19" x14ac:dyDescent="0.3">
      <c r="A2388" s="1">
        <v>44568</v>
      </c>
      <c r="B2388">
        <v>2022</v>
      </c>
      <c r="C2388" t="s">
        <v>26</v>
      </c>
      <c r="D2388" s="4">
        <v>734670</v>
      </c>
      <c r="E2388" s="2">
        <v>1375000</v>
      </c>
      <c r="F2388" t="s">
        <v>19</v>
      </c>
      <c r="G2388" t="s">
        <v>20</v>
      </c>
      <c r="H2388">
        <v>3</v>
      </c>
      <c r="I2388">
        <v>1</v>
      </c>
      <c r="J2388">
        <v>1018</v>
      </c>
      <c r="K2388" s="5">
        <v>1.003979E-2</v>
      </c>
      <c r="L2388" t="s">
        <v>38</v>
      </c>
      <c r="M2388" s="4">
        <v>640330</v>
      </c>
      <c r="N2388" s="3">
        <v>1350.6876</v>
      </c>
      <c r="O2388" t="s">
        <v>22</v>
      </c>
      <c r="P2388" t="s">
        <v>28</v>
      </c>
      <c r="Q2388" t="s">
        <v>24</v>
      </c>
      <c r="R2388" t="s">
        <v>25</v>
      </c>
      <c r="S2388">
        <v>1</v>
      </c>
    </row>
    <row r="2389" spans="1:19" x14ac:dyDescent="0.3">
      <c r="A2389" s="1">
        <v>44569</v>
      </c>
      <c r="B2389">
        <v>2022</v>
      </c>
      <c r="C2389" t="s">
        <v>40</v>
      </c>
      <c r="D2389" s="4">
        <v>612760</v>
      </c>
      <c r="E2389" s="2">
        <v>550000</v>
      </c>
      <c r="F2389" t="s">
        <v>19</v>
      </c>
      <c r="G2389" t="s">
        <v>20</v>
      </c>
      <c r="H2389">
        <v>3</v>
      </c>
      <c r="I2389">
        <v>1</v>
      </c>
      <c r="J2389">
        <v>945</v>
      </c>
      <c r="K2389" s="5">
        <v>1.003979E-2</v>
      </c>
      <c r="L2389" t="s">
        <v>32</v>
      </c>
      <c r="M2389" s="4">
        <v>-62760</v>
      </c>
      <c r="N2389" s="3">
        <v>582.01059999999995</v>
      </c>
      <c r="O2389" t="s">
        <v>33</v>
      </c>
      <c r="P2389" t="s">
        <v>24</v>
      </c>
      <c r="Q2389" t="s">
        <v>24</v>
      </c>
      <c r="R2389" t="s">
        <v>25</v>
      </c>
      <c r="S2389">
        <v>1</v>
      </c>
    </row>
    <row r="2390" spans="1:19" x14ac:dyDescent="0.3">
      <c r="A2390" s="1">
        <v>44570</v>
      </c>
      <c r="B2390">
        <v>2022</v>
      </c>
      <c r="C2390" t="s">
        <v>40</v>
      </c>
      <c r="D2390" s="4">
        <v>386710</v>
      </c>
      <c r="E2390" s="2">
        <v>147000</v>
      </c>
      <c r="F2390" t="s">
        <v>19</v>
      </c>
      <c r="G2390" t="s">
        <v>20</v>
      </c>
      <c r="H2390">
        <v>3</v>
      </c>
      <c r="I2390">
        <v>3</v>
      </c>
      <c r="J2390">
        <v>947</v>
      </c>
      <c r="K2390" s="5">
        <v>1.003979E-2</v>
      </c>
      <c r="L2390" t="s">
        <v>21</v>
      </c>
      <c r="M2390" s="4">
        <v>-239710</v>
      </c>
      <c r="N2390" s="3">
        <v>155.227</v>
      </c>
      <c r="O2390" t="s">
        <v>33</v>
      </c>
      <c r="P2390" t="s">
        <v>23</v>
      </c>
      <c r="Q2390" t="s">
        <v>24</v>
      </c>
      <c r="R2390" t="s">
        <v>25</v>
      </c>
      <c r="S2390">
        <v>1</v>
      </c>
    </row>
    <row r="2391" spans="1:19" x14ac:dyDescent="0.3">
      <c r="A2391" s="1">
        <v>44571</v>
      </c>
      <c r="B2391">
        <v>2022</v>
      </c>
      <c r="C2391" t="s">
        <v>18</v>
      </c>
      <c r="D2391" s="4">
        <v>72210</v>
      </c>
      <c r="E2391" s="2">
        <v>120000</v>
      </c>
      <c r="F2391" t="s">
        <v>19</v>
      </c>
      <c r="G2391" t="s">
        <v>20</v>
      </c>
      <c r="H2391">
        <v>3</v>
      </c>
      <c r="I2391">
        <v>3</v>
      </c>
      <c r="J2391">
        <v>1046</v>
      </c>
      <c r="K2391" s="5">
        <v>1.003979E-2</v>
      </c>
      <c r="L2391" t="s">
        <v>27</v>
      </c>
      <c r="M2391" s="4">
        <v>47790</v>
      </c>
      <c r="N2391" s="3">
        <v>114.72280000000001</v>
      </c>
      <c r="O2391" t="s">
        <v>22</v>
      </c>
      <c r="P2391" t="s">
        <v>23</v>
      </c>
      <c r="Q2391" t="s">
        <v>24</v>
      </c>
      <c r="R2391" t="s">
        <v>25</v>
      </c>
      <c r="S2391">
        <v>1</v>
      </c>
    </row>
    <row r="2392" spans="1:19" x14ac:dyDescent="0.3">
      <c r="A2392" s="1">
        <v>44575</v>
      </c>
      <c r="B2392">
        <v>2022</v>
      </c>
      <c r="C2392" t="s">
        <v>40</v>
      </c>
      <c r="D2392" s="4">
        <v>444584.20699999999</v>
      </c>
      <c r="E2392" s="2">
        <v>170500</v>
      </c>
      <c r="F2392" t="s">
        <v>19</v>
      </c>
      <c r="G2392" t="s">
        <v>20</v>
      </c>
      <c r="H2392">
        <v>3</v>
      </c>
      <c r="I2392">
        <v>3</v>
      </c>
      <c r="J2392">
        <v>984</v>
      </c>
      <c r="K2392" s="5">
        <v>1.003979E-2</v>
      </c>
      <c r="L2392" t="s">
        <v>21</v>
      </c>
      <c r="M2392" s="4">
        <v>-274084.20699999999</v>
      </c>
      <c r="N2392" s="3">
        <v>173.2724</v>
      </c>
      <c r="O2392" t="s">
        <v>33</v>
      </c>
      <c r="P2392" t="s">
        <v>23</v>
      </c>
      <c r="Q2392" t="s">
        <v>24</v>
      </c>
      <c r="R2392" t="s">
        <v>25</v>
      </c>
      <c r="S2392">
        <v>1</v>
      </c>
    </row>
    <row r="2393" spans="1:19" x14ac:dyDescent="0.3">
      <c r="A2393" s="1">
        <v>44576</v>
      </c>
      <c r="B2393">
        <v>2022</v>
      </c>
      <c r="C2393" t="s">
        <v>40</v>
      </c>
      <c r="D2393" s="4">
        <v>84180</v>
      </c>
      <c r="E2393" s="2">
        <v>75000</v>
      </c>
      <c r="F2393" t="s">
        <v>19</v>
      </c>
      <c r="G2393" t="s">
        <v>20</v>
      </c>
      <c r="H2393">
        <v>3</v>
      </c>
      <c r="I2393">
        <v>2</v>
      </c>
      <c r="J2393">
        <v>1111.6589814177564</v>
      </c>
      <c r="K2393" s="5">
        <v>1.003979E-2</v>
      </c>
      <c r="L2393" t="s">
        <v>27</v>
      </c>
      <c r="M2393" s="4">
        <v>-9180</v>
      </c>
      <c r="N2393" s="3">
        <v>67.466700000000003</v>
      </c>
      <c r="O2393" t="s">
        <v>33</v>
      </c>
      <c r="P2393" t="s">
        <v>23</v>
      </c>
      <c r="Q2393" t="s">
        <v>24</v>
      </c>
      <c r="R2393" t="s">
        <v>25</v>
      </c>
      <c r="S2393">
        <v>1</v>
      </c>
    </row>
    <row r="2394" spans="1:19" x14ac:dyDescent="0.3">
      <c r="A2394" s="1">
        <v>44577</v>
      </c>
      <c r="B2394">
        <v>2022</v>
      </c>
      <c r="C2394" t="s">
        <v>29</v>
      </c>
      <c r="D2394" s="4">
        <v>116830</v>
      </c>
      <c r="E2394" s="2">
        <v>247000</v>
      </c>
      <c r="F2394" t="s">
        <v>36</v>
      </c>
      <c r="G2394" t="s">
        <v>37</v>
      </c>
      <c r="H2394">
        <v>6</v>
      </c>
      <c r="I2394">
        <v>4</v>
      </c>
      <c r="J2394">
        <v>1111.6589814177564</v>
      </c>
      <c r="K2394" s="5">
        <v>1.003979E-2</v>
      </c>
      <c r="L2394" t="s">
        <v>27</v>
      </c>
      <c r="M2394" s="4">
        <v>130170</v>
      </c>
      <c r="N2394" s="3">
        <v>222.19040000000001</v>
      </c>
      <c r="O2394" t="s">
        <v>22</v>
      </c>
      <c r="P2394" t="s">
        <v>24</v>
      </c>
      <c r="Q2394" t="s">
        <v>24</v>
      </c>
      <c r="R2394" t="s">
        <v>25</v>
      </c>
      <c r="S2394">
        <v>1</v>
      </c>
    </row>
    <row r="2395" spans="1:19" x14ac:dyDescent="0.3">
      <c r="A2395" s="1">
        <v>44578</v>
      </c>
      <c r="B2395">
        <v>2022</v>
      </c>
      <c r="C2395" t="s">
        <v>35</v>
      </c>
      <c r="D2395" s="4">
        <v>444584.20699999999</v>
      </c>
      <c r="E2395" s="2">
        <v>4750000</v>
      </c>
      <c r="F2395" t="s">
        <v>19</v>
      </c>
      <c r="G2395" t="s">
        <v>20</v>
      </c>
      <c r="H2395">
        <v>3</v>
      </c>
      <c r="I2395">
        <v>3</v>
      </c>
      <c r="J2395">
        <v>936</v>
      </c>
      <c r="K2395" s="5">
        <v>1.003979E-2</v>
      </c>
      <c r="L2395" t="s">
        <v>21</v>
      </c>
      <c r="M2395" s="4">
        <v>4305415.7929999996</v>
      </c>
      <c r="N2395" s="3">
        <v>5074.7862999999998</v>
      </c>
      <c r="O2395" t="s">
        <v>22</v>
      </c>
      <c r="P2395" t="s">
        <v>28</v>
      </c>
      <c r="Q2395" t="s">
        <v>24</v>
      </c>
      <c r="R2395" t="s">
        <v>25</v>
      </c>
      <c r="S2395">
        <v>1</v>
      </c>
    </row>
    <row r="2396" spans="1:19" x14ac:dyDescent="0.3">
      <c r="A2396" s="1">
        <v>44582</v>
      </c>
      <c r="B2396">
        <v>2022</v>
      </c>
      <c r="C2396" t="s">
        <v>29</v>
      </c>
      <c r="D2396" s="4">
        <v>129080</v>
      </c>
      <c r="E2396" s="2">
        <v>200000</v>
      </c>
      <c r="F2396" t="s">
        <v>19</v>
      </c>
      <c r="G2396" t="s">
        <v>20</v>
      </c>
      <c r="H2396">
        <v>3</v>
      </c>
      <c r="I2396">
        <v>3</v>
      </c>
      <c r="J2396">
        <v>1111.6589814177564</v>
      </c>
      <c r="K2396" s="5">
        <v>1.003979E-2</v>
      </c>
      <c r="L2396" t="s">
        <v>27</v>
      </c>
      <c r="M2396" s="4">
        <v>70920</v>
      </c>
      <c r="N2396" s="3">
        <v>179.91130000000001</v>
      </c>
      <c r="O2396" t="s">
        <v>22</v>
      </c>
      <c r="P2396" t="s">
        <v>24</v>
      </c>
      <c r="Q2396" t="s">
        <v>24</v>
      </c>
      <c r="R2396" t="s">
        <v>25</v>
      </c>
      <c r="S2396">
        <v>1</v>
      </c>
    </row>
    <row r="2397" spans="1:19" x14ac:dyDescent="0.3">
      <c r="A2397" s="1">
        <v>44583</v>
      </c>
      <c r="B2397">
        <v>2022</v>
      </c>
      <c r="C2397" t="s">
        <v>29</v>
      </c>
      <c r="D2397" s="4">
        <v>444584.20699999999</v>
      </c>
      <c r="E2397" s="2">
        <v>280000</v>
      </c>
      <c r="F2397" t="s">
        <v>19</v>
      </c>
      <c r="G2397" t="s">
        <v>20</v>
      </c>
      <c r="H2397">
        <v>3</v>
      </c>
      <c r="I2397">
        <v>2</v>
      </c>
      <c r="J2397">
        <v>916</v>
      </c>
      <c r="K2397" s="5">
        <v>1.003979E-2</v>
      </c>
      <c r="L2397" t="s">
        <v>27</v>
      </c>
      <c r="M2397" s="4">
        <v>-164584.20699999999</v>
      </c>
      <c r="N2397" s="3">
        <v>305.67689999999999</v>
      </c>
      <c r="O2397" t="s">
        <v>33</v>
      </c>
      <c r="P2397" t="s">
        <v>24</v>
      </c>
      <c r="Q2397" t="s">
        <v>24</v>
      </c>
      <c r="R2397" t="s">
        <v>25</v>
      </c>
      <c r="S2397">
        <v>1</v>
      </c>
    </row>
    <row r="2398" spans="1:19" x14ac:dyDescent="0.3">
      <c r="A2398" s="1">
        <v>44585</v>
      </c>
      <c r="B2398">
        <v>2022</v>
      </c>
      <c r="C2398" t="s">
        <v>18</v>
      </c>
      <c r="D2398" s="4">
        <v>55670</v>
      </c>
      <c r="E2398" s="2">
        <v>169000</v>
      </c>
      <c r="F2398" t="s">
        <v>36</v>
      </c>
      <c r="G2398" t="s">
        <v>37</v>
      </c>
      <c r="H2398">
        <v>6</v>
      </c>
      <c r="I2398">
        <v>5</v>
      </c>
      <c r="J2398">
        <v>1983</v>
      </c>
      <c r="K2398" s="5">
        <v>1.003979E-2</v>
      </c>
      <c r="L2398" t="s">
        <v>38</v>
      </c>
      <c r="M2398" s="4">
        <v>113330</v>
      </c>
      <c r="N2398" s="3">
        <v>85.224400000000003</v>
      </c>
      <c r="O2398" t="s">
        <v>22</v>
      </c>
      <c r="P2398" t="s">
        <v>23</v>
      </c>
      <c r="Q2398" t="s">
        <v>34</v>
      </c>
      <c r="R2398" t="s">
        <v>25</v>
      </c>
      <c r="S2398">
        <v>1</v>
      </c>
    </row>
    <row r="2399" spans="1:19" x14ac:dyDescent="0.3">
      <c r="A2399" s="1">
        <v>44588</v>
      </c>
      <c r="B2399">
        <v>2022</v>
      </c>
      <c r="C2399" t="s">
        <v>29</v>
      </c>
      <c r="D2399" s="4">
        <v>119800</v>
      </c>
      <c r="E2399" s="2">
        <v>235000</v>
      </c>
      <c r="F2399" t="s">
        <v>19</v>
      </c>
      <c r="G2399" t="s">
        <v>20</v>
      </c>
      <c r="H2399">
        <v>3</v>
      </c>
      <c r="I2399">
        <v>3</v>
      </c>
      <c r="J2399">
        <v>905</v>
      </c>
      <c r="K2399" s="5">
        <v>1.003979E-2</v>
      </c>
      <c r="L2399" t="s">
        <v>38</v>
      </c>
      <c r="M2399" s="4">
        <v>115200</v>
      </c>
      <c r="N2399" s="3">
        <v>259.66849999999999</v>
      </c>
      <c r="O2399" t="s">
        <v>22</v>
      </c>
      <c r="P2399" t="s">
        <v>24</v>
      </c>
      <c r="Q2399" t="s">
        <v>24</v>
      </c>
      <c r="R2399" t="s">
        <v>25</v>
      </c>
      <c r="S2399">
        <v>1</v>
      </c>
    </row>
    <row r="2400" spans="1:19" x14ac:dyDescent="0.3">
      <c r="A2400" s="1">
        <v>44590</v>
      </c>
      <c r="B2400">
        <v>2022</v>
      </c>
      <c r="C2400" t="s">
        <v>29</v>
      </c>
      <c r="D2400" s="4">
        <v>127020</v>
      </c>
      <c r="E2400" s="2">
        <v>245000</v>
      </c>
      <c r="F2400" t="s">
        <v>30</v>
      </c>
      <c r="G2400" t="s">
        <v>31</v>
      </c>
      <c r="H2400">
        <v>4</v>
      </c>
      <c r="I2400">
        <v>3</v>
      </c>
      <c r="J2400">
        <v>1499</v>
      </c>
      <c r="K2400" s="5">
        <v>1.003979E-2</v>
      </c>
      <c r="L2400" t="s">
        <v>38</v>
      </c>
      <c r="M2400" s="4">
        <v>117980</v>
      </c>
      <c r="N2400" s="3">
        <v>163.44229999999999</v>
      </c>
      <c r="O2400" t="s">
        <v>22</v>
      </c>
      <c r="P2400" t="s">
        <v>24</v>
      </c>
      <c r="Q2400" t="s">
        <v>34</v>
      </c>
      <c r="R2400" t="s">
        <v>25</v>
      </c>
      <c r="S2400">
        <v>1</v>
      </c>
    </row>
    <row r="2401" spans="1:19" x14ac:dyDescent="0.3">
      <c r="A2401" s="1">
        <v>44591</v>
      </c>
      <c r="B2401">
        <v>2022</v>
      </c>
      <c r="C2401" t="s">
        <v>56</v>
      </c>
      <c r="D2401" s="4">
        <v>678390</v>
      </c>
      <c r="E2401" s="2">
        <v>950000</v>
      </c>
      <c r="F2401" t="s">
        <v>19</v>
      </c>
      <c r="G2401" t="s">
        <v>20</v>
      </c>
      <c r="H2401">
        <v>3</v>
      </c>
      <c r="I2401">
        <v>3</v>
      </c>
      <c r="J2401">
        <v>986</v>
      </c>
      <c r="K2401" s="5">
        <v>1.003979E-2</v>
      </c>
      <c r="L2401" t="s">
        <v>32</v>
      </c>
      <c r="M2401" s="4">
        <v>271610</v>
      </c>
      <c r="N2401" s="3">
        <v>963.48879999999997</v>
      </c>
      <c r="O2401" t="s">
        <v>22</v>
      </c>
      <c r="P2401" t="s">
        <v>28</v>
      </c>
      <c r="Q2401" t="s">
        <v>24</v>
      </c>
      <c r="R2401" t="s">
        <v>25</v>
      </c>
      <c r="S2401">
        <v>1</v>
      </c>
    </row>
    <row r="2402" spans="1:19" x14ac:dyDescent="0.3">
      <c r="A2402" s="1">
        <v>44592</v>
      </c>
      <c r="B2402">
        <v>2022</v>
      </c>
      <c r="C2402" t="s">
        <v>26</v>
      </c>
      <c r="D2402" s="4">
        <v>279400</v>
      </c>
      <c r="E2402" s="2">
        <v>390000</v>
      </c>
      <c r="F2402" t="s">
        <v>19</v>
      </c>
      <c r="G2402" t="s">
        <v>20</v>
      </c>
      <c r="H2402">
        <v>3</v>
      </c>
      <c r="I2402">
        <v>2</v>
      </c>
      <c r="J2402">
        <v>1041</v>
      </c>
      <c r="K2402" s="5">
        <v>1.003979E-2</v>
      </c>
      <c r="L2402" t="s">
        <v>32</v>
      </c>
      <c r="M2402" s="4">
        <v>110600</v>
      </c>
      <c r="N2402" s="3">
        <v>374.63979999999998</v>
      </c>
      <c r="O2402" t="s">
        <v>22</v>
      </c>
      <c r="P2402" t="s">
        <v>24</v>
      </c>
      <c r="Q2402" t="s">
        <v>24</v>
      </c>
      <c r="R2402" t="s">
        <v>25</v>
      </c>
      <c r="S2402">
        <v>1</v>
      </c>
    </row>
    <row r="2403" spans="1:19" x14ac:dyDescent="0.3">
      <c r="A2403" s="1">
        <v>44595</v>
      </c>
      <c r="B2403">
        <v>2022</v>
      </c>
      <c r="C2403" t="s">
        <v>29</v>
      </c>
      <c r="D2403" s="4">
        <v>156430</v>
      </c>
      <c r="E2403" s="2">
        <v>287000</v>
      </c>
      <c r="F2403" t="s">
        <v>19</v>
      </c>
      <c r="G2403" t="s">
        <v>20</v>
      </c>
      <c r="H2403">
        <v>3</v>
      </c>
      <c r="I2403">
        <v>3</v>
      </c>
      <c r="J2403">
        <v>1009</v>
      </c>
      <c r="K2403" s="5">
        <v>1.003979E-2</v>
      </c>
      <c r="L2403" t="s">
        <v>27</v>
      </c>
      <c r="M2403" s="4">
        <v>130570</v>
      </c>
      <c r="N2403" s="3">
        <v>284.44</v>
      </c>
      <c r="O2403" t="s">
        <v>22</v>
      </c>
      <c r="P2403" t="s">
        <v>24</v>
      </c>
      <c r="Q2403" t="s">
        <v>24</v>
      </c>
      <c r="R2403" t="s">
        <v>41</v>
      </c>
      <c r="S2403">
        <v>2</v>
      </c>
    </row>
    <row r="2404" spans="1:19" x14ac:dyDescent="0.3">
      <c r="A2404" s="1">
        <v>44597</v>
      </c>
      <c r="B2404">
        <v>2022</v>
      </c>
      <c r="C2404" t="s">
        <v>29</v>
      </c>
      <c r="D2404" s="4">
        <v>163560</v>
      </c>
      <c r="E2404" s="2">
        <v>212000</v>
      </c>
      <c r="F2404" t="s">
        <v>30</v>
      </c>
      <c r="G2404" t="s">
        <v>31</v>
      </c>
      <c r="H2404">
        <v>4</v>
      </c>
      <c r="I2404">
        <v>3</v>
      </c>
      <c r="J2404">
        <v>1271</v>
      </c>
      <c r="K2404" s="5">
        <v>1.003979E-2</v>
      </c>
      <c r="L2404" t="s">
        <v>21</v>
      </c>
      <c r="M2404" s="4">
        <v>48440</v>
      </c>
      <c r="N2404" s="3">
        <v>166.7978</v>
      </c>
      <c r="O2404" t="s">
        <v>22</v>
      </c>
      <c r="P2404" t="s">
        <v>24</v>
      </c>
      <c r="Q2404" t="s">
        <v>24</v>
      </c>
      <c r="R2404" t="s">
        <v>41</v>
      </c>
      <c r="S2404">
        <v>2</v>
      </c>
    </row>
    <row r="2405" spans="1:19" x14ac:dyDescent="0.3">
      <c r="A2405" s="1">
        <v>44602</v>
      </c>
      <c r="B2405">
        <v>2022</v>
      </c>
      <c r="C2405" t="s">
        <v>35</v>
      </c>
      <c r="D2405" s="4">
        <v>797020</v>
      </c>
      <c r="E2405" s="2">
        <v>500000</v>
      </c>
      <c r="F2405" t="s">
        <v>19</v>
      </c>
      <c r="G2405" t="s">
        <v>20</v>
      </c>
      <c r="H2405">
        <v>3</v>
      </c>
      <c r="I2405">
        <v>2</v>
      </c>
      <c r="J2405">
        <v>1075</v>
      </c>
      <c r="K2405" s="5">
        <v>1.003979E-2</v>
      </c>
      <c r="L2405" t="s">
        <v>38</v>
      </c>
      <c r="M2405" s="4">
        <v>-297020</v>
      </c>
      <c r="N2405" s="3">
        <v>465.11630000000002</v>
      </c>
      <c r="O2405" t="s">
        <v>33</v>
      </c>
      <c r="P2405" t="s">
        <v>24</v>
      </c>
      <c r="Q2405" t="s">
        <v>24</v>
      </c>
      <c r="R2405" t="s">
        <v>41</v>
      </c>
      <c r="S2405">
        <v>2</v>
      </c>
    </row>
    <row r="2406" spans="1:19" x14ac:dyDescent="0.3">
      <c r="A2406" s="1">
        <v>44604</v>
      </c>
      <c r="B2406">
        <v>2022</v>
      </c>
      <c r="C2406" t="s">
        <v>29</v>
      </c>
      <c r="D2406" s="4">
        <v>444584.20699999999</v>
      </c>
      <c r="E2406" s="2">
        <v>169900</v>
      </c>
      <c r="F2406" t="s">
        <v>30</v>
      </c>
      <c r="G2406" t="s">
        <v>31</v>
      </c>
      <c r="H2406">
        <v>4</v>
      </c>
      <c r="I2406">
        <v>2</v>
      </c>
      <c r="J2406">
        <v>1321</v>
      </c>
      <c r="K2406" s="5">
        <v>1.003979E-2</v>
      </c>
      <c r="L2406" t="s">
        <v>38</v>
      </c>
      <c r="M2406" s="4">
        <v>-274684.20699999999</v>
      </c>
      <c r="N2406" s="3">
        <v>128.6147</v>
      </c>
      <c r="O2406" t="s">
        <v>33</v>
      </c>
      <c r="P2406" t="s">
        <v>23</v>
      </c>
      <c r="Q2406" t="s">
        <v>34</v>
      </c>
      <c r="R2406" t="s">
        <v>41</v>
      </c>
      <c r="S2406">
        <v>2</v>
      </c>
    </row>
    <row r="2407" spans="1:19" x14ac:dyDescent="0.3">
      <c r="A2407" s="1">
        <v>44605</v>
      </c>
      <c r="B2407">
        <v>2022</v>
      </c>
      <c r="C2407" t="s">
        <v>26</v>
      </c>
      <c r="D2407" s="4">
        <v>228100</v>
      </c>
      <c r="E2407" s="2">
        <v>6200</v>
      </c>
      <c r="F2407" t="s">
        <v>19</v>
      </c>
      <c r="G2407" t="s">
        <v>20</v>
      </c>
      <c r="H2407">
        <v>3</v>
      </c>
      <c r="I2407">
        <v>3</v>
      </c>
      <c r="J2407">
        <v>942</v>
      </c>
      <c r="K2407" s="5">
        <v>1.003979E-2</v>
      </c>
      <c r="L2407" t="s">
        <v>27</v>
      </c>
      <c r="M2407" s="4">
        <v>-221900</v>
      </c>
      <c r="N2407" s="3">
        <v>6.5816999999999997</v>
      </c>
      <c r="O2407" t="s">
        <v>33</v>
      </c>
      <c r="P2407" t="s">
        <v>23</v>
      </c>
      <c r="Q2407" t="s">
        <v>24</v>
      </c>
      <c r="R2407" t="s">
        <v>41</v>
      </c>
      <c r="S2407">
        <v>2</v>
      </c>
    </row>
    <row r="2408" spans="1:19" x14ac:dyDescent="0.3">
      <c r="A2408" s="1">
        <v>44606</v>
      </c>
      <c r="B2408">
        <v>2022</v>
      </c>
      <c r="C2408" t="s">
        <v>40</v>
      </c>
      <c r="D2408" s="4">
        <v>336680</v>
      </c>
      <c r="E2408" s="2">
        <v>400000</v>
      </c>
      <c r="F2408" t="s">
        <v>19</v>
      </c>
      <c r="G2408" t="s">
        <v>20</v>
      </c>
      <c r="H2408">
        <v>3</v>
      </c>
      <c r="I2408">
        <v>1</v>
      </c>
      <c r="J2408">
        <v>910</v>
      </c>
      <c r="K2408" s="5">
        <v>1.003979E-2</v>
      </c>
      <c r="L2408" t="s">
        <v>21</v>
      </c>
      <c r="M2408" s="4">
        <v>63320</v>
      </c>
      <c r="N2408" s="3">
        <v>439.56040000000002</v>
      </c>
      <c r="O2408" t="s">
        <v>22</v>
      </c>
      <c r="P2408" t="s">
        <v>24</v>
      </c>
      <c r="Q2408" t="s">
        <v>24</v>
      </c>
      <c r="R2408" t="s">
        <v>41</v>
      </c>
      <c r="S2408">
        <v>2</v>
      </c>
    </row>
    <row r="2409" spans="1:19" x14ac:dyDescent="0.3">
      <c r="A2409" s="1">
        <v>44610</v>
      </c>
      <c r="B2409">
        <v>2022</v>
      </c>
      <c r="C2409" t="s">
        <v>18</v>
      </c>
      <c r="D2409" s="4">
        <v>139770</v>
      </c>
      <c r="E2409" s="2">
        <v>159000</v>
      </c>
      <c r="F2409" t="s">
        <v>19</v>
      </c>
      <c r="G2409" t="s">
        <v>20</v>
      </c>
      <c r="H2409">
        <v>3</v>
      </c>
      <c r="I2409">
        <v>1</v>
      </c>
      <c r="J2409">
        <v>1018</v>
      </c>
      <c r="K2409" s="5">
        <v>1.003979E-2</v>
      </c>
      <c r="L2409" t="s">
        <v>21</v>
      </c>
      <c r="M2409" s="4">
        <v>19230</v>
      </c>
      <c r="N2409" s="3">
        <v>156.18860000000001</v>
      </c>
      <c r="O2409" t="s">
        <v>22</v>
      </c>
      <c r="P2409" t="s">
        <v>23</v>
      </c>
      <c r="Q2409" t="s">
        <v>24</v>
      </c>
      <c r="R2409" t="s">
        <v>41</v>
      </c>
      <c r="S2409">
        <v>2</v>
      </c>
    </row>
    <row r="2410" spans="1:19" x14ac:dyDescent="0.3">
      <c r="A2410" s="1">
        <v>44612</v>
      </c>
      <c r="B2410">
        <v>2022</v>
      </c>
      <c r="C2410" t="s">
        <v>39</v>
      </c>
      <c r="D2410" s="4">
        <v>255430</v>
      </c>
      <c r="E2410" s="2">
        <v>302150</v>
      </c>
      <c r="F2410" t="s">
        <v>19</v>
      </c>
      <c r="G2410" t="s">
        <v>20</v>
      </c>
      <c r="H2410">
        <v>3</v>
      </c>
      <c r="I2410">
        <v>3</v>
      </c>
      <c r="J2410">
        <v>936</v>
      </c>
      <c r="K2410" s="5">
        <v>1.003979E-2</v>
      </c>
      <c r="L2410" t="s">
        <v>32</v>
      </c>
      <c r="M2410" s="4">
        <v>46720</v>
      </c>
      <c r="N2410" s="3">
        <v>322.8098</v>
      </c>
      <c r="O2410" t="s">
        <v>22</v>
      </c>
      <c r="P2410" t="s">
        <v>24</v>
      </c>
      <c r="Q2410" t="s">
        <v>24</v>
      </c>
      <c r="R2410" t="s">
        <v>41</v>
      </c>
      <c r="S2410">
        <v>2</v>
      </c>
    </row>
    <row r="2411" spans="1:19" x14ac:dyDescent="0.3">
      <c r="A2411" s="1">
        <v>44616</v>
      </c>
      <c r="B2411">
        <v>2022</v>
      </c>
      <c r="C2411" t="s">
        <v>56</v>
      </c>
      <c r="D2411" s="4">
        <v>410660</v>
      </c>
      <c r="E2411" s="2">
        <v>748500</v>
      </c>
      <c r="F2411" t="s">
        <v>19</v>
      </c>
      <c r="G2411" t="s">
        <v>20</v>
      </c>
      <c r="H2411">
        <v>3</v>
      </c>
      <c r="I2411">
        <v>1</v>
      </c>
      <c r="J2411">
        <v>981</v>
      </c>
      <c r="K2411" s="5">
        <v>1.003979E-2</v>
      </c>
      <c r="L2411" t="s">
        <v>27</v>
      </c>
      <c r="M2411" s="4">
        <v>337840</v>
      </c>
      <c r="N2411" s="3">
        <v>762.99689999999998</v>
      </c>
      <c r="O2411" t="s">
        <v>22</v>
      </c>
      <c r="P2411" t="s">
        <v>28</v>
      </c>
      <c r="Q2411" t="s">
        <v>24</v>
      </c>
      <c r="R2411" t="s">
        <v>41</v>
      </c>
      <c r="S2411">
        <v>2</v>
      </c>
    </row>
    <row r="2412" spans="1:19" x14ac:dyDescent="0.3">
      <c r="A2412" s="1">
        <v>44617</v>
      </c>
      <c r="B2412">
        <v>2022</v>
      </c>
      <c r="C2412" t="s">
        <v>29</v>
      </c>
      <c r="D2412" s="4">
        <v>148050</v>
      </c>
      <c r="E2412" s="2">
        <v>344000</v>
      </c>
      <c r="F2412" t="s">
        <v>19</v>
      </c>
      <c r="G2412" t="s">
        <v>20</v>
      </c>
      <c r="H2412">
        <v>3</v>
      </c>
      <c r="I2412">
        <v>1</v>
      </c>
      <c r="J2412">
        <v>1085</v>
      </c>
      <c r="K2412" s="5">
        <v>1.003979E-2</v>
      </c>
      <c r="L2412" t="s">
        <v>27</v>
      </c>
      <c r="M2412" s="4">
        <v>195950</v>
      </c>
      <c r="N2412" s="3">
        <v>317.05070000000001</v>
      </c>
      <c r="O2412" t="s">
        <v>22</v>
      </c>
      <c r="P2412" t="s">
        <v>24</v>
      </c>
      <c r="Q2412" t="s">
        <v>24</v>
      </c>
      <c r="R2412" t="s">
        <v>41</v>
      </c>
      <c r="S2412">
        <v>2</v>
      </c>
    </row>
    <row r="2413" spans="1:19" x14ac:dyDescent="0.3">
      <c r="A2413" s="1">
        <v>44618</v>
      </c>
      <c r="B2413">
        <v>2022</v>
      </c>
      <c r="C2413" t="s">
        <v>26</v>
      </c>
      <c r="D2413" s="4">
        <v>228330</v>
      </c>
      <c r="E2413" s="2">
        <v>390000</v>
      </c>
      <c r="F2413" t="s">
        <v>30</v>
      </c>
      <c r="G2413" t="s">
        <v>31</v>
      </c>
      <c r="H2413">
        <v>4</v>
      </c>
      <c r="I2413">
        <v>4</v>
      </c>
      <c r="J2413">
        <v>1111.6589814177564</v>
      </c>
      <c r="K2413" s="5">
        <v>1.003979E-2</v>
      </c>
      <c r="L2413" t="s">
        <v>32</v>
      </c>
      <c r="M2413" s="4">
        <v>161670</v>
      </c>
      <c r="N2413" s="3">
        <v>350.827</v>
      </c>
      <c r="O2413" t="s">
        <v>22</v>
      </c>
      <c r="P2413" t="s">
        <v>24</v>
      </c>
      <c r="Q2413" t="s">
        <v>24</v>
      </c>
      <c r="R2413" t="s">
        <v>41</v>
      </c>
      <c r="S2413">
        <v>2</v>
      </c>
    </row>
    <row r="2414" spans="1:19" x14ac:dyDescent="0.3">
      <c r="A2414" s="1">
        <v>44619</v>
      </c>
      <c r="B2414">
        <v>2022</v>
      </c>
      <c r="C2414" t="s">
        <v>18</v>
      </c>
      <c r="D2414" s="4">
        <v>85490</v>
      </c>
      <c r="E2414" s="2">
        <v>190000</v>
      </c>
      <c r="F2414" t="s">
        <v>36</v>
      </c>
      <c r="G2414" t="s">
        <v>37</v>
      </c>
      <c r="H2414">
        <v>6</v>
      </c>
      <c r="I2414">
        <v>6</v>
      </c>
      <c r="J2414">
        <v>1951</v>
      </c>
      <c r="K2414" s="5">
        <v>1.003979E-2</v>
      </c>
      <c r="L2414" t="s">
        <v>38</v>
      </c>
      <c r="M2414" s="4">
        <v>104510</v>
      </c>
      <c r="N2414" s="3">
        <v>97.385999999999996</v>
      </c>
      <c r="O2414" t="s">
        <v>22</v>
      </c>
      <c r="P2414" t="s">
        <v>23</v>
      </c>
      <c r="Q2414" t="s">
        <v>34</v>
      </c>
      <c r="R2414" t="s">
        <v>41</v>
      </c>
      <c r="S2414">
        <v>2</v>
      </c>
    </row>
    <row r="2415" spans="1:19" x14ac:dyDescent="0.3">
      <c r="A2415" s="1">
        <v>44620</v>
      </c>
      <c r="B2415">
        <v>2022</v>
      </c>
      <c r="C2415" t="s">
        <v>35</v>
      </c>
      <c r="D2415" s="4">
        <v>1190000</v>
      </c>
      <c r="E2415" s="2">
        <v>1630000</v>
      </c>
      <c r="F2415" t="s">
        <v>19</v>
      </c>
      <c r="G2415" t="s">
        <v>20</v>
      </c>
      <c r="H2415">
        <v>3</v>
      </c>
      <c r="I2415">
        <v>3</v>
      </c>
      <c r="J2415">
        <v>1082</v>
      </c>
      <c r="K2415" s="5">
        <v>1.003979E-2</v>
      </c>
      <c r="L2415" t="s">
        <v>38</v>
      </c>
      <c r="M2415" s="4">
        <v>440000</v>
      </c>
      <c r="N2415" s="3">
        <v>1506.4694999999999</v>
      </c>
      <c r="O2415" t="s">
        <v>22</v>
      </c>
      <c r="P2415" t="s">
        <v>28</v>
      </c>
      <c r="Q2415" t="s">
        <v>24</v>
      </c>
      <c r="R2415" t="s">
        <v>41</v>
      </c>
      <c r="S2415">
        <v>2</v>
      </c>
    </row>
    <row r="2416" spans="1:19" x14ac:dyDescent="0.3">
      <c r="A2416" s="1">
        <v>44622</v>
      </c>
      <c r="B2416">
        <v>2022</v>
      </c>
      <c r="C2416" t="s">
        <v>26</v>
      </c>
      <c r="D2416" s="4">
        <v>222180</v>
      </c>
      <c r="E2416" s="2">
        <v>361500</v>
      </c>
      <c r="F2416" t="s">
        <v>19</v>
      </c>
      <c r="G2416" t="s">
        <v>20</v>
      </c>
      <c r="H2416">
        <v>3</v>
      </c>
      <c r="I2416">
        <v>1</v>
      </c>
      <c r="J2416">
        <v>1078</v>
      </c>
      <c r="K2416" s="5">
        <v>1.003979E-2</v>
      </c>
      <c r="L2416" t="s">
        <v>38</v>
      </c>
      <c r="M2416" s="4">
        <v>139320</v>
      </c>
      <c r="N2416" s="3">
        <v>335.34320000000002</v>
      </c>
      <c r="O2416" t="s">
        <v>22</v>
      </c>
      <c r="P2416" t="s">
        <v>24</v>
      </c>
      <c r="Q2416" t="s">
        <v>24</v>
      </c>
      <c r="R2416" t="s">
        <v>44</v>
      </c>
      <c r="S2416">
        <v>3</v>
      </c>
    </row>
    <row r="2417" spans="1:19" x14ac:dyDescent="0.3">
      <c r="A2417" s="1">
        <v>44623</v>
      </c>
      <c r="B2417">
        <v>2022</v>
      </c>
      <c r="C2417" t="s">
        <v>29</v>
      </c>
      <c r="D2417" s="4">
        <v>191190</v>
      </c>
      <c r="E2417" s="2">
        <v>425800</v>
      </c>
      <c r="F2417" t="s">
        <v>36</v>
      </c>
      <c r="G2417" t="s">
        <v>37</v>
      </c>
      <c r="H2417">
        <v>6</v>
      </c>
      <c r="I2417">
        <v>4</v>
      </c>
      <c r="J2417">
        <v>1810</v>
      </c>
      <c r="K2417" s="5">
        <v>1.003979E-2</v>
      </c>
      <c r="L2417" t="s">
        <v>32</v>
      </c>
      <c r="M2417" s="4">
        <v>234610</v>
      </c>
      <c r="N2417" s="3">
        <v>235.24860000000001</v>
      </c>
      <c r="O2417" t="s">
        <v>22</v>
      </c>
      <c r="P2417" t="s">
        <v>24</v>
      </c>
      <c r="Q2417" t="s">
        <v>34</v>
      </c>
      <c r="R2417" t="s">
        <v>44</v>
      </c>
      <c r="S2417">
        <v>3</v>
      </c>
    </row>
    <row r="2418" spans="1:19" x14ac:dyDescent="0.3">
      <c r="A2418" s="1">
        <v>44625</v>
      </c>
      <c r="B2418">
        <v>2022</v>
      </c>
      <c r="C2418" t="s">
        <v>39</v>
      </c>
      <c r="D2418" s="4">
        <v>1995000</v>
      </c>
      <c r="E2418" s="2">
        <v>2525000</v>
      </c>
      <c r="F2418" t="s">
        <v>19</v>
      </c>
      <c r="G2418" t="s">
        <v>20</v>
      </c>
      <c r="H2418">
        <v>3</v>
      </c>
      <c r="I2418">
        <v>3</v>
      </c>
      <c r="J2418">
        <v>985</v>
      </c>
      <c r="K2418" s="5">
        <v>1.003979E-2</v>
      </c>
      <c r="L2418" t="s">
        <v>27</v>
      </c>
      <c r="M2418" s="4">
        <v>530000</v>
      </c>
      <c r="N2418" s="3">
        <v>2563.4517999999998</v>
      </c>
      <c r="O2418" t="s">
        <v>22</v>
      </c>
      <c r="P2418" t="s">
        <v>28</v>
      </c>
      <c r="Q2418" t="s">
        <v>24</v>
      </c>
      <c r="R2418" t="s">
        <v>44</v>
      </c>
      <c r="S2418">
        <v>3</v>
      </c>
    </row>
    <row r="2419" spans="1:19" x14ac:dyDescent="0.3">
      <c r="A2419" s="1">
        <v>44626</v>
      </c>
      <c r="B2419">
        <v>2022</v>
      </c>
      <c r="C2419" t="s">
        <v>56</v>
      </c>
      <c r="D2419" s="4">
        <v>428600</v>
      </c>
      <c r="E2419" s="2">
        <v>620000</v>
      </c>
      <c r="F2419" t="s">
        <v>19</v>
      </c>
      <c r="G2419" t="s">
        <v>20</v>
      </c>
      <c r="H2419">
        <v>3</v>
      </c>
      <c r="I2419">
        <v>1</v>
      </c>
      <c r="J2419">
        <v>1095</v>
      </c>
      <c r="K2419" s="5">
        <v>1.003979E-2</v>
      </c>
      <c r="L2419" t="s">
        <v>21</v>
      </c>
      <c r="M2419" s="4">
        <v>191400</v>
      </c>
      <c r="N2419" s="3">
        <v>566.21</v>
      </c>
      <c r="O2419" t="s">
        <v>22</v>
      </c>
      <c r="P2419" t="s">
        <v>28</v>
      </c>
      <c r="Q2419" t="s">
        <v>24</v>
      </c>
      <c r="R2419" t="s">
        <v>44</v>
      </c>
      <c r="S2419">
        <v>3</v>
      </c>
    </row>
    <row r="2420" spans="1:19" x14ac:dyDescent="0.3">
      <c r="A2420" s="1">
        <v>44629</v>
      </c>
      <c r="B2420">
        <v>2022</v>
      </c>
      <c r="C2420" t="s">
        <v>26</v>
      </c>
      <c r="D2420" s="4">
        <v>348970</v>
      </c>
      <c r="E2420" s="2">
        <v>470000</v>
      </c>
      <c r="F2420" t="s">
        <v>19</v>
      </c>
      <c r="G2420" t="s">
        <v>20</v>
      </c>
      <c r="H2420">
        <v>3</v>
      </c>
      <c r="I2420">
        <v>3</v>
      </c>
      <c r="J2420">
        <v>943</v>
      </c>
      <c r="K2420" s="5">
        <v>1.003979E-2</v>
      </c>
      <c r="L2420" t="s">
        <v>32</v>
      </c>
      <c r="M2420" s="4">
        <v>121030</v>
      </c>
      <c r="N2420" s="3">
        <v>498.40929999999997</v>
      </c>
      <c r="O2420" t="s">
        <v>22</v>
      </c>
      <c r="P2420" t="s">
        <v>24</v>
      </c>
      <c r="Q2420" t="s">
        <v>24</v>
      </c>
      <c r="R2420" t="s">
        <v>44</v>
      </c>
      <c r="S2420">
        <v>3</v>
      </c>
    </row>
    <row r="2421" spans="1:19" x14ac:dyDescent="0.3">
      <c r="A2421" s="1">
        <v>44630</v>
      </c>
      <c r="B2421">
        <v>2022</v>
      </c>
      <c r="C2421" t="s">
        <v>40</v>
      </c>
      <c r="D2421" s="4">
        <v>71580</v>
      </c>
      <c r="E2421" s="2">
        <v>115000</v>
      </c>
      <c r="F2421" t="s">
        <v>19</v>
      </c>
      <c r="G2421" t="s">
        <v>20</v>
      </c>
      <c r="H2421">
        <v>3</v>
      </c>
      <c r="I2421">
        <v>3</v>
      </c>
      <c r="J2421">
        <v>952</v>
      </c>
      <c r="K2421" s="5">
        <v>1.003979E-2</v>
      </c>
      <c r="L2421" t="s">
        <v>38</v>
      </c>
      <c r="M2421" s="4">
        <v>43420</v>
      </c>
      <c r="N2421" s="3">
        <v>120.7983</v>
      </c>
      <c r="O2421" t="s">
        <v>22</v>
      </c>
      <c r="P2421" t="s">
        <v>23</v>
      </c>
      <c r="Q2421" t="s">
        <v>24</v>
      </c>
      <c r="R2421" t="s">
        <v>44</v>
      </c>
      <c r="S2421">
        <v>3</v>
      </c>
    </row>
    <row r="2422" spans="1:19" x14ac:dyDescent="0.3">
      <c r="A2422" s="1">
        <v>44632</v>
      </c>
      <c r="B2422">
        <v>2022</v>
      </c>
      <c r="C2422" t="s">
        <v>40</v>
      </c>
      <c r="D2422" s="4">
        <v>123410</v>
      </c>
      <c r="E2422" s="2">
        <v>130000</v>
      </c>
      <c r="F2422" t="s">
        <v>19</v>
      </c>
      <c r="G2422" t="s">
        <v>20</v>
      </c>
      <c r="H2422">
        <v>3</v>
      </c>
      <c r="I2422">
        <v>2</v>
      </c>
      <c r="J2422">
        <v>940</v>
      </c>
      <c r="K2422" s="5">
        <v>1.003979E-2</v>
      </c>
      <c r="L2422" t="s">
        <v>27</v>
      </c>
      <c r="M2422" s="4">
        <v>6590</v>
      </c>
      <c r="N2422" s="3">
        <v>138.2979</v>
      </c>
      <c r="O2422" t="s">
        <v>22</v>
      </c>
      <c r="P2422" t="s">
        <v>23</v>
      </c>
      <c r="Q2422" t="s">
        <v>24</v>
      </c>
      <c r="R2422" t="s">
        <v>44</v>
      </c>
      <c r="S2422">
        <v>3</v>
      </c>
    </row>
    <row r="2423" spans="1:19" x14ac:dyDescent="0.3">
      <c r="A2423" s="1">
        <v>44636</v>
      </c>
      <c r="B2423">
        <v>2022</v>
      </c>
      <c r="C2423" t="s">
        <v>39</v>
      </c>
      <c r="D2423" s="4">
        <v>337750</v>
      </c>
      <c r="E2423" s="2">
        <v>450000</v>
      </c>
      <c r="F2423" t="s">
        <v>30</v>
      </c>
      <c r="G2423" t="s">
        <v>31</v>
      </c>
      <c r="H2423">
        <v>4</v>
      </c>
      <c r="I2423">
        <v>3</v>
      </c>
      <c r="J2423">
        <v>1302</v>
      </c>
      <c r="K2423" s="5">
        <v>1.003979E-2</v>
      </c>
      <c r="L2423" t="s">
        <v>27</v>
      </c>
      <c r="M2423" s="4">
        <v>112250</v>
      </c>
      <c r="N2423" s="3">
        <v>345.62209999999999</v>
      </c>
      <c r="O2423" t="s">
        <v>22</v>
      </c>
      <c r="P2423" t="s">
        <v>24</v>
      </c>
      <c r="Q2423" t="s">
        <v>34</v>
      </c>
      <c r="R2423" t="s">
        <v>44</v>
      </c>
      <c r="S2423">
        <v>3</v>
      </c>
    </row>
    <row r="2424" spans="1:19" x14ac:dyDescent="0.3">
      <c r="A2424" s="1">
        <v>44637</v>
      </c>
      <c r="B2424">
        <v>2022</v>
      </c>
      <c r="C2424" t="s">
        <v>40</v>
      </c>
      <c r="D2424" s="4">
        <v>336490</v>
      </c>
      <c r="E2424" s="2">
        <v>400000</v>
      </c>
      <c r="F2424" t="s">
        <v>19</v>
      </c>
      <c r="G2424" t="s">
        <v>20</v>
      </c>
      <c r="H2424">
        <v>3</v>
      </c>
      <c r="I2424">
        <v>1</v>
      </c>
      <c r="J2424">
        <v>1055</v>
      </c>
      <c r="K2424" s="5">
        <v>1.003979E-2</v>
      </c>
      <c r="L2424" t="s">
        <v>38</v>
      </c>
      <c r="M2424" s="4">
        <v>63510</v>
      </c>
      <c r="N2424" s="3">
        <v>379.14690000000002</v>
      </c>
      <c r="O2424" t="s">
        <v>22</v>
      </c>
      <c r="P2424" t="s">
        <v>24</v>
      </c>
      <c r="Q2424" t="s">
        <v>24</v>
      </c>
      <c r="R2424" t="s">
        <v>44</v>
      </c>
      <c r="S2424">
        <v>3</v>
      </c>
    </row>
    <row r="2425" spans="1:19" x14ac:dyDescent="0.3">
      <c r="A2425" s="1">
        <v>44638</v>
      </c>
      <c r="B2425">
        <v>2022</v>
      </c>
      <c r="C2425" t="s">
        <v>18</v>
      </c>
      <c r="D2425" s="4">
        <v>41380</v>
      </c>
      <c r="E2425" s="2">
        <v>47000</v>
      </c>
      <c r="F2425" t="s">
        <v>19</v>
      </c>
      <c r="G2425" t="s">
        <v>20</v>
      </c>
      <c r="H2425">
        <v>3</v>
      </c>
      <c r="I2425">
        <v>3</v>
      </c>
      <c r="J2425">
        <v>984</v>
      </c>
      <c r="K2425" s="5">
        <v>1.003979E-2</v>
      </c>
      <c r="L2425" t="s">
        <v>21</v>
      </c>
      <c r="M2425" s="4">
        <v>5620</v>
      </c>
      <c r="N2425" s="3">
        <v>47.764200000000002</v>
      </c>
      <c r="O2425" t="s">
        <v>22</v>
      </c>
      <c r="P2425" t="s">
        <v>23</v>
      </c>
      <c r="Q2425" t="s">
        <v>24</v>
      </c>
      <c r="R2425" t="s">
        <v>44</v>
      </c>
      <c r="S2425">
        <v>3</v>
      </c>
    </row>
    <row r="2426" spans="1:19" x14ac:dyDescent="0.3">
      <c r="A2426" s="1">
        <v>44639</v>
      </c>
      <c r="B2426">
        <v>2022</v>
      </c>
      <c r="C2426" t="s">
        <v>18</v>
      </c>
      <c r="D2426" s="4">
        <v>87110</v>
      </c>
      <c r="E2426" s="2">
        <v>165000</v>
      </c>
      <c r="F2426" t="s">
        <v>30</v>
      </c>
      <c r="G2426" t="s">
        <v>31</v>
      </c>
      <c r="H2426">
        <v>4</v>
      </c>
      <c r="I2426">
        <v>2</v>
      </c>
      <c r="J2426">
        <v>1476</v>
      </c>
      <c r="K2426" s="5">
        <v>1.003979E-2</v>
      </c>
      <c r="L2426" t="s">
        <v>27</v>
      </c>
      <c r="M2426" s="4">
        <v>77890</v>
      </c>
      <c r="N2426" s="3">
        <v>111.7886</v>
      </c>
      <c r="O2426" t="s">
        <v>22</v>
      </c>
      <c r="P2426" t="s">
        <v>23</v>
      </c>
      <c r="Q2426" t="s">
        <v>34</v>
      </c>
      <c r="R2426" t="s">
        <v>44</v>
      </c>
      <c r="S2426">
        <v>3</v>
      </c>
    </row>
    <row r="2427" spans="1:19" x14ac:dyDescent="0.3">
      <c r="A2427" s="1">
        <v>44640</v>
      </c>
      <c r="B2427">
        <v>2022</v>
      </c>
      <c r="C2427" t="s">
        <v>35</v>
      </c>
      <c r="D2427" s="4">
        <v>346080</v>
      </c>
      <c r="E2427" s="2">
        <v>715000</v>
      </c>
      <c r="F2427" t="s">
        <v>30</v>
      </c>
      <c r="G2427" t="s">
        <v>31</v>
      </c>
      <c r="H2427">
        <v>4</v>
      </c>
      <c r="I2427">
        <v>3</v>
      </c>
      <c r="J2427">
        <v>1284</v>
      </c>
      <c r="K2427" s="5">
        <v>1.003979E-2</v>
      </c>
      <c r="L2427" t="s">
        <v>27</v>
      </c>
      <c r="M2427" s="4">
        <v>368920</v>
      </c>
      <c r="N2427" s="3">
        <v>556.85360000000003</v>
      </c>
      <c r="O2427" t="s">
        <v>22</v>
      </c>
      <c r="P2427" t="s">
        <v>28</v>
      </c>
      <c r="Q2427" t="s">
        <v>24</v>
      </c>
      <c r="R2427" t="s">
        <v>44</v>
      </c>
      <c r="S2427">
        <v>3</v>
      </c>
    </row>
    <row r="2428" spans="1:19" x14ac:dyDescent="0.3">
      <c r="A2428" s="1">
        <v>44643</v>
      </c>
      <c r="B2428">
        <v>2022</v>
      </c>
      <c r="C2428" t="s">
        <v>56</v>
      </c>
      <c r="D2428" s="4">
        <v>339610</v>
      </c>
      <c r="E2428" s="2">
        <v>533000</v>
      </c>
      <c r="F2428" t="s">
        <v>30</v>
      </c>
      <c r="G2428" t="s">
        <v>31</v>
      </c>
      <c r="H2428">
        <v>4</v>
      </c>
      <c r="I2428">
        <v>2</v>
      </c>
      <c r="J2428">
        <v>1421</v>
      </c>
      <c r="K2428" s="5">
        <v>1.003979E-2</v>
      </c>
      <c r="L2428" t="s">
        <v>38</v>
      </c>
      <c r="M2428" s="4">
        <v>193390</v>
      </c>
      <c r="N2428" s="3">
        <v>375.08800000000002</v>
      </c>
      <c r="O2428" t="s">
        <v>22</v>
      </c>
      <c r="P2428" t="s">
        <v>24</v>
      </c>
      <c r="Q2428" t="s">
        <v>34</v>
      </c>
      <c r="R2428" t="s">
        <v>44</v>
      </c>
      <c r="S2428">
        <v>3</v>
      </c>
    </row>
    <row r="2429" spans="1:19" x14ac:dyDescent="0.3">
      <c r="A2429" s="1">
        <v>44644</v>
      </c>
      <c r="B2429">
        <v>2022</v>
      </c>
      <c r="C2429" t="s">
        <v>40</v>
      </c>
      <c r="D2429" s="4">
        <v>933750</v>
      </c>
      <c r="E2429" s="2">
        <v>1200000</v>
      </c>
      <c r="F2429" t="s">
        <v>19</v>
      </c>
      <c r="G2429" t="s">
        <v>20</v>
      </c>
      <c r="H2429">
        <v>3</v>
      </c>
      <c r="I2429">
        <v>3</v>
      </c>
      <c r="J2429">
        <v>953</v>
      </c>
      <c r="K2429" s="5">
        <v>1.003979E-2</v>
      </c>
      <c r="L2429" t="s">
        <v>38</v>
      </c>
      <c r="M2429" s="4">
        <v>266250</v>
      </c>
      <c r="N2429" s="3">
        <v>1259.1814999999999</v>
      </c>
      <c r="O2429" t="s">
        <v>22</v>
      </c>
      <c r="P2429" t="s">
        <v>28</v>
      </c>
      <c r="Q2429" t="s">
        <v>24</v>
      </c>
      <c r="R2429" t="s">
        <v>44</v>
      </c>
      <c r="S2429">
        <v>3</v>
      </c>
    </row>
    <row r="2430" spans="1:19" x14ac:dyDescent="0.3">
      <c r="A2430" s="1">
        <v>44645</v>
      </c>
      <c r="B2430">
        <v>2022</v>
      </c>
      <c r="C2430" t="s">
        <v>29</v>
      </c>
      <c r="D2430" s="4">
        <v>116830</v>
      </c>
      <c r="E2430" s="2">
        <v>245000</v>
      </c>
      <c r="F2430" t="s">
        <v>19</v>
      </c>
      <c r="G2430" t="s">
        <v>20</v>
      </c>
      <c r="H2430">
        <v>3</v>
      </c>
      <c r="I2430">
        <v>2</v>
      </c>
      <c r="J2430">
        <v>1043</v>
      </c>
      <c r="K2430" s="5">
        <v>1.003979E-2</v>
      </c>
      <c r="L2430" t="s">
        <v>38</v>
      </c>
      <c r="M2430" s="4">
        <v>128170</v>
      </c>
      <c r="N2430" s="3">
        <v>234.89930000000001</v>
      </c>
      <c r="O2430" t="s">
        <v>22</v>
      </c>
      <c r="P2430" t="s">
        <v>24</v>
      </c>
      <c r="Q2430" t="s">
        <v>24</v>
      </c>
      <c r="R2430" t="s">
        <v>44</v>
      </c>
      <c r="S2430">
        <v>3</v>
      </c>
    </row>
    <row r="2431" spans="1:19" x14ac:dyDescent="0.3">
      <c r="A2431" s="1">
        <v>44646</v>
      </c>
      <c r="B2431">
        <v>2022</v>
      </c>
      <c r="C2431" t="s">
        <v>40</v>
      </c>
      <c r="D2431" s="4">
        <v>278190</v>
      </c>
      <c r="E2431" s="2">
        <v>415000</v>
      </c>
      <c r="F2431" t="s">
        <v>19</v>
      </c>
      <c r="G2431" t="s">
        <v>20</v>
      </c>
      <c r="H2431">
        <v>3</v>
      </c>
      <c r="I2431">
        <v>3</v>
      </c>
      <c r="J2431">
        <v>959</v>
      </c>
      <c r="K2431" s="5">
        <v>1.003979E-2</v>
      </c>
      <c r="L2431" t="s">
        <v>38</v>
      </c>
      <c r="M2431" s="4">
        <v>136810</v>
      </c>
      <c r="N2431" s="3">
        <v>432.74239999999998</v>
      </c>
      <c r="O2431" t="s">
        <v>22</v>
      </c>
      <c r="P2431" t="s">
        <v>24</v>
      </c>
      <c r="Q2431" t="s">
        <v>24</v>
      </c>
      <c r="R2431" t="s">
        <v>44</v>
      </c>
      <c r="S2431">
        <v>3</v>
      </c>
    </row>
    <row r="2432" spans="1:19" x14ac:dyDescent="0.3">
      <c r="A2432" s="1">
        <v>44647</v>
      </c>
      <c r="B2432">
        <v>2022</v>
      </c>
      <c r="C2432" t="s">
        <v>35</v>
      </c>
      <c r="D2432" s="4">
        <v>3856580</v>
      </c>
      <c r="E2432" s="2">
        <v>5100000</v>
      </c>
      <c r="F2432" t="s">
        <v>19</v>
      </c>
      <c r="G2432" t="s">
        <v>20</v>
      </c>
      <c r="H2432">
        <v>3</v>
      </c>
      <c r="I2432">
        <v>3</v>
      </c>
      <c r="J2432">
        <v>1025</v>
      </c>
      <c r="K2432" s="5">
        <v>1.003979E-2</v>
      </c>
      <c r="L2432" t="s">
        <v>27</v>
      </c>
      <c r="M2432" s="4">
        <v>1243420</v>
      </c>
      <c r="N2432" s="3">
        <v>4975.6098000000002</v>
      </c>
      <c r="O2432" t="s">
        <v>22</v>
      </c>
      <c r="P2432" t="s">
        <v>28</v>
      </c>
      <c r="Q2432" t="s">
        <v>24</v>
      </c>
      <c r="R2432" t="s">
        <v>44</v>
      </c>
      <c r="S2432">
        <v>3</v>
      </c>
    </row>
    <row r="2433" spans="1:19" x14ac:dyDescent="0.3">
      <c r="A2433" s="1">
        <v>44650</v>
      </c>
      <c r="B2433">
        <v>2022</v>
      </c>
      <c r="C2433" t="s">
        <v>18</v>
      </c>
      <c r="D2433" s="4">
        <v>89130</v>
      </c>
      <c r="E2433" s="2">
        <v>49810</v>
      </c>
      <c r="F2433" t="s">
        <v>19</v>
      </c>
      <c r="G2433" t="s">
        <v>20</v>
      </c>
      <c r="H2433">
        <v>3</v>
      </c>
      <c r="I2433">
        <v>1</v>
      </c>
      <c r="J2433">
        <v>984</v>
      </c>
      <c r="K2433" s="5">
        <v>1.003979E-2</v>
      </c>
      <c r="L2433" t="s">
        <v>32</v>
      </c>
      <c r="M2433" s="4">
        <v>-39320</v>
      </c>
      <c r="N2433" s="3">
        <v>50.619900000000001</v>
      </c>
      <c r="O2433" t="s">
        <v>33</v>
      </c>
      <c r="P2433" t="s">
        <v>23</v>
      </c>
      <c r="Q2433" t="s">
        <v>24</v>
      </c>
      <c r="R2433" t="s">
        <v>44</v>
      </c>
      <c r="S2433">
        <v>3</v>
      </c>
    </row>
    <row r="2434" spans="1:19" x14ac:dyDescent="0.3">
      <c r="A2434" s="1">
        <v>44651</v>
      </c>
      <c r="B2434">
        <v>2022</v>
      </c>
      <c r="C2434" t="s">
        <v>40</v>
      </c>
      <c r="D2434" s="4">
        <v>444584.20699999999</v>
      </c>
      <c r="E2434" s="2">
        <v>425000</v>
      </c>
      <c r="F2434" t="s">
        <v>19</v>
      </c>
      <c r="G2434" t="s">
        <v>20</v>
      </c>
      <c r="H2434">
        <v>3</v>
      </c>
      <c r="I2434">
        <v>3</v>
      </c>
      <c r="J2434">
        <v>923</v>
      </c>
      <c r="K2434" s="5">
        <v>1.003979E-2</v>
      </c>
      <c r="L2434" t="s">
        <v>27</v>
      </c>
      <c r="M2434" s="4">
        <v>-19584.206999999999</v>
      </c>
      <c r="N2434" s="3">
        <v>460.45499999999998</v>
      </c>
      <c r="O2434" t="s">
        <v>33</v>
      </c>
      <c r="P2434" t="s">
        <v>24</v>
      </c>
      <c r="Q2434" t="s">
        <v>24</v>
      </c>
      <c r="R2434" t="s">
        <v>44</v>
      </c>
      <c r="S2434">
        <v>3</v>
      </c>
    </row>
    <row r="2435" spans="1:19" x14ac:dyDescent="0.3">
      <c r="A2435" s="1">
        <v>44652</v>
      </c>
      <c r="B2435">
        <v>2022</v>
      </c>
      <c r="C2435" t="s">
        <v>52</v>
      </c>
      <c r="D2435" s="4">
        <v>277830</v>
      </c>
      <c r="E2435" s="2">
        <v>490000</v>
      </c>
      <c r="F2435" t="s">
        <v>19</v>
      </c>
      <c r="G2435" t="s">
        <v>20</v>
      </c>
      <c r="H2435">
        <v>3</v>
      </c>
      <c r="I2435">
        <v>2</v>
      </c>
      <c r="J2435">
        <v>953</v>
      </c>
      <c r="K2435" s="5">
        <v>1.003979E-2</v>
      </c>
      <c r="L2435" t="s">
        <v>21</v>
      </c>
      <c r="M2435" s="4">
        <v>212170</v>
      </c>
      <c r="N2435" s="3">
        <v>514.16579999999999</v>
      </c>
      <c r="O2435" t="s">
        <v>22</v>
      </c>
      <c r="P2435" t="s">
        <v>24</v>
      </c>
      <c r="Q2435" t="s">
        <v>24</v>
      </c>
      <c r="R2435" t="s">
        <v>45</v>
      </c>
      <c r="S2435">
        <v>4</v>
      </c>
    </row>
    <row r="2436" spans="1:19" x14ac:dyDescent="0.3">
      <c r="A2436" s="1">
        <v>44653</v>
      </c>
      <c r="B2436">
        <v>2022</v>
      </c>
      <c r="C2436" t="s">
        <v>56</v>
      </c>
      <c r="D2436" s="4">
        <v>297920</v>
      </c>
      <c r="E2436" s="2">
        <v>435000</v>
      </c>
      <c r="F2436" t="s">
        <v>19</v>
      </c>
      <c r="G2436" t="s">
        <v>20</v>
      </c>
      <c r="H2436">
        <v>3</v>
      </c>
      <c r="I2436">
        <v>3</v>
      </c>
      <c r="J2436">
        <v>1111.6589814177564</v>
      </c>
      <c r="K2436" s="5">
        <v>1.003979E-2</v>
      </c>
      <c r="L2436" t="s">
        <v>38</v>
      </c>
      <c r="M2436" s="4">
        <v>137080</v>
      </c>
      <c r="N2436" s="3">
        <v>391.30709999999999</v>
      </c>
      <c r="O2436" t="s">
        <v>22</v>
      </c>
      <c r="P2436" t="s">
        <v>24</v>
      </c>
      <c r="Q2436" t="s">
        <v>24</v>
      </c>
      <c r="R2436" t="s">
        <v>45</v>
      </c>
      <c r="S2436">
        <v>4</v>
      </c>
    </row>
    <row r="2437" spans="1:19" x14ac:dyDescent="0.3">
      <c r="A2437" s="1">
        <v>44654</v>
      </c>
      <c r="B2437">
        <v>2022</v>
      </c>
      <c r="C2437" t="s">
        <v>40</v>
      </c>
      <c r="D2437" s="4">
        <v>296810</v>
      </c>
      <c r="E2437" s="2">
        <v>400000</v>
      </c>
      <c r="F2437" t="s">
        <v>19</v>
      </c>
      <c r="G2437" t="s">
        <v>20</v>
      </c>
      <c r="H2437">
        <v>3</v>
      </c>
      <c r="I2437">
        <v>3</v>
      </c>
      <c r="J2437">
        <v>1012</v>
      </c>
      <c r="K2437" s="5">
        <v>1.003979E-2</v>
      </c>
      <c r="L2437" t="s">
        <v>27</v>
      </c>
      <c r="M2437" s="4">
        <v>103190</v>
      </c>
      <c r="N2437" s="3">
        <v>395.25689999999997</v>
      </c>
      <c r="O2437" t="s">
        <v>22</v>
      </c>
      <c r="P2437" t="s">
        <v>24</v>
      </c>
      <c r="Q2437" t="s">
        <v>24</v>
      </c>
      <c r="R2437" t="s">
        <v>45</v>
      </c>
      <c r="S2437">
        <v>4</v>
      </c>
    </row>
    <row r="2438" spans="1:19" x14ac:dyDescent="0.3">
      <c r="A2438" s="1">
        <v>44658</v>
      </c>
      <c r="B2438">
        <v>2022</v>
      </c>
      <c r="C2438" t="s">
        <v>40</v>
      </c>
      <c r="D2438" s="4">
        <v>248450</v>
      </c>
      <c r="E2438" s="2">
        <v>300500</v>
      </c>
      <c r="F2438" t="s">
        <v>19</v>
      </c>
      <c r="G2438" t="s">
        <v>20</v>
      </c>
      <c r="H2438">
        <v>3</v>
      </c>
      <c r="I2438">
        <v>2</v>
      </c>
      <c r="J2438">
        <v>1076</v>
      </c>
      <c r="K2438" s="5">
        <v>1.003979E-2</v>
      </c>
      <c r="L2438" t="s">
        <v>27</v>
      </c>
      <c r="M2438" s="4">
        <v>52050</v>
      </c>
      <c r="N2438" s="3">
        <v>279.27510000000001</v>
      </c>
      <c r="O2438" t="s">
        <v>22</v>
      </c>
      <c r="P2438" t="s">
        <v>24</v>
      </c>
      <c r="Q2438" t="s">
        <v>24</v>
      </c>
      <c r="R2438" t="s">
        <v>45</v>
      </c>
      <c r="S2438">
        <v>4</v>
      </c>
    </row>
    <row r="2439" spans="1:19" x14ac:dyDescent="0.3">
      <c r="A2439" s="1">
        <v>44659</v>
      </c>
      <c r="B2439">
        <v>2022</v>
      </c>
      <c r="C2439" t="s">
        <v>52</v>
      </c>
      <c r="D2439" s="4">
        <v>444584.20699999999</v>
      </c>
      <c r="E2439" s="2">
        <v>248000</v>
      </c>
      <c r="F2439" t="s">
        <v>19</v>
      </c>
      <c r="G2439" t="s">
        <v>20</v>
      </c>
      <c r="H2439">
        <v>3</v>
      </c>
      <c r="I2439">
        <v>2</v>
      </c>
      <c r="J2439">
        <v>1097</v>
      </c>
      <c r="K2439" s="5">
        <v>1.003979E-2</v>
      </c>
      <c r="L2439" t="s">
        <v>38</v>
      </c>
      <c r="M2439" s="4">
        <v>-196584.20699999999</v>
      </c>
      <c r="N2439" s="3">
        <v>226.0711</v>
      </c>
      <c r="O2439" t="s">
        <v>33</v>
      </c>
      <c r="P2439" t="s">
        <v>24</v>
      </c>
      <c r="Q2439" t="s">
        <v>24</v>
      </c>
      <c r="R2439" t="s">
        <v>45</v>
      </c>
      <c r="S2439">
        <v>4</v>
      </c>
    </row>
    <row r="2440" spans="1:19" x14ac:dyDescent="0.3">
      <c r="A2440" s="1">
        <v>44660</v>
      </c>
      <c r="B2440">
        <v>2022</v>
      </c>
      <c r="C2440" t="s">
        <v>26</v>
      </c>
      <c r="D2440" s="4">
        <v>208830</v>
      </c>
      <c r="E2440" s="2">
        <v>465000</v>
      </c>
      <c r="F2440" t="s">
        <v>19</v>
      </c>
      <c r="G2440" t="s">
        <v>20</v>
      </c>
      <c r="H2440">
        <v>3</v>
      </c>
      <c r="I2440">
        <v>2</v>
      </c>
      <c r="J2440">
        <v>937</v>
      </c>
      <c r="K2440" s="5">
        <v>1.003979E-2</v>
      </c>
      <c r="L2440" t="s">
        <v>21</v>
      </c>
      <c r="M2440" s="4">
        <v>256170</v>
      </c>
      <c r="N2440" s="3">
        <v>496.2647</v>
      </c>
      <c r="O2440" t="s">
        <v>22</v>
      </c>
      <c r="P2440" t="s">
        <v>24</v>
      </c>
      <c r="Q2440" t="s">
        <v>24</v>
      </c>
      <c r="R2440" t="s">
        <v>45</v>
      </c>
      <c r="S2440">
        <v>4</v>
      </c>
    </row>
    <row r="2441" spans="1:19" x14ac:dyDescent="0.3">
      <c r="A2441" s="1">
        <v>44664</v>
      </c>
      <c r="B2441">
        <v>2022</v>
      </c>
      <c r="C2441" t="s">
        <v>52</v>
      </c>
      <c r="D2441" s="4">
        <v>152110</v>
      </c>
      <c r="E2441" s="2">
        <v>264000</v>
      </c>
      <c r="F2441" t="s">
        <v>19</v>
      </c>
      <c r="G2441" t="s">
        <v>20</v>
      </c>
      <c r="H2441">
        <v>3</v>
      </c>
      <c r="I2441">
        <v>3</v>
      </c>
      <c r="J2441">
        <v>1024</v>
      </c>
      <c r="K2441" s="5">
        <v>1.003979E-2</v>
      </c>
      <c r="L2441" t="s">
        <v>27</v>
      </c>
      <c r="M2441" s="4">
        <v>111890</v>
      </c>
      <c r="N2441" s="3">
        <v>257.8125</v>
      </c>
      <c r="O2441" t="s">
        <v>22</v>
      </c>
      <c r="P2441" t="s">
        <v>24</v>
      </c>
      <c r="Q2441" t="s">
        <v>24</v>
      </c>
      <c r="R2441" t="s">
        <v>45</v>
      </c>
      <c r="S2441">
        <v>4</v>
      </c>
    </row>
    <row r="2442" spans="1:19" x14ac:dyDescent="0.3">
      <c r="A2442" s="1">
        <v>44665</v>
      </c>
      <c r="B2442">
        <v>2022</v>
      </c>
      <c r="C2442" t="s">
        <v>26</v>
      </c>
      <c r="D2442" s="4">
        <v>326010</v>
      </c>
      <c r="E2442" s="2">
        <v>450000</v>
      </c>
      <c r="F2442" t="s">
        <v>30</v>
      </c>
      <c r="G2442" t="s">
        <v>31</v>
      </c>
      <c r="H2442">
        <v>4</v>
      </c>
      <c r="I2442">
        <v>2</v>
      </c>
      <c r="J2442">
        <v>1261</v>
      </c>
      <c r="K2442" s="5">
        <v>1.003979E-2</v>
      </c>
      <c r="L2442" t="s">
        <v>38</v>
      </c>
      <c r="M2442" s="4">
        <v>123990</v>
      </c>
      <c r="N2442" s="3">
        <v>356.8596</v>
      </c>
      <c r="O2442" t="s">
        <v>22</v>
      </c>
      <c r="P2442" t="s">
        <v>24</v>
      </c>
      <c r="Q2442" t="s">
        <v>24</v>
      </c>
      <c r="R2442" t="s">
        <v>45</v>
      </c>
      <c r="S2442">
        <v>4</v>
      </c>
    </row>
    <row r="2443" spans="1:19" x14ac:dyDescent="0.3">
      <c r="A2443" s="1">
        <v>44667</v>
      </c>
      <c r="B2443">
        <v>2022</v>
      </c>
      <c r="C2443" t="s">
        <v>40</v>
      </c>
      <c r="D2443" s="4">
        <v>55960</v>
      </c>
      <c r="E2443" s="2">
        <v>110000</v>
      </c>
      <c r="F2443" t="s">
        <v>19</v>
      </c>
      <c r="G2443" t="s">
        <v>20</v>
      </c>
      <c r="H2443">
        <v>3</v>
      </c>
      <c r="I2443">
        <v>1</v>
      </c>
      <c r="J2443">
        <v>1054</v>
      </c>
      <c r="K2443" s="5">
        <v>1.003979E-2</v>
      </c>
      <c r="L2443" t="s">
        <v>32</v>
      </c>
      <c r="M2443" s="4">
        <v>54040</v>
      </c>
      <c r="N2443" s="3">
        <v>104.3643</v>
      </c>
      <c r="O2443" t="s">
        <v>22</v>
      </c>
      <c r="P2443" t="s">
        <v>23</v>
      </c>
      <c r="Q2443" t="s">
        <v>24</v>
      </c>
      <c r="R2443" t="s">
        <v>45</v>
      </c>
      <c r="S2443">
        <v>4</v>
      </c>
    </row>
    <row r="2444" spans="1:19" x14ac:dyDescent="0.3">
      <c r="A2444" s="1">
        <v>44668</v>
      </c>
      <c r="B2444">
        <v>2022</v>
      </c>
      <c r="C2444" t="s">
        <v>56</v>
      </c>
      <c r="D2444" s="4">
        <v>444584.20699999999</v>
      </c>
      <c r="E2444" s="2">
        <v>1085000</v>
      </c>
      <c r="F2444" t="s">
        <v>19</v>
      </c>
      <c r="G2444" t="s">
        <v>20</v>
      </c>
      <c r="H2444">
        <v>3</v>
      </c>
      <c r="I2444">
        <v>1</v>
      </c>
      <c r="J2444">
        <v>945</v>
      </c>
      <c r="K2444" s="5">
        <v>1.003979E-2</v>
      </c>
      <c r="L2444" t="s">
        <v>32</v>
      </c>
      <c r="M2444" s="4">
        <v>640415.79299999995</v>
      </c>
      <c r="N2444" s="3">
        <v>1148.1481000000001</v>
      </c>
      <c r="O2444" t="s">
        <v>22</v>
      </c>
      <c r="P2444" t="s">
        <v>28</v>
      </c>
      <c r="Q2444" t="s">
        <v>24</v>
      </c>
      <c r="R2444" t="s">
        <v>45</v>
      </c>
      <c r="S2444">
        <v>4</v>
      </c>
    </row>
    <row r="2445" spans="1:19" x14ac:dyDescent="0.3">
      <c r="A2445" s="1">
        <v>44671</v>
      </c>
      <c r="B2445">
        <v>2022</v>
      </c>
      <c r="C2445" t="s">
        <v>52</v>
      </c>
      <c r="D2445" s="4">
        <v>308560</v>
      </c>
      <c r="E2445" s="2">
        <v>355000</v>
      </c>
      <c r="F2445" t="s">
        <v>19</v>
      </c>
      <c r="G2445" t="s">
        <v>20</v>
      </c>
      <c r="H2445">
        <v>3</v>
      </c>
      <c r="I2445">
        <v>2</v>
      </c>
      <c r="J2445">
        <v>1111.6589814177564</v>
      </c>
      <c r="K2445" s="5">
        <v>1.003979E-2</v>
      </c>
      <c r="L2445" t="s">
        <v>38</v>
      </c>
      <c r="M2445" s="4">
        <v>46440</v>
      </c>
      <c r="N2445" s="3">
        <v>319.34249999999997</v>
      </c>
      <c r="O2445" t="s">
        <v>22</v>
      </c>
      <c r="P2445" t="s">
        <v>24</v>
      </c>
      <c r="Q2445" t="s">
        <v>24</v>
      </c>
      <c r="R2445" t="s">
        <v>45</v>
      </c>
      <c r="S2445">
        <v>4</v>
      </c>
    </row>
    <row r="2446" spans="1:19" x14ac:dyDescent="0.3">
      <c r="A2446" s="1">
        <v>44672</v>
      </c>
      <c r="B2446">
        <v>2022</v>
      </c>
      <c r="C2446" t="s">
        <v>52</v>
      </c>
      <c r="D2446" s="4">
        <v>143430</v>
      </c>
      <c r="E2446" s="2">
        <v>238000</v>
      </c>
      <c r="F2446" t="s">
        <v>19</v>
      </c>
      <c r="G2446" t="s">
        <v>20</v>
      </c>
      <c r="H2446">
        <v>3</v>
      </c>
      <c r="I2446">
        <v>1</v>
      </c>
      <c r="J2446">
        <v>1049</v>
      </c>
      <c r="K2446" s="5">
        <v>1.003979E-2</v>
      </c>
      <c r="L2446" t="s">
        <v>27</v>
      </c>
      <c r="M2446" s="4">
        <v>94570</v>
      </c>
      <c r="N2446" s="3">
        <v>226.8827</v>
      </c>
      <c r="O2446" t="s">
        <v>22</v>
      </c>
      <c r="P2446" t="s">
        <v>24</v>
      </c>
      <c r="Q2446" t="s">
        <v>24</v>
      </c>
      <c r="R2446" t="s">
        <v>45</v>
      </c>
      <c r="S2446">
        <v>4</v>
      </c>
    </row>
    <row r="2447" spans="1:19" x14ac:dyDescent="0.3">
      <c r="A2447" s="1">
        <v>44673</v>
      </c>
      <c r="B2447">
        <v>2022</v>
      </c>
      <c r="C2447" t="s">
        <v>26</v>
      </c>
      <c r="D2447" s="4">
        <v>873040</v>
      </c>
      <c r="E2447" s="2">
        <v>1150000</v>
      </c>
      <c r="F2447" t="s">
        <v>19</v>
      </c>
      <c r="G2447" t="s">
        <v>20</v>
      </c>
      <c r="H2447">
        <v>3</v>
      </c>
      <c r="I2447">
        <v>2</v>
      </c>
      <c r="J2447">
        <v>981</v>
      </c>
      <c r="K2447" s="5">
        <v>1.003979E-2</v>
      </c>
      <c r="L2447" t="s">
        <v>38</v>
      </c>
      <c r="M2447" s="4">
        <v>276960</v>
      </c>
      <c r="N2447" s="3">
        <v>1172.2732000000001</v>
      </c>
      <c r="O2447" t="s">
        <v>22</v>
      </c>
      <c r="P2447" t="s">
        <v>28</v>
      </c>
      <c r="Q2447" t="s">
        <v>24</v>
      </c>
      <c r="R2447" t="s">
        <v>45</v>
      </c>
      <c r="S2447">
        <v>4</v>
      </c>
    </row>
    <row r="2448" spans="1:19" x14ac:dyDescent="0.3">
      <c r="A2448" s="1">
        <v>44674</v>
      </c>
      <c r="B2448">
        <v>2022</v>
      </c>
      <c r="C2448" t="s">
        <v>18</v>
      </c>
      <c r="D2448" s="4">
        <v>186750</v>
      </c>
      <c r="E2448" s="2">
        <v>180000</v>
      </c>
      <c r="F2448" t="s">
        <v>19</v>
      </c>
      <c r="G2448" t="s">
        <v>20</v>
      </c>
      <c r="H2448">
        <v>3</v>
      </c>
      <c r="I2448">
        <v>3</v>
      </c>
      <c r="J2448">
        <v>1080</v>
      </c>
      <c r="K2448" s="5">
        <v>1.003979E-2</v>
      </c>
      <c r="L2448" t="s">
        <v>27</v>
      </c>
      <c r="M2448" s="4">
        <v>-6750</v>
      </c>
      <c r="N2448" s="3">
        <v>166.66669999999999</v>
      </c>
      <c r="O2448" t="s">
        <v>33</v>
      </c>
      <c r="P2448" t="s">
        <v>23</v>
      </c>
      <c r="Q2448" t="s">
        <v>24</v>
      </c>
      <c r="R2448" t="s">
        <v>45</v>
      </c>
      <c r="S2448">
        <v>4</v>
      </c>
    </row>
    <row r="2449" spans="1:19" x14ac:dyDescent="0.3">
      <c r="A2449" s="1">
        <v>44680</v>
      </c>
      <c r="B2449">
        <v>2022</v>
      </c>
      <c r="C2449" t="s">
        <v>39</v>
      </c>
      <c r="D2449" s="4">
        <v>358120</v>
      </c>
      <c r="E2449" s="2">
        <v>535000</v>
      </c>
      <c r="F2449" t="s">
        <v>19</v>
      </c>
      <c r="G2449" t="s">
        <v>20</v>
      </c>
      <c r="H2449">
        <v>3</v>
      </c>
      <c r="I2449">
        <v>1</v>
      </c>
      <c r="J2449">
        <v>930</v>
      </c>
      <c r="K2449" s="5">
        <v>1.003979E-2</v>
      </c>
      <c r="L2449" t="s">
        <v>27</v>
      </c>
      <c r="M2449" s="4">
        <v>176880</v>
      </c>
      <c r="N2449" s="3">
        <v>575.26880000000006</v>
      </c>
      <c r="O2449" t="s">
        <v>22</v>
      </c>
      <c r="P2449" t="s">
        <v>24</v>
      </c>
      <c r="Q2449" t="s">
        <v>24</v>
      </c>
      <c r="R2449" t="s">
        <v>45</v>
      </c>
      <c r="S2449">
        <v>4</v>
      </c>
    </row>
    <row r="2450" spans="1:19" x14ac:dyDescent="0.3">
      <c r="A2450" s="1">
        <v>44681</v>
      </c>
      <c r="B2450">
        <v>2022</v>
      </c>
      <c r="C2450" t="s">
        <v>35</v>
      </c>
      <c r="D2450" s="4">
        <v>1400980</v>
      </c>
      <c r="E2450" s="2">
        <v>2647838</v>
      </c>
      <c r="F2450" t="s">
        <v>19</v>
      </c>
      <c r="G2450" t="s">
        <v>20</v>
      </c>
      <c r="H2450">
        <v>3</v>
      </c>
      <c r="I2450">
        <v>2</v>
      </c>
      <c r="J2450">
        <v>984</v>
      </c>
      <c r="K2450" s="5">
        <v>1.003979E-2</v>
      </c>
      <c r="L2450" t="s">
        <v>27</v>
      </c>
      <c r="M2450" s="4">
        <v>1246858</v>
      </c>
      <c r="N2450" s="3">
        <v>2690.8923</v>
      </c>
      <c r="O2450" t="s">
        <v>22</v>
      </c>
      <c r="P2450" t="s">
        <v>28</v>
      </c>
      <c r="Q2450" t="s">
        <v>24</v>
      </c>
      <c r="R2450" t="s">
        <v>45</v>
      </c>
      <c r="S2450">
        <v>4</v>
      </c>
    </row>
    <row r="2451" spans="1:19" x14ac:dyDescent="0.3">
      <c r="A2451" s="1">
        <v>44682</v>
      </c>
      <c r="B2451">
        <v>2022</v>
      </c>
      <c r="C2451" t="s">
        <v>26</v>
      </c>
      <c r="D2451" s="4">
        <v>444584.20699999999</v>
      </c>
      <c r="E2451" s="2">
        <v>485000</v>
      </c>
      <c r="F2451" t="s">
        <v>19</v>
      </c>
      <c r="G2451" t="s">
        <v>20</v>
      </c>
      <c r="H2451">
        <v>3</v>
      </c>
      <c r="I2451">
        <v>1</v>
      </c>
      <c r="J2451">
        <v>1008</v>
      </c>
      <c r="K2451" s="5">
        <v>1.003979E-2</v>
      </c>
      <c r="L2451" t="s">
        <v>21</v>
      </c>
      <c r="M2451" s="4">
        <v>40415.792999999998</v>
      </c>
      <c r="N2451" s="3">
        <v>481.1508</v>
      </c>
      <c r="O2451" t="s">
        <v>22</v>
      </c>
      <c r="P2451" t="s">
        <v>24</v>
      </c>
      <c r="Q2451" t="s">
        <v>24</v>
      </c>
      <c r="R2451" t="s">
        <v>47</v>
      </c>
      <c r="S2451">
        <v>5</v>
      </c>
    </row>
    <row r="2452" spans="1:19" x14ac:dyDescent="0.3">
      <c r="A2452" s="1">
        <v>44686</v>
      </c>
      <c r="B2452">
        <v>2022</v>
      </c>
      <c r="C2452" t="s">
        <v>40</v>
      </c>
      <c r="D2452" s="4">
        <v>595430</v>
      </c>
      <c r="E2452" s="2">
        <v>2374620</v>
      </c>
      <c r="F2452" t="s">
        <v>19</v>
      </c>
      <c r="G2452" t="s">
        <v>20</v>
      </c>
      <c r="H2452">
        <v>3</v>
      </c>
      <c r="I2452">
        <v>2</v>
      </c>
      <c r="J2452">
        <v>937</v>
      </c>
      <c r="K2452" s="5">
        <v>1.003979E-2</v>
      </c>
      <c r="L2452" t="s">
        <v>21</v>
      </c>
      <c r="M2452" s="4">
        <v>1779190</v>
      </c>
      <c r="N2452" s="3">
        <v>2534.2795999999998</v>
      </c>
      <c r="O2452" t="s">
        <v>22</v>
      </c>
      <c r="P2452" t="s">
        <v>28</v>
      </c>
      <c r="Q2452" t="s">
        <v>24</v>
      </c>
      <c r="R2452" t="s">
        <v>47</v>
      </c>
      <c r="S2452">
        <v>5</v>
      </c>
    </row>
    <row r="2453" spans="1:19" x14ac:dyDescent="0.3">
      <c r="A2453" s="1">
        <v>44687</v>
      </c>
      <c r="B2453">
        <v>2022</v>
      </c>
      <c r="C2453" t="s">
        <v>35</v>
      </c>
      <c r="D2453" s="4">
        <v>2034620</v>
      </c>
      <c r="E2453" s="2">
        <v>2180000</v>
      </c>
      <c r="F2453" t="s">
        <v>19</v>
      </c>
      <c r="G2453" t="s">
        <v>20</v>
      </c>
      <c r="H2453">
        <v>3</v>
      </c>
      <c r="I2453">
        <v>2</v>
      </c>
      <c r="J2453">
        <v>1050</v>
      </c>
      <c r="K2453" s="5">
        <v>1.003979E-2</v>
      </c>
      <c r="L2453" t="s">
        <v>27</v>
      </c>
      <c r="M2453" s="4">
        <v>145380</v>
      </c>
      <c r="N2453" s="3">
        <v>2076.1905000000002</v>
      </c>
      <c r="O2453" t="s">
        <v>22</v>
      </c>
      <c r="P2453" t="s">
        <v>28</v>
      </c>
      <c r="Q2453" t="s">
        <v>24</v>
      </c>
      <c r="R2453" t="s">
        <v>47</v>
      </c>
      <c r="S2453">
        <v>5</v>
      </c>
    </row>
    <row r="2454" spans="1:19" x14ac:dyDescent="0.3">
      <c r="A2454" s="1">
        <v>44688</v>
      </c>
      <c r="B2454">
        <v>2022</v>
      </c>
      <c r="C2454" t="s">
        <v>39</v>
      </c>
      <c r="D2454" s="4">
        <v>238770</v>
      </c>
      <c r="E2454" s="2">
        <v>290000</v>
      </c>
      <c r="F2454" t="s">
        <v>19</v>
      </c>
      <c r="G2454" t="s">
        <v>20</v>
      </c>
      <c r="H2454">
        <v>3</v>
      </c>
      <c r="I2454">
        <v>2</v>
      </c>
      <c r="J2454">
        <v>1041</v>
      </c>
      <c r="K2454" s="5">
        <v>1.003979E-2</v>
      </c>
      <c r="L2454" t="s">
        <v>38</v>
      </c>
      <c r="M2454" s="4">
        <v>51230</v>
      </c>
      <c r="N2454" s="3">
        <v>278.57830000000001</v>
      </c>
      <c r="O2454" t="s">
        <v>22</v>
      </c>
      <c r="P2454" t="s">
        <v>24</v>
      </c>
      <c r="Q2454" t="s">
        <v>24</v>
      </c>
      <c r="R2454" t="s">
        <v>47</v>
      </c>
      <c r="S2454">
        <v>5</v>
      </c>
    </row>
    <row r="2455" spans="1:19" x14ac:dyDescent="0.3">
      <c r="A2455" s="1">
        <v>44689</v>
      </c>
      <c r="B2455">
        <v>2022</v>
      </c>
      <c r="C2455" t="s">
        <v>56</v>
      </c>
      <c r="D2455" s="4">
        <v>362220</v>
      </c>
      <c r="E2455" s="2">
        <v>510000</v>
      </c>
      <c r="F2455" t="s">
        <v>19</v>
      </c>
      <c r="G2455" t="s">
        <v>20</v>
      </c>
      <c r="H2455">
        <v>3</v>
      </c>
      <c r="I2455">
        <v>3</v>
      </c>
      <c r="J2455">
        <v>1088</v>
      </c>
      <c r="K2455" s="5">
        <v>1.003979E-2</v>
      </c>
      <c r="L2455" t="s">
        <v>21</v>
      </c>
      <c r="M2455" s="4">
        <v>147780</v>
      </c>
      <c r="N2455" s="3">
        <v>468.75</v>
      </c>
      <c r="O2455" t="s">
        <v>22</v>
      </c>
      <c r="P2455" t="s">
        <v>24</v>
      </c>
      <c r="Q2455" t="s">
        <v>24</v>
      </c>
      <c r="R2455" t="s">
        <v>47</v>
      </c>
      <c r="S2455">
        <v>5</v>
      </c>
    </row>
    <row r="2456" spans="1:19" x14ac:dyDescent="0.3">
      <c r="A2456" s="1">
        <v>44692</v>
      </c>
      <c r="B2456">
        <v>2022</v>
      </c>
      <c r="C2456" t="s">
        <v>56</v>
      </c>
      <c r="D2456" s="4">
        <v>523920</v>
      </c>
      <c r="E2456" s="2">
        <v>729000</v>
      </c>
      <c r="F2456" t="s">
        <v>19</v>
      </c>
      <c r="G2456" t="s">
        <v>20</v>
      </c>
      <c r="H2456">
        <v>3</v>
      </c>
      <c r="I2456">
        <v>3</v>
      </c>
      <c r="J2456">
        <v>939</v>
      </c>
      <c r="K2456" s="5">
        <v>1.003979E-2</v>
      </c>
      <c r="L2456" t="s">
        <v>32</v>
      </c>
      <c r="M2456" s="4">
        <v>205080</v>
      </c>
      <c r="N2456" s="3">
        <v>776.3578</v>
      </c>
      <c r="O2456" t="s">
        <v>22</v>
      </c>
      <c r="P2456" t="s">
        <v>28</v>
      </c>
      <c r="Q2456" t="s">
        <v>24</v>
      </c>
      <c r="R2456" t="s">
        <v>47</v>
      </c>
      <c r="S2456">
        <v>5</v>
      </c>
    </row>
    <row r="2457" spans="1:19" x14ac:dyDescent="0.3">
      <c r="A2457" s="1">
        <v>44693</v>
      </c>
      <c r="B2457">
        <v>2022</v>
      </c>
      <c r="C2457" t="s">
        <v>56</v>
      </c>
      <c r="D2457" s="4">
        <v>444584.20699999999</v>
      </c>
      <c r="E2457" s="2">
        <v>970000</v>
      </c>
      <c r="F2457" t="s">
        <v>19</v>
      </c>
      <c r="G2457" t="s">
        <v>20</v>
      </c>
      <c r="H2457">
        <v>3</v>
      </c>
      <c r="I2457">
        <v>2</v>
      </c>
      <c r="J2457">
        <v>1111.6589814177564</v>
      </c>
      <c r="K2457" s="5">
        <v>1.003979E-2</v>
      </c>
      <c r="L2457" t="s">
        <v>38</v>
      </c>
      <c r="M2457" s="4">
        <v>525415.79299999995</v>
      </c>
      <c r="N2457" s="3">
        <v>872.56979999999999</v>
      </c>
      <c r="O2457" t="s">
        <v>22</v>
      </c>
      <c r="P2457" t="s">
        <v>28</v>
      </c>
      <c r="Q2457" t="s">
        <v>24</v>
      </c>
      <c r="R2457" t="s">
        <v>47</v>
      </c>
      <c r="S2457">
        <v>5</v>
      </c>
    </row>
    <row r="2458" spans="1:19" x14ac:dyDescent="0.3">
      <c r="A2458" s="1">
        <v>44694</v>
      </c>
      <c r="B2458">
        <v>2022</v>
      </c>
      <c r="C2458" t="s">
        <v>29</v>
      </c>
      <c r="D2458" s="4">
        <v>89070</v>
      </c>
      <c r="E2458" s="2">
        <v>260000</v>
      </c>
      <c r="F2458" t="s">
        <v>19</v>
      </c>
      <c r="G2458" t="s">
        <v>20</v>
      </c>
      <c r="H2458">
        <v>3</v>
      </c>
      <c r="I2458">
        <v>3</v>
      </c>
      <c r="J2458">
        <v>913</v>
      </c>
      <c r="K2458" s="5">
        <v>1.003979E-2</v>
      </c>
      <c r="L2458" t="s">
        <v>32</v>
      </c>
      <c r="M2458" s="4">
        <v>170930</v>
      </c>
      <c r="N2458" s="3">
        <v>284.77550000000002</v>
      </c>
      <c r="O2458" t="s">
        <v>22</v>
      </c>
      <c r="P2458" t="s">
        <v>24</v>
      </c>
      <c r="Q2458" t="s">
        <v>24</v>
      </c>
      <c r="R2458" t="s">
        <v>47</v>
      </c>
      <c r="S2458">
        <v>5</v>
      </c>
    </row>
    <row r="2459" spans="1:19" x14ac:dyDescent="0.3">
      <c r="A2459" s="1">
        <v>44695</v>
      </c>
      <c r="B2459">
        <v>2022</v>
      </c>
      <c r="C2459" t="s">
        <v>26</v>
      </c>
      <c r="D2459" s="4">
        <v>301880</v>
      </c>
      <c r="E2459" s="2">
        <v>469000</v>
      </c>
      <c r="F2459" t="s">
        <v>19</v>
      </c>
      <c r="G2459" t="s">
        <v>20</v>
      </c>
      <c r="H2459">
        <v>3</v>
      </c>
      <c r="I2459">
        <v>2</v>
      </c>
      <c r="J2459">
        <v>1086</v>
      </c>
      <c r="K2459" s="5">
        <v>1.003979E-2</v>
      </c>
      <c r="L2459" t="s">
        <v>27</v>
      </c>
      <c r="M2459" s="4">
        <v>167120</v>
      </c>
      <c r="N2459" s="3">
        <v>431.86</v>
      </c>
      <c r="O2459" t="s">
        <v>22</v>
      </c>
      <c r="P2459" t="s">
        <v>24</v>
      </c>
      <c r="Q2459" t="s">
        <v>24</v>
      </c>
      <c r="R2459" t="s">
        <v>47</v>
      </c>
      <c r="S2459">
        <v>5</v>
      </c>
    </row>
    <row r="2460" spans="1:19" x14ac:dyDescent="0.3">
      <c r="A2460" s="1">
        <v>44696</v>
      </c>
      <c r="B2460">
        <v>2022</v>
      </c>
      <c r="C2460" t="s">
        <v>29</v>
      </c>
      <c r="D2460" s="4">
        <v>124750</v>
      </c>
      <c r="E2460" s="2">
        <v>146913</v>
      </c>
      <c r="F2460" t="s">
        <v>19</v>
      </c>
      <c r="G2460" t="s">
        <v>20</v>
      </c>
      <c r="H2460">
        <v>3</v>
      </c>
      <c r="I2460">
        <v>2</v>
      </c>
      <c r="J2460">
        <v>1048</v>
      </c>
      <c r="K2460" s="5">
        <v>1.003979E-2</v>
      </c>
      <c r="L2460" t="s">
        <v>21</v>
      </c>
      <c r="M2460" s="4">
        <v>22163</v>
      </c>
      <c r="N2460" s="3">
        <v>140.1842</v>
      </c>
      <c r="O2460" t="s">
        <v>22</v>
      </c>
      <c r="P2460" t="s">
        <v>23</v>
      </c>
      <c r="Q2460" t="s">
        <v>24</v>
      </c>
      <c r="R2460" t="s">
        <v>47</v>
      </c>
      <c r="S2460">
        <v>5</v>
      </c>
    </row>
    <row r="2461" spans="1:19" x14ac:dyDescent="0.3">
      <c r="A2461" s="1">
        <v>44699</v>
      </c>
      <c r="B2461">
        <v>2022</v>
      </c>
      <c r="C2461" t="s">
        <v>26</v>
      </c>
      <c r="D2461" s="4">
        <v>268300</v>
      </c>
      <c r="E2461" s="2">
        <v>450000</v>
      </c>
      <c r="F2461" t="s">
        <v>19</v>
      </c>
      <c r="G2461" t="s">
        <v>20</v>
      </c>
      <c r="H2461">
        <v>3</v>
      </c>
      <c r="I2461">
        <v>2</v>
      </c>
      <c r="J2461">
        <v>941</v>
      </c>
      <c r="K2461" s="5">
        <v>1.003979E-2</v>
      </c>
      <c r="L2461" t="s">
        <v>32</v>
      </c>
      <c r="M2461" s="4">
        <v>181700</v>
      </c>
      <c r="N2461" s="3">
        <v>478.21469999999999</v>
      </c>
      <c r="O2461" t="s">
        <v>22</v>
      </c>
      <c r="P2461" t="s">
        <v>24</v>
      </c>
      <c r="Q2461" t="s">
        <v>24</v>
      </c>
      <c r="R2461" t="s">
        <v>47</v>
      </c>
      <c r="S2461">
        <v>5</v>
      </c>
    </row>
    <row r="2462" spans="1:19" x14ac:dyDescent="0.3">
      <c r="A2462" s="1">
        <v>44700</v>
      </c>
      <c r="B2462">
        <v>2022</v>
      </c>
      <c r="C2462" t="s">
        <v>18</v>
      </c>
      <c r="D2462" s="4">
        <v>444584.20699999999</v>
      </c>
      <c r="E2462" s="2">
        <v>72100</v>
      </c>
      <c r="F2462" t="s">
        <v>19</v>
      </c>
      <c r="G2462" t="s">
        <v>20</v>
      </c>
      <c r="H2462">
        <v>3</v>
      </c>
      <c r="I2462">
        <v>3</v>
      </c>
      <c r="J2462">
        <v>1033</v>
      </c>
      <c r="K2462" s="5">
        <v>1.003979E-2</v>
      </c>
      <c r="L2462" t="s">
        <v>32</v>
      </c>
      <c r="M2462" s="4">
        <v>-372484.20699999999</v>
      </c>
      <c r="N2462" s="3">
        <v>69.796700000000001</v>
      </c>
      <c r="O2462" t="s">
        <v>33</v>
      </c>
      <c r="P2462" t="s">
        <v>23</v>
      </c>
      <c r="Q2462" t="s">
        <v>24</v>
      </c>
      <c r="R2462" t="s">
        <v>47</v>
      </c>
      <c r="S2462">
        <v>5</v>
      </c>
    </row>
    <row r="2463" spans="1:19" x14ac:dyDescent="0.3">
      <c r="A2463" s="1">
        <v>44701</v>
      </c>
      <c r="B2463">
        <v>2022</v>
      </c>
      <c r="C2463" t="s">
        <v>35</v>
      </c>
      <c r="D2463" s="4">
        <v>444584.20699999999</v>
      </c>
      <c r="E2463" s="2">
        <v>500000</v>
      </c>
      <c r="F2463" t="s">
        <v>19</v>
      </c>
      <c r="G2463" t="s">
        <v>20</v>
      </c>
      <c r="H2463">
        <v>3</v>
      </c>
      <c r="I2463">
        <v>3</v>
      </c>
      <c r="J2463">
        <v>1111.6589814177564</v>
      </c>
      <c r="K2463" s="5">
        <v>1.003979E-2</v>
      </c>
      <c r="L2463" t="s">
        <v>38</v>
      </c>
      <c r="M2463" s="4">
        <v>55415.792999999998</v>
      </c>
      <c r="N2463" s="3">
        <v>449.77820000000003</v>
      </c>
      <c r="O2463" t="s">
        <v>22</v>
      </c>
      <c r="P2463" t="s">
        <v>24</v>
      </c>
      <c r="Q2463" t="s">
        <v>24</v>
      </c>
      <c r="R2463" t="s">
        <v>47</v>
      </c>
      <c r="S2463">
        <v>5</v>
      </c>
    </row>
    <row r="2464" spans="1:19" x14ac:dyDescent="0.3">
      <c r="A2464" s="1">
        <v>44702</v>
      </c>
      <c r="B2464">
        <v>2022</v>
      </c>
      <c r="C2464" t="s">
        <v>40</v>
      </c>
      <c r="D2464" s="4">
        <v>102150</v>
      </c>
      <c r="E2464" s="2">
        <v>187500</v>
      </c>
      <c r="F2464" t="s">
        <v>19</v>
      </c>
      <c r="G2464" t="s">
        <v>20</v>
      </c>
      <c r="H2464">
        <v>3</v>
      </c>
      <c r="I2464">
        <v>2</v>
      </c>
      <c r="J2464">
        <v>957</v>
      </c>
      <c r="K2464" s="5">
        <v>1.003979E-2</v>
      </c>
      <c r="L2464" t="s">
        <v>38</v>
      </c>
      <c r="M2464" s="4">
        <v>85350</v>
      </c>
      <c r="N2464" s="3">
        <v>195.9248</v>
      </c>
      <c r="O2464" t="s">
        <v>22</v>
      </c>
      <c r="P2464" t="s">
        <v>23</v>
      </c>
      <c r="Q2464" t="s">
        <v>24</v>
      </c>
      <c r="R2464" t="s">
        <v>47</v>
      </c>
      <c r="S2464">
        <v>5</v>
      </c>
    </row>
    <row r="2465" spans="1:19" x14ac:dyDescent="0.3">
      <c r="A2465" s="1">
        <v>44703</v>
      </c>
      <c r="B2465">
        <v>2022</v>
      </c>
      <c r="C2465" t="s">
        <v>40</v>
      </c>
      <c r="D2465" s="4">
        <v>687540</v>
      </c>
      <c r="E2465" s="2">
        <v>830000</v>
      </c>
      <c r="F2465" t="s">
        <v>19</v>
      </c>
      <c r="G2465" t="s">
        <v>20</v>
      </c>
      <c r="H2465">
        <v>3</v>
      </c>
      <c r="I2465">
        <v>3</v>
      </c>
      <c r="J2465">
        <v>1085</v>
      </c>
      <c r="K2465" s="5">
        <v>1.003979E-2</v>
      </c>
      <c r="L2465" t="s">
        <v>32</v>
      </c>
      <c r="M2465" s="4">
        <v>142460</v>
      </c>
      <c r="N2465" s="3">
        <v>764.97699999999998</v>
      </c>
      <c r="O2465" t="s">
        <v>22</v>
      </c>
      <c r="P2465" t="s">
        <v>28</v>
      </c>
      <c r="Q2465" t="s">
        <v>24</v>
      </c>
      <c r="R2465" t="s">
        <v>47</v>
      </c>
      <c r="S2465">
        <v>5</v>
      </c>
    </row>
    <row r="2466" spans="1:19" x14ac:dyDescent="0.3">
      <c r="A2466" s="1">
        <v>44706</v>
      </c>
      <c r="B2466">
        <v>2022</v>
      </c>
      <c r="C2466" t="s">
        <v>29</v>
      </c>
      <c r="D2466" s="4">
        <v>197660</v>
      </c>
      <c r="E2466" s="2">
        <v>335000</v>
      </c>
      <c r="F2466" t="s">
        <v>19</v>
      </c>
      <c r="G2466" t="s">
        <v>20</v>
      </c>
      <c r="H2466">
        <v>3</v>
      </c>
      <c r="I2466">
        <v>3</v>
      </c>
      <c r="J2466">
        <v>906</v>
      </c>
      <c r="K2466" s="5">
        <v>1.003979E-2</v>
      </c>
      <c r="L2466" t="s">
        <v>27</v>
      </c>
      <c r="M2466" s="4">
        <v>137340</v>
      </c>
      <c r="N2466" s="3">
        <v>369.75720000000001</v>
      </c>
      <c r="O2466" t="s">
        <v>22</v>
      </c>
      <c r="P2466" t="s">
        <v>24</v>
      </c>
      <c r="Q2466" t="s">
        <v>24</v>
      </c>
      <c r="R2466" t="s">
        <v>47</v>
      </c>
      <c r="S2466">
        <v>5</v>
      </c>
    </row>
    <row r="2467" spans="1:19" x14ac:dyDescent="0.3">
      <c r="A2467" s="1">
        <v>44707</v>
      </c>
      <c r="B2467">
        <v>2022</v>
      </c>
      <c r="C2467" t="s">
        <v>39</v>
      </c>
      <c r="D2467" s="4">
        <v>267540</v>
      </c>
      <c r="E2467" s="2">
        <v>435000</v>
      </c>
      <c r="F2467" t="s">
        <v>19</v>
      </c>
      <c r="G2467" t="s">
        <v>20</v>
      </c>
      <c r="H2467">
        <v>3</v>
      </c>
      <c r="I2467">
        <v>2</v>
      </c>
      <c r="J2467">
        <v>1061</v>
      </c>
      <c r="K2467" s="5">
        <v>1.003979E-2</v>
      </c>
      <c r="L2467" t="s">
        <v>32</v>
      </c>
      <c r="M2467" s="4">
        <v>167460</v>
      </c>
      <c r="N2467" s="3">
        <v>409.99059999999997</v>
      </c>
      <c r="O2467" t="s">
        <v>22</v>
      </c>
      <c r="P2467" t="s">
        <v>24</v>
      </c>
      <c r="Q2467" t="s">
        <v>24</v>
      </c>
      <c r="R2467" t="s">
        <v>47</v>
      </c>
      <c r="S2467">
        <v>5</v>
      </c>
    </row>
    <row r="2468" spans="1:19" x14ac:dyDescent="0.3">
      <c r="A2468" s="1">
        <v>44708</v>
      </c>
      <c r="B2468">
        <v>2022</v>
      </c>
      <c r="C2468" t="s">
        <v>26</v>
      </c>
      <c r="D2468" s="4">
        <v>193560</v>
      </c>
      <c r="E2468" s="2">
        <v>261000</v>
      </c>
      <c r="F2468" t="s">
        <v>19</v>
      </c>
      <c r="G2468" t="s">
        <v>20</v>
      </c>
      <c r="H2468">
        <v>3</v>
      </c>
      <c r="I2468">
        <v>3</v>
      </c>
      <c r="J2468">
        <v>930</v>
      </c>
      <c r="K2468" s="5">
        <v>1.003979E-2</v>
      </c>
      <c r="L2468" t="s">
        <v>21</v>
      </c>
      <c r="M2468" s="4">
        <v>67440</v>
      </c>
      <c r="N2468" s="3">
        <v>280.64519999999999</v>
      </c>
      <c r="O2468" t="s">
        <v>22</v>
      </c>
      <c r="P2468" t="s">
        <v>24</v>
      </c>
      <c r="Q2468" t="s">
        <v>24</v>
      </c>
      <c r="R2468" t="s">
        <v>47</v>
      </c>
      <c r="S2468">
        <v>5</v>
      </c>
    </row>
    <row r="2469" spans="1:19" x14ac:dyDescent="0.3">
      <c r="A2469" s="1">
        <v>44709</v>
      </c>
      <c r="B2469">
        <v>2022</v>
      </c>
      <c r="C2469" t="s">
        <v>18</v>
      </c>
      <c r="D2469" s="4">
        <v>69410</v>
      </c>
      <c r="E2469" s="2">
        <v>111500</v>
      </c>
      <c r="F2469" t="s">
        <v>19</v>
      </c>
      <c r="G2469" t="s">
        <v>20</v>
      </c>
      <c r="H2469">
        <v>3</v>
      </c>
      <c r="I2469">
        <v>3</v>
      </c>
      <c r="J2469">
        <v>1037</v>
      </c>
      <c r="K2469" s="5">
        <v>1.003979E-2</v>
      </c>
      <c r="L2469" t="s">
        <v>21</v>
      </c>
      <c r="M2469" s="4">
        <v>42090</v>
      </c>
      <c r="N2469" s="3">
        <v>107.5217</v>
      </c>
      <c r="O2469" t="s">
        <v>22</v>
      </c>
      <c r="P2469" t="s">
        <v>23</v>
      </c>
      <c r="Q2469" t="s">
        <v>24</v>
      </c>
      <c r="R2469" t="s">
        <v>47</v>
      </c>
      <c r="S2469">
        <v>5</v>
      </c>
    </row>
    <row r="2470" spans="1:19" x14ac:dyDescent="0.3">
      <c r="A2470" s="1">
        <v>44713</v>
      </c>
      <c r="B2470">
        <v>2022</v>
      </c>
      <c r="C2470" t="s">
        <v>52</v>
      </c>
      <c r="D2470" s="4">
        <v>143360</v>
      </c>
      <c r="E2470" s="2">
        <v>139000</v>
      </c>
      <c r="F2470" t="s">
        <v>19</v>
      </c>
      <c r="G2470" t="s">
        <v>20</v>
      </c>
      <c r="H2470">
        <v>3</v>
      </c>
      <c r="I2470">
        <v>2</v>
      </c>
      <c r="J2470">
        <v>1031</v>
      </c>
      <c r="K2470" s="5">
        <v>1.003979E-2</v>
      </c>
      <c r="L2470" t="s">
        <v>21</v>
      </c>
      <c r="M2470" s="4">
        <v>-4360</v>
      </c>
      <c r="N2470" s="3">
        <v>134.82060000000001</v>
      </c>
      <c r="O2470" t="s">
        <v>33</v>
      </c>
      <c r="P2470" t="s">
        <v>23</v>
      </c>
      <c r="Q2470" t="s">
        <v>24</v>
      </c>
      <c r="R2470" t="s">
        <v>48</v>
      </c>
      <c r="S2470">
        <v>6</v>
      </c>
    </row>
    <row r="2471" spans="1:19" x14ac:dyDescent="0.3">
      <c r="A2471" s="1">
        <v>44714</v>
      </c>
      <c r="B2471">
        <v>2022</v>
      </c>
      <c r="C2471" t="s">
        <v>52</v>
      </c>
      <c r="D2471" s="4">
        <v>444584.20699999999</v>
      </c>
      <c r="E2471" s="2">
        <v>736000</v>
      </c>
      <c r="F2471" t="s">
        <v>19</v>
      </c>
      <c r="G2471" t="s">
        <v>20</v>
      </c>
      <c r="H2471">
        <v>3</v>
      </c>
      <c r="I2471">
        <v>1</v>
      </c>
      <c r="J2471">
        <v>935</v>
      </c>
      <c r="K2471" s="5">
        <v>1.003979E-2</v>
      </c>
      <c r="L2471" t="s">
        <v>38</v>
      </c>
      <c r="M2471" s="4">
        <v>291415.79300000001</v>
      </c>
      <c r="N2471" s="3">
        <v>787.16579999999999</v>
      </c>
      <c r="O2471" t="s">
        <v>22</v>
      </c>
      <c r="P2471" t="s">
        <v>28</v>
      </c>
      <c r="Q2471" t="s">
        <v>24</v>
      </c>
      <c r="R2471" t="s">
        <v>48</v>
      </c>
      <c r="S2471">
        <v>6</v>
      </c>
    </row>
    <row r="2472" spans="1:19" x14ac:dyDescent="0.3">
      <c r="A2472" s="1">
        <v>44715</v>
      </c>
      <c r="B2472">
        <v>2022</v>
      </c>
      <c r="C2472" t="s">
        <v>56</v>
      </c>
      <c r="D2472" s="4">
        <v>624640</v>
      </c>
      <c r="E2472" s="2">
        <v>866700</v>
      </c>
      <c r="F2472" t="s">
        <v>19</v>
      </c>
      <c r="G2472" t="s">
        <v>20</v>
      </c>
      <c r="H2472">
        <v>3</v>
      </c>
      <c r="I2472">
        <v>2</v>
      </c>
      <c r="J2472">
        <v>981</v>
      </c>
      <c r="K2472" s="5">
        <v>1.003979E-2</v>
      </c>
      <c r="L2472" t="s">
        <v>32</v>
      </c>
      <c r="M2472" s="4">
        <v>242060</v>
      </c>
      <c r="N2472" s="3">
        <v>883.48620000000005</v>
      </c>
      <c r="O2472" t="s">
        <v>22</v>
      </c>
      <c r="P2472" t="s">
        <v>28</v>
      </c>
      <c r="Q2472" t="s">
        <v>24</v>
      </c>
      <c r="R2472" t="s">
        <v>48</v>
      </c>
      <c r="S2472">
        <v>6</v>
      </c>
    </row>
    <row r="2473" spans="1:19" x14ac:dyDescent="0.3">
      <c r="A2473" s="1">
        <v>44716</v>
      </c>
      <c r="B2473">
        <v>2022</v>
      </c>
      <c r="C2473" t="s">
        <v>52</v>
      </c>
      <c r="D2473" s="4">
        <v>251090</v>
      </c>
      <c r="E2473" s="2">
        <v>232500</v>
      </c>
      <c r="F2473" t="s">
        <v>30</v>
      </c>
      <c r="G2473" t="s">
        <v>31</v>
      </c>
      <c r="H2473">
        <v>4</v>
      </c>
      <c r="I2473">
        <v>3</v>
      </c>
      <c r="J2473">
        <v>1111.6589814177564</v>
      </c>
      <c r="K2473" s="5">
        <v>1.003979E-2</v>
      </c>
      <c r="L2473" t="s">
        <v>27</v>
      </c>
      <c r="M2473" s="4">
        <v>-18590</v>
      </c>
      <c r="N2473" s="3">
        <v>209.14689999999999</v>
      </c>
      <c r="O2473" t="s">
        <v>33</v>
      </c>
      <c r="P2473" t="s">
        <v>24</v>
      </c>
      <c r="Q2473" t="s">
        <v>24</v>
      </c>
      <c r="R2473" t="s">
        <v>48</v>
      </c>
      <c r="S2473">
        <v>6</v>
      </c>
    </row>
    <row r="2474" spans="1:19" x14ac:dyDescent="0.3">
      <c r="A2474" s="1">
        <v>44720</v>
      </c>
      <c r="B2474">
        <v>2022</v>
      </c>
      <c r="C2474" t="s">
        <v>52</v>
      </c>
      <c r="D2474" s="4">
        <v>226450</v>
      </c>
      <c r="E2474" s="2">
        <v>390000</v>
      </c>
      <c r="F2474" t="s">
        <v>19</v>
      </c>
      <c r="G2474" t="s">
        <v>20</v>
      </c>
      <c r="H2474">
        <v>3</v>
      </c>
      <c r="I2474">
        <v>1</v>
      </c>
      <c r="J2474">
        <v>931</v>
      </c>
      <c r="K2474" s="5">
        <v>1.003979E-2</v>
      </c>
      <c r="L2474" t="s">
        <v>27</v>
      </c>
      <c r="M2474" s="4">
        <v>163550</v>
      </c>
      <c r="N2474" s="3">
        <v>418.90440000000001</v>
      </c>
      <c r="O2474" t="s">
        <v>22</v>
      </c>
      <c r="P2474" t="s">
        <v>24</v>
      </c>
      <c r="Q2474" t="s">
        <v>24</v>
      </c>
      <c r="R2474" t="s">
        <v>48</v>
      </c>
      <c r="S2474">
        <v>6</v>
      </c>
    </row>
    <row r="2475" spans="1:19" x14ac:dyDescent="0.3">
      <c r="A2475" s="1">
        <v>44721</v>
      </c>
      <c r="B2475">
        <v>2022</v>
      </c>
      <c r="C2475" t="s">
        <v>35</v>
      </c>
      <c r="D2475" s="4">
        <v>3264450</v>
      </c>
      <c r="E2475" s="2">
        <v>4250000</v>
      </c>
      <c r="F2475" t="s">
        <v>19</v>
      </c>
      <c r="G2475" t="s">
        <v>20</v>
      </c>
      <c r="H2475">
        <v>3</v>
      </c>
      <c r="I2475">
        <v>1</v>
      </c>
      <c r="J2475">
        <v>1077</v>
      </c>
      <c r="K2475" s="5">
        <v>1.003979E-2</v>
      </c>
      <c r="L2475" t="s">
        <v>38</v>
      </c>
      <c r="M2475" s="4">
        <v>985550</v>
      </c>
      <c r="N2475" s="3">
        <v>3946.1466999999998</v>
      </c>
      <c r="O2475" t="s">
        <v>22</v>
      </c>
      <c r="P2475" t="s">
        <v>28</v>
      </c>
      <c r="Q2475" t="s">
        <v>24</v>
      </c>
      <c r="R2475" t="s">
        <v>48</v>
      </c>
      <c r="S2475">
        <v>6</v>
      </c>
    </row>
    <row r="2476" spans="1:19" x14ac:dyDescent="0.3">
      <c r="A2476" s="1">
        <v>44722</v>
      </c>
      <c r="B2476">
        <v>2022</v>
      </c>
      <c r="C2476" t="s">
        <v>35</v>
      </c>
      <c r="D2476" s="4">
        <v>444584.20699999999</v>
      </c>
      <c r="E2476" s="2">
        <v>3650000</v>
      </c>
      <c r="F2476" t="s">
        <v>19</v>
      </c>
      <c r="G2476" t="s">
        <v>20</v>
      </c>
      <c r="H2476">
        <v>3</v>
      </c>
      <c r="I2476">
        <v>2</v>
      </c>
      <c r="J2476">
        <v>1088</v>
      </c>
      <c r="K2476" s="5">
        <v>1.003979E-2</v>
      </c>
      <c r="L2476" t="s">
        <v>32</v>
      </c>
      <c r="M2476" s="4">
        <v>3205415.7930000001</v>
      </c>
      <c r="N2476" s="3">
        <v>3354.7793999999999</v>
      </c>
      <c r="O2476" t="s">
        <v>22</v>
      </c>
      <c r="P2476" t="s">
        <v>28</v>
      </c>
      <c r="Q2476" t="s">
        <v>24</v>
      </c>
      <c r="R2476" t="s">
        <v>48</v>
      </c>
      <c r="S2476">
        <v>6</v>
      </c>
    </row>
    <row r="2477" spans="1:19" x14ac:dyDescent="0.3">
      <c r="A2477" s="1">
        <v>44724</v>
      </c>
      <c r="B2477">
        <v>2022</v>
      </c>
      <c r="C2477" t="s">
        <v>29</v>
      </c>
      <c r="D2477" s="4">
        <v>444584.20699999999</v>
      </c>
      <c r="E2477" s="2">
        <v>157800</v>
      </c>
      <c r="F2477" t="s">
        <v>19</v>
      </c>
      <c r="G2477" t="s">
        <v>20</v>
      </c>
      <c r="H2477">
        <v>3</v>
      </c>
      <c r="I2477">
        <v>3</v>
      </c>
      <c r="J2477">
        <v>963</v>
      </c>
      <c r="K2477" s="5">
        <v>1.003979E-2</v>
      </c>
      <c r="L2477" t="s">
        <v>27</v>
      </c>
      <c r="M2477" s="4">
        <v>-286784.20699999999</v>
      </c>
      <c r="N2477" s="3">
        <v>163.8629</v>
      </c>
      <c r="O2477" t="s">
        <v>33</v>
      </c>
      <c r="P2477" t="s">
        <v>23</v>
      </c>
      <c r="Q2477" t="s">
        <v>24</v>
      </c>
      <c r="R2477" t="s">
        <v>48</v>
      </c>
      <c r="S2477">
        <v>6</v>
      </c>
    </row>
    <row r="2478" spans="1:19" x14ac:dyDescent="0.3">
      <c r="A2478" s="1">
        <v>44727</v>
      </c>
      <c r="B2478">
        <v>2022</v>
      </c>
      <c r="C2478" t="s">
        <v>26</v>
      </c>
      <c r="D2478" s="4">
        <v>349510</v>
      </c>
      <c r="E2478" s="2">
        <v>490000</v>
      </c>
      <c r="F2478" t="s">
        <v>19</v>
      </c>
      <c r="G2478" t="s">
        <v>20</v>
      </c>
      <c r="H2478">
        <v>3</v>
      </c>
      <c r="I2478">
        <v>1</v>
      </c>
      <c r="J2478">
        <v>1082</v>
      </c>
      <c r="K2478" s="5">
        <v>1.003979E-2</v>
      </c>
      <c r="L2478" t="s">
        <v>21</v>
      </c>
      <c r="M2478" s="4">
        <v>140490</v>
      </c>
      <c r="N2478" s="3">
        <v>452.86509999999998</v>
      </c>
      <c r="O2478" t="s">
        <v>22</v>
      </c>
      <c r="P2478" t="s">
        <v>24</v>
      </c>
      <c r="Q2478" t="s">
        <v>24</v>
      </c>
      <c r="R2478" t="s">
        <v>48</v>
      </c>
      <c r="S2478">
        <v>6</v>
      </c>
    </row>
    <row r="2479" spans="1:19" x14ac:dyDescent="0.3">
      <c r="A2479" s="1">
        <v>44729</v>
      </c>
      <c r="B2479">
        <v>2022</v>
      </c>
      <c r="C2479" t="s">
        <v>52</v>
      </c>
      <c r="D2479" s="4">
        <v>216300</v>
      </c>
      <c r="E2479" s="2">
        <v>395000</v>
      </c>
      <c r="F2479" t="s">
        <v>36</v>
      </c>
      <c r="G2479" t="s">
        <v>37</v>
      </c>
      <c r="H2479">
        <v>6</v>
      </c>
      <c r="I2479">
        <v>5</v>
      </c>
      <c r="J2479">
        <v>2043</v>
      </c>
      <c r="K2479" s="5">
        <v>1.003979E-2</v>
      </c>
      <c r="L2479" t="s">
        <v>32</v>
      </c>
      <c r="M2479" s="4">
        <v>178700</v>
      </c>
      <c r="N2479" s="3">
        <v>193.34309999999999</v>
      </c>
      <c r="O2479" t="s">
        <v>22</v>
      </c>
      <c r="P2479" t="s">
        <v>24</v>
      </c>
      <c r="Q2479" t="s">
        <v>34</v>
      </c>
      <c r="R2479" t="s">
        <v>48</v>
      </c>
      <c r="S2479">
        <v>6</v>
      </c>
    </row>
    <row r="2480" spans="1:19" x14ac:dyDescent="0.3">
      <c r="A2480" s="1">
        <v>44731</v>
      </c>
      <c r="B2480">
        <v>2022</v>
      </c>
      <c r="C2480" t="s">
        <v>35</v>
      </c>
      <c r="D2480" s="4">
        <v>1070440</v>
      </c>
      <c r="E2480" s="2">
        <v>1800000</v>
      </c>
      <c r="F2480" t="s">
        <v>19</v>
      </c>
      <c r="G2480" t="s">
        <v>20</v>
      </c>
      <c r="H2480">
        <v>3</v>
      </c>
      <c r="I2480">
        <v>2</v>
      </c>
      <c r="J2480">
        <v>1098</v>
      </c>
      <c r="K2480" s="5">
        <v>1.003979E-2</v>
      </c>
      <c r="L2480" t="s">
        <v>32</v>
      </c>
      <c r="M2480" s="4">
        <v>729560</v>
      </c>
      <c r="N2480" s="3">
        <v>1639.3443</v>
      </c>
      <c r="O2480" t="s">
        <v>22</v>
      </c>
      <c r="P2480" t="s">
        <v>28</v>
      </c>
      <c r="Q2480" t="s">
        <v>24</v>
      </c>
      <c r="R2480" t="s">
        <v>48</v>
      </c>
      <c r="S2480">
        <v>6</v>
      </c>
    </row>
    <row r="2481" spans="1:19" x14ac:dyDescent="0.3">
      <c r="A2481" s="1">
        <v>44734</v>
      </c>
      <c r="B2481">
        <v>2022</v>
      </c>
      <c r="C2481" t="s">
        <v>52</v>
      </c>
      <c r="D2481" s="4">
        <v>206010</v>
      </c>
      <c r="E2481" s="2">
        <v>290000</v>
      </c>
      <c r="F2481" t="s">
        <v>19</v>
      </c>
      <c r="G2481" t="s">
        <v>20</v>
      </c>
      <c r="H2481">
        <v>3</v>
      </c>
      <c r="I2481">
        <v>2</v>
      </c>
      <c r="J2481">
        <v>963</v>
      </c>
      <c r="K2481" s="5">
        <v>1.003979E-2</v>
      </c>
      <c r="L2481" t="s">
        <v>38</v>
      </c>
      <c r="M2481" s="4">
        <v>83990</v>
      </c>
      <c r="N2481" s="3">
        <v>301.14229999999998</v>
      </c>
      <c r="O2481" t="s">
        <v>22</v>
      </c>
      <c r="P2481" t="s">
        <v>24</v>
      </c>
      <c r="Q2481" t="s">
        <v>24</v>
      </c>
      <c r="R2481" t="s">
        <v>48</v>
      </c>
      <c r="S2481">
        <v>6</v>
      </c>
    </row>
    <row r="2482" spans="1:19" x14ac:dyDescent="0.3">
      <c r="A2482" s="1">
        <v>44736</v>
      </c>
      <c r="B2482">
        <v>2022</v>
      </c>
      <c r="C2482" t="s">
        <v>18</v>
      </c>
      <c r="D2482" s="4">
        <v>92150</v>
      </c>
      <c r="E2482" s="2">
        <v>150000</v>
      </c>
      <c r="F2482" t="s">
        <v>19</v>
      </c>
      <c r="G2482" t="s">
        <v>20</v>
      </c>
      <c r="H2482">
        <v>3</v>
      </c>
      <c r="I2482">
        <v>1</v>
      </c>
      <c r="J2482">
        <v>1111.6589814177564</v>
      </c>
      <c r="K2482" s="5">
        <v>1.003979E-2</v>
      </c>
      <c r="L2482" t="s">
        <v>21</v>
      </c>
      <c r="M2482" s="4">
        <v>57850</v>
      </c>
      <c r="N2482" s="3">
        <v>134.93350000000001</v>
      </c>
      <c r="O2482" t="s">
        <v>22</v>
      </c>
      <c r="P2482" t="s">
        <v>23</v>
      </c>
      <c r="Q2482" t="s">
        <v>24</v>
      </c>
      <c r="R2482" t="s">
        <v>48</v>
      </c>
      <c r="S2482">
        <v>6</v>
      </c>
    </row>
    <row r="2483" spans="1:19" x14ac:dyDescent="0.3">
      <c r="A2483" s="1">
        <v>44738</v>
      </c>
      <c r="B2483">
        <v>2022</v>
      </c>
      <c r="C2483" t="s">
        <v>29</v>
      </c>
      <c r="D2483" s="4">
        <v>79120</v>
      </c>
      <c r="E2483" s="2">
        <v>280000</v>
      </c>
      <c r="F2483" t="s">
        <v>30</v>
      </c>
      <c r="G2483" t="s">
        <v>31</v>
      </c>
      <c r="H2483">
        <v>4</v>
      </c>
      <c r="I2483">
        <v>4</v>
      </c>
      <c r="J2483">
        <v>1233</v>
      </c>
      <c r="K2483" s="5">
        <v>1.003979E-2</v>
      </c>
      <c r="L2483" t="s">
        <v>21</v>
      </c>
      <c r="M2483" s="4">
        <v>200880</v>
      </c>
      <c r="N2483" s="3">
        <v>227.08840000000001</v>
      </c>
      <c r="O2483" t="s">
        <v>22</v>
      </c>
      <c r="P2483" t="s">
        <v>24</v>
      </c>
      <c r="Q2483" t="s">
        <v>24</v>
      </c>
      <c r="R2483" t="s">
        <v>48</v>
      </c>
      <c r="S2483">
        <v>6</v>
      </c>
    </row>
    <row r="2484" spans="1:19" x14ac:dyDescent="0.3">
      <c r="A2484" s="1">
        <v>44741</v>
      </c>
      <c r="B2484">
        <v>2022</v>
      </c>
      <c r="C2484" t="s">
        <v>18</v>
      </c>
      <c r="D2484" s="4">
        <v>70990</v>
      </c>
      <c r="E2484" s="2">
        <v>145000</v>
      </c>
      <c r="F2484" t="s">
        <v>19</v>
      </c>
      <c r="G2484" t="s">
        <v>20</v>
      </c>
      <c r="H2484">
        <v>3</v>
      </c>
      <c r="I2484">
        <v>2</v>
      </c>
      <c r="J2484">
        <v>907</v>
      </c>
      <c r="K2484" s="5">
        <v>1.003979E-2</v>
      </c>
      <c r="L2484" t="s">
        <v>38</v>
      </c>
      <c r="M2484" s="4">
        <v>74010</v>
      </c>
      <c r="N2484" s="3">
        <v>159.86770000000001</v>
      </c>
      <c r="O2484" t="s">
        <v>22</v>
      </c>
      <c r="P2484" t="s">
        <v>23</v>
      </c>
      <c r="Q2484" t="s">
        <v>24</v>
      </c>
      <c r="R2484" t="s">
        <v>48</v>
      </c>
      <c r="S2484">
        <v>6</v>
      </c>
    </row>
    <row r="2485" spans="1:19" x14ac:dyDescent="0.3">
      <c r="A2485" s="1">
        <v>44742</v>
      </c>
      <c r="B2485">
        <v>2022</v>
      </c>
      <c r="C2485" t="s">
        <v>56</v>
      </c>
      <c r="D2485" s="4">
        <v>653740</v>
      </c>
      <c r="E2485" s="2">
        <v>930000</v>
      </c>
      <c r="F2485" t="s">
        <v>19</v>
      </c>
      <c r="G2485" t="s">
        <v>20</v>
      </c>
      <c r="H2485">
        <v>3</v>
      </c>
      <c r="I2485">
        <v>1</v>
      </c>
      <c r="J2485">
        <v>939</v>
      </c>
      <c r="K2485" s="5">
        <v>1.003979E-2</v>
      </c>
      <c r="L2485" t="s">
        <v>32</v>
      </c>
      <c r="M2485" s="4">
        <v>276260</v>
      </c>
      <c r="N2485" s="3">
        <v>990.4153</v>
      </c>
      <c r="O2485" t="s">
        <v>22</v>
      </c>
      <c r="P2485" t="s">
        <v>28</v>
      </c>
      <c r="Q2485" t="s">
        <v>24</v>
      </c>
      <c r="R2485" t="s">
        <v>48</v>
      </c>
      <c r="S2485">
        <v>6</v>
      </c>
    </row>
    <row r="2486" spans="1:19" x14ac:dyDescent="0.3">
      <c r="A2486" s="1">
        <v>44743</v>
      </c>
      <c r="B2486">
        <v>2022</v>
      </c>
      <c r="C2486" t="s">
        <v>35</v>
      </c>
      <c r="D2486" s="4">
        <v>444584.20699999999</v>
      </c>
      <c r="E2486" s="2">
        <v>790000</v>
      </c>
      <c r="F2486" t="s">
        <v>19</v>
      </c>
      <c r="G2486" t="s">
        <v>20</v>
      </c>
      <c r="H2486">
        <v>3</v>
      </c>
      <c r="I2486">
        <v>3</v>
      </c>
      <c r="J2486">
        <v>1031</v>
      </c>
      <c r="K2486" s="5">
        <v>1.003979E-2</v>
      </c>
      <c r="L2486" t="s">
        <v>21</v>
      </c>
      <c r="M2486" s="4">
        <v>345415.79300000001</v>
      </c>
      <c r="N2486" s="3">
        <v>766.24639999999999</v>
      </c>
      <c r="O2486" t="s">
        <v>22</v>
      </c>
      <c r="P2486" t="s">
        <v>28</v>
      </c>
      <c r="Q2486" t="s">
        <v>24</v>
      </c>
      <c r="R2486" t="s">
        <v>49</v>
      </c>
      <c r="S2486">
        <v>7</v>
      </c>
    </row>
    <row r="2487" spans="1:19" x14ac:dyDescent="0.3">
      <c r="A2487" s="1">
        <v>44744</v>
      </c>
      <c r="B2487">
        <v>2022</v>
      </c>
      <c r="C2487" t="s">
        <v>56</v>
      </c>
      <c r="D2487" s="4">
        <v>359300</v>
      </c>
      <c r="E2487" s="2">
        <v>630500</v>
      </c>
      <c r="F2487" t="s">
        <v>30</v>
      </c>
      <c r="G2487" t="s">
        <v>31</v>
      </c>
      <c r="H2487">
        <v>4</v>
      </c>
      <c r="I2487">
        <v>2</v>
      </c>
      <c r="J2487">
        <v>1428</v>
      </c>
      <c r="K2487" s="5">
        <v>1.003979E-2</v>
      </c>
      <c r="L2487" t="s">
        <v>38</v>
      </c>
      <c r="M2487" s="4">
        <v>271200</v>
      </c>
      <c r="N2487" s="3">
        <v>441.52659999999997</v>
      </c>
      <c r="O2487" t="s">
        <v>22</v>
      </c>
      <c r="P2487" t="s">
        <v>28</v>
      </c>
      <c r="Q2487" t="s">
        <v>34</v>
      </c>
      <c r="R2487" t="s">
        <v>49</v>
      </c>
      <c r="S2487">
        <v>7</v>
      </c>
    </row>
    <row r="2488" spans="1:19" x14ac:dyDescent="0.3">
      <c r="A2488" s="1">
        <v>44748</v>
      </c>
      <c r="B2488">
        <v>2022</v>
      </c>
      <c r="C2488" t="s">
        <v>39</v>
      </c>
      <c r="D2488" s="4">
        <v>244370</v>
      </c>
      <c r="E2488" s="2">
        <v>380000</v>
      </c>
      <c r="F2488" t="s">
        <v>19</v>
      </c>
      <c r="G2488" t="s">
        <v>20</v>
      </c>
      <c r="H2488">
        <v>3</v>
      </c>
      <c r="I2488">
        <v>2</v>
      </c>
      <c r="J2488">
        <v>1111.6589814177564</v>
      </c>
      <c r="K2488" s="5">
        <v>1.003979E-2</v>
      </c>
      <c r="L2488" t="s">
        <v>32</v>
      </c>
      <c r="M2488" s="4">
        <v>135630</v>
      </c>
      <c r="N2488" s="3">
        <v>341.83139999999997</v>
      </c>
      <c r="O2488" t="s">
        <v>22</v>
      </c>
      <c r="P2488" t="s">
        <v>24</v>
      </c>
      <c r="Q2488" t="s">
        <v>24</v>
      </c>
      <c r="R2488" t="s">
        <v>49</v>
      </c>
      <c r="S2488">
        <v>7</v>
      </c>
    </row>
    <row r="2489" spans="1:19" x14ac:dyDescent="0.3">
      <c r="A2489" s="1">
        <v>44750</v>
      </c>
      <c r="B2489">
        <v>2022</v>
      </c>
      <c r="C2489" t="s">
        <v>29</v>
      </c>
      <c r="D2489" s="4">
        <v>124900</v>
      </c>
      <c r="E2489" s="2">
        <v>280000</v>
      </c>
      <c r="F2489" t="s">
        <v>36</v>
      </c>
      <c r="G2489" t="s">
        <v>37</v>
      </c>
      <c r="H2489">
        <v>6</v>
      </c>
      <c r="I2489">
        <v>4</v>
      </c>
      <c r="J2489">
        <v>1872</v>
      </c>
      <c r="K2489" s="5">
        <v>1.003979E-2</v>
      </c>
      <c r="L2489" t="s">
        <v>21</v>
      </c>
      <c r="M2489" s="4">
        <v>155100</v>
      </c>
      <c r="N2489" s="3">
        <v>149.57259999999999</v>
      </c>
      <c r="O2489" t="s">
        <v>22</v>
      </c>
      <c r="P2489" t="s">
        <v>24</v>
      </c>
      <c r="Q2489" t="s">
        <v>34</v>
      </c>
      <c r="R2489" t="s">
        <v>49</v>
      </c>
      <c r="S2489">
        <v>7</v>
      </c>
    </row>
    <row r="2490" spans="1:19" x14ac:dyDescent="0.3">
      <c r="A2490" s="1">
        <v>44751</v>
      </c>
      <c r="B2490">
        <v>2022</v>
      </c>
      <c r="C2490" t="s">
        <v>52</v>
      </c>
      <c r="D2490" s="4">
        <v>444584.20699999999</v>
      </c>
      <c r="E2490" s="2">
        <v>575000</v>
      </c>
      <c r="F2490" t="s">
        <v>19</v>
      </c>
      <c r="G2490" t="s">
        <v>20</v>
      </c>
      <c r="H2490">
        <v>3</v>
      </c>
      <c r="I2490">
        <v>2</v>
      </c>
      <c r="J2490">
        <v>963</v>
      </c>
      <c r="K2490" s="5">
        <v>1.003979E-2</v>
      </c>
      <c r="L2490" t="s">
        <v>21</v>
      </c>
      <c r="M2490" s="4">
        <v>130415.79300000001</v>
      </c>
      <c r="N2490" s="3">
        <v>597.0924</v>
      </c>
      <c r="O2490" t="s">
        <v>22</v>
      </c>
      <c r="P2490" t="s">
        <v>24</v>
      </c>
      <c r="Q2490" t="s">
        <v>24</v>
      </c>
      <c r="R2490" t="s">
        <v>49</v>
      </c>
      <c r="S2490">
        <v>7</v>
      </c>
    </row>
    <row r="2491" spans="1:19" x14ac:dyDescent="0.3">
      <c r="A2491" s="1">
        <v>44752</v>
      </c>
      <c r="B2491">
        <v>2022</v>
      </c>
      <c r="C2491" t="s">
        <v>18</v>
      </c>
      <c r="D2491" s="4">
        <v>65790</v>
      </c>
      <c r="E2491" s="2">
        <v>63500</v>
      </c>
      <c r="F2491" t="s">
        <v>19</v>
      </c>
      <c r="G2491" t="s">
        <v>20</v>
      </c>
      <c r="H2491">
        <v>3</v>
      </c>
      <c r="I2491">
        <v>1</v>
      </c>
      <c r="J2491">
        <v>1111.6589814177564</v>
      </c>
      <c r="K2491" s="5">
        <v>1.003979E-2</v>
      </c>
      <c r="L2491" t="s">
        <v>27</v>
      </c>
      <c r="M2491" s="4">
        <v>-2290</v>
      </c>
      <c r="N2491" s="3">
        <v>57.1218</v>
      </c>
      <c r="O2491" t="s">
        <v>33</v>
      </c>
      <c r="P2491" t="s">
        <v>23</v>
      </c>
      <c r="Q2491" t="s">
        <v>24</v>
      </c>
      <c r="R2491" t="s">
        <v>49</v>
      </c>
      <c r="S2491">
        <v>7</v>
      </c>
    </row>
    <row r="2492" spans="1:19" x14ac:dyDescent="0.3">
      <c r="A2492" s="1">
        <v>44755</v>
      </c>
      <c r="B2492">
        <v>2022</v>
      </c>
      <c r="C2492" t="s">
        <v>52</v>
      </c>
      <c r="D2492" s="4">
        <v>174930</v>
      </c>
      <c r="E2492" s="2">
        <v>250000</v>
      </c>
      <c r="F2492" t="s">
        <v>19</v>
      </c>
      <c r="G2492" t="s">
        <v>20</v>
      </c>
      <c r="H2492">
        <v>3</v>
      </c>
      <c r="I2492">
        <v>3</v>
      </c>
      <c r="J2492">
        <v>992</v>
      </c>
      <c r="K2492" s="5">
        <v>1.003979E-2</v>
      </c>
      <c r="L2492" t="s">
        <v>21</v>
      </c>
      <c r="M2492" s="4">
        <v>75070</v>
      </c>
      <c r="N2492" s="3">
        <v>252.01609999999999</v>
      </c>
      <c r="O2492" t="s">
        <v>22</v>
      </c>
      <c r="P2492" t="s">
        <v>24</v>
      </c>
      <c r="Q2492" t="s">
        <v>24</v>
      </c>
      <c r="R2492" t="s">
        <v>49</v>
      </c>
      <c r="S2492">
        <v>7</v>
      </c>
    </row>
    <row r="2493" spans="1:19" x14ac:dyDescent="0.3">
      <c r="A2493" s="1">
        <v>44756</v>
      </c>
      <c r="B2493">
        <v>2022</v>
      </c>
      <c r="C2493" t="s">
        <v>52</v>
      </c>
      <c r="D2493" s="4">
        <v>195160</v>
      </c>
      <c r="E2493" s="2">
        <v>323000</v>
      </c>
      <c r="F2493" t="s">
        <v>19</v>
      </c>
      <c r="G2493" t="s">
        <v>20</v>
      </c>
      <c r="H2493">
        <v>3</v>
      </c>
      <c r="I2493">
        <v>3</v>
      </c>
      <c r="J2493">
        <v>984</v>
      </c>
      <c r="K2493" s="5">
        <v>1.003979E-2</v>
      </c>
      <c r="L2493" t="s">
        <v>27</v>
      </c>
      <c r="M2493" s="4">
        <v>127840</v>
      </c>
      <c r="N2493" s="3">
        <v>328.25200000000001</v>
      </c>
      <c r="O2493" t="s">
        <v>22</v>
      </c>
      <c r="P2493" t="s">
        <v>24</v>
      </c>
      <c r="Q2493" t="s">
        <v>24</v>
      </c>
      <c r="R2493" t="s">
        <v>49</v>
      </c>
      <c r="S2493">
        <v>7</v>
      </c>
    </row>
    <row r="2494" spans="1:19" x14ac:dyDescent="0.3">
      <c r="A2494" s="1">
        <v>44757</v>
      </c>
      <c r="B2494">
        <v>2022</v>
      </c>
      <c r="C2494" t="s">
        <v>56</v>
      </c>
      <c r="D2494" s="4">
        <v>424530</v>
      </c>
      <c r="E2494" s="2">
        <v>610000</v>
      </c>
      <c r="F2494" t="s">
        <v>19</v>
      </c>
      <c r="G2494" t="s">
        <v>20</v>
      </c>
      <c r="H2494">
        <v>3</v>
      </c>
      <c r="I2494">
        <v>1</v>
      </c>
      <c r="J2494">
        <v>945</v>
      </c>
      <c r="K2494" s="5">
        <v>1.003979E-2</v>
      </c>
      <c r="L2494" t="s">
        <v>38</v>
      </c>
      <c r="M2494" s="4">
        <v>185470</v>
      </c>
      <c r="N2494" s="3">
        <v>645.50260000000003</v>
      </c>
      <c r="O2494" t="s">
        <v>22</v>
      </c>
      <c r="P2494" t="s">
        <v>28</v>
      </c>
      <c r="Q2494" t="s">
        <v>24</v>
      </c>
      <c r="R2494" t="s">
        <v>49</v>
      </c>
      <c r="S2494">
        <v>7</v>
      </c>
    </row>
    <row r="2495" spans="1:19" x14ac:dyDescent="0.3">
      <c r="A2495" s="1">
        <v>44758</v>
      </c>
      <c r="B2495">
        <v>2022</v>
      </c>
      <c r="C2495" t="s">
        <v>26</v>
      </c>
      <c r="D2495" s="4">
        <v>444584.20699999999</v>
      </c>
      <c r="E2495" s="2">
        <v>652000</v>
      </c>
      <c r="F2495" t="s">
        <v>19</v>
      </c>
      <c r="G2495" t="s">
        <v>20</v>
      </c>
      <c r="H2495">
        <v>3</v>
      </c>
      <c r="I2495">
        <v>1</v>
      </c>
      <c r="J2495">
        <v>938</v>
      </c>
      <c r="K2495" s="5">
        <v>1.003979E-2</v>
      </c>
      <c r="L2495" t="s">
        <v>32</v>
      </c>
      <c r="M2495" s="4">
        <v>207415.79300000001</v>
      </c>
      <c r="N2495" s="3">
        <v>695.09590000000003</v>
      </c>
      <c r="O2495" t="s">
        <v>22</v>
      </c>
      <c r="P2495" t="s">
        <v>28</v>
      </c>
      <c r="Q2495" t="s">
        <v>24</v>
      </c>
      <c r="R2495" t="s">
        <v>49</v>
      </c>
      <c r="S2495">
        <v>7</v>
      </c>
    </row>
    <row r="2496" spans="1:19" x14ac:dyDescent="0.3">
      <c r="A2496" s="1">
        <v>44759</v>
      </c>
      <c r="B2496">
        <v>2022</v>
      </c>
      <c r="C2496" t="s">
        <v>56</v>
      </c>
      <c r="D2496" s="4">
        <v>393420</v>
      </c>
      <c r="E2496" s="2">
        <v>669000</v>
      </c>
      <c r="F2496" t="s">
        <v>19</v>
      </c>
      <c r="G2496" t="s">
        <v>20</v>
      </c>
      <c r="H2496">
        <v>3</v>
      </c>
      <c r="I2496">
        <v>2</v>
      </c>
      <c r="J2496">
        <v>958</v>
      </c>
      <c r="K2496" s="5">
        <v>1.003979E-2</v>
      </c>
      <c r="L2496" t="s">
        <v>38</v>
      </c>
      <c r="M2496" s="4">
        <v>275580</v>
      </c>
      <c r="N2496" s="3">
        <v>698.32989999999995</v>
      </c>
      <c r="O2496" t="s">
        <v>22</v>
      </c>
      <c r="P2496" t="s">
        <v>28</v>
      </c>
      <c r="Q2496" t="s">
        <v>24</v>
      </c>
      <c r="R2496" t="s">
        <v>49</v>
      </c>
      <c r="S2496">
        <v>7</v>
      </c>
    </row>
    <row r="2497" spans="1:19" x14ac:dyDescent="0.3">
      <c r="A2497" s="1">
        <v>44763</v>
      </c>
      <c r="B2497">
        <v>2022</v>
      </c>
      <c r="C2497" t="s">
        <v>56</v>
      </c>
      <c r="D2497" s="4">
        <v>451970</v>
      </c>
      <c r="E2497" s="2">
        <v>890000</v>
      </c>
      <c r="F2497" t="s">
        <v>19</v>
      </c>
      <c r="G2497" t="s">
        <v>20</v>
      </c>
      <c r="H2497">
        <v>3</v>
      </c>
      <c r="I2497">
        <v>1</v>
      </c>
      <c r="J2497">
        <v>1031</v>
      </c>
      <c r="K2497" s="5">
        <v>1.003979E-2</v>
      </c>
      <c r="L2497" t="s">
        <v>27</v>
      </c>
      <c r="M2497" s="4">
        <v>438030</v>
      </c>
      <c r="N2497" s="3">
        <v>863.2396</v>
      </c>
      <c r="O2497" t="s">
        <v>22</v>
      </c>
      <c r="P2497" t="s">
        <v>28</v>
      </c>
      <c r="Q2497" t="s">
        <v>24</v>
      </c>
      <c r="R2497" t="s">
        <v>49</v>
      </c>
      <c r="S2497">
        <v>7</v>
      </c>
    </row>
    <row r="2498" spans="1:19" x14ac:dyDescent="0.3">
      <c r="A2498" s="1">
        <v>44764</v>
      </c>
      <c r="B2498">
        <v>2022</v>
      </c>
      <c r="C2498" t="s">
        <v>52</v>
      </c>
      <c r="D2498" s="4">
        <v>124460</v>
      </c>
      <c r="E2498" s="2">
        <v>215000</v>
      </c>
      <c r="F2498" t="s">
        <v>19</v>
      </c>
      <c r="G2498" t="s">
        <v>20</v>
      </c>
      <c r="H2498">
        <v>3</v>
      </c>
      <c r="I2498">
        <v>1</v>
      </c>
      <c r="J2498">
        <v>1078</v>
      </c>
      <c r="K2498" s="5">
        <v>1.003979E-2</v>
      </c>
      <c r="L2498" t="s">
        <v>21</v>
      </c>
      <c r="M2498" s="4">
        <v>90540</v>
      </c>
      <c r="N2498" s="3">
        <v>199.4434</v>
      </c>
      <c r="O2498" t="s">
        <v>22</v>
      </c>
      <c r="P2498" t="s">
        <v>24</v>
      </c>
      <c r="Q2498" t="s">
        <v>24</v>
      </c>
      <c r="R2498" t="s">
        <v>49</v>
      </c>
      <c r="S2498">
        <v>7</v>
      </c>
    </row>
    <row r="2499" spans="1:19" x14ac:dyDescent="0.3">
      <c r="A2499" s="1">
        <v>44766</v>
      </c>
      <c r="B2499">
        <v>2022</v>
      </c>
      <c r="C2499" t="s">
        <v>35</v>
      </c>
      <c r="D2499" s="4">
        <v>1461180</v>
      </c>
      <c r="E2499" s="2">
        <v>2410000</v>
      </c>
      <c r="F2499" t="s">
        <v>19</v>
      </c>
      <c r="G2499" t="s">
        <v>20</v>
      </c>
      <c r="H2499">
        <v>3</v>
      </c>
      <c r="I2499">
        <v>3</v>
      </c>
      <c r="J2499">
        <v>1022</v>
      </c>
      <c r="K2499" s="5">
        <v>1.003979E-2</v>
      </c>
      <c r="L2499" t="s">
        <v>38</v>
      </c>
      <c r="M2499" s="4">
        <v>948820</v>
      </c>
      <c r="N2499" s="3">
        <v>2358.1212999999998</v>
      </c>
      <c r="O2499" t="s">
        <v>22</v>
      </c>
      <c r="P2499" t="s">
        <v>28</v>
      </c>
      <c r="Q2499" t="s">
        <v>24</v>
      </c>
      <c r="R2499" t="s">
        <v>49</v>
      </c>
      <c r="S2499">
        <v>7</v>
      </c>
    </row>
    <row r="2500" spans="1:19" x14ac:dyDescent="0.3">
      <c r="A2500" s="1">
        <v>44770</v>
      </c>
      <c r="B2500">
        <v>2022</v>
      </c>
      <c r="C2500" t="s">
        <v>39</v>
      </c>
      <c r="D2500" s="4">
        <v>444584.20699999999</v>
      </c>
      <c r="E2500" s="2">
        <v>780000</v>
      </c>
      <c r="F2500" t="s">
        <v>19</v>
      </c>
      <c r="G2500" t="s">
        <v>20</v>
      </c>
      <c r="H2500">
        <v>3</v>
      </c>
      <c r="I2500">
        <v>3</v>
      </c>
      <c r="J2500">
        <v>1111.6589814177564</v>
      </c>
      <c r="K2500" s="5">
        <v>1.003979E-2</v>
      </c>
      <c r="L2500" t="s">
        <v>27</v>
      </c>
      <c r="M2500" s="4">
        <v>335415.79300000001</v>
      </c>
      <c r="N2500" s="3">
        <v>701.654</v>
      </c>
      <c r="O2500" t="s">
        <v>22</v>
      </c>
      <c r="P2500" t="s">
        <v>28</v>
      </c>
      <c r="Q2500" t="s">
        <v>24</v>
      </c>
      <c r="R2500" t="s">
        <v>49</v>
      </c>
      <c r="S2500">
        <v>7</v>
      </c>
    </row>
    <row r="2501" spans="1:19" x14ac:dyDescent="0.3">
      <c r="A2501" s="1">
        <v>44771</v>
      </c>
      <c r="B2501">
        <v>2022</v>
      </c>
      <c r="C2501" t="s">
        <v>18</v>
      </c>
      <c r="D2501" s="4">
        <v>82080</v>
      </c>
      <c r="E2501" s="2">
        <v>170000</v>
      </c>
      <c r="F2501" t="s">
        <v>30</v>
      </c>
      <c r="G2501" t="s">
        <v>31</v>
      </c>
      <c r="H2501">
        <v>4</v>
      </c>
      <c r="I2501">
        <v>2</v>
      </c>
      <c r="J2501">
        <v>1313</v>
      </c>
      <c r="K2501" s="5">
        <v>1.003979E-2</v>
      </c>
      <c r="L2501" t="s">
        <v>32</v>
      </c>
      <c r="M2501" s="4">
        <v>87920</v>
      </c>
      <c r="N2501" s="3">
        <v>129.47450000000001</v>
      </c>
      <c r="O2501" t="s">
        <v>22</v>
      </c>
      <c r="P2501" t="s">
        <v>23</v>
      </c>
      <c r="Q2501" t="s">
        <v>34</v>
      </c>
      <c r="R2501" t="s">
        <v>49</v>
      </c>
      <c r="S2501">
        <v>7</v>
      </c>
    </row>
    <row r="2502" spans="1:19" x14ac:dyDescent="0.3">
      <c r="A2502" s="1">
        <v>44772</v>
      </c>
      <c r="B2502">
        <v>2022</v>
      </c>
      <c r="C2502" t="s">
        <v>39</v>
      </c>
      <c r="D2502" s="4">
        <v>550480</v>
      </c>
      <c r="E2502" s="2">
        <v>565000</v>
      </c>
      <c r="F2502" t="s">
        <v>19</v>
      </c>
      <c r="G2502" t="s">
        <v>20</v>
      </c>
      <c r="H2502">
        <v>3</v>
      </c>
      <c r="I2502">
        <v>3</v>
      </c>
      <c r="J2502">
        <v>975</v>
      </c>
      <c r="K2502" s="5">
        <v>1.003979E-2</v>
      </c>
      <c r="L2502" t="s">
        <v>38</v>
      </c>
      <c r="M2502" s="4">
        <v>14520</v>
      </c>
      <c r="N2502" s="3">
        <v>579.48720000000003</v>
      </c>
      <c r="O2502" t="s">
        <v>22</v>
      </c>
      <c r="P2502" t="s">
        <v>24</v>
      </c>
      <c r="Q2502" t="s">
        <v>24</v>
      </c>
      <c r="R2502" t="s">
        <v>49</v>
      </c>
      <c r="S2502">
        <v>7</v>
      </c>
    </row>
    <row r="2503" spans="1:19" x14ac:dyDescent="0.3">
      <c r="A2503" s="1">
        <v>44776</v>
      </c>
      <c r="B2503">
        <v>2022</v>
      </c>
      <c r="C2503" t="s">
        <v>35</v>
      </c>
      <c r="D2503" s="4">
        <v>709520</v>
      </c>
      <c r="E2503" s="2">
        <v>1050000</v>
      </c>
      <c r="F2503" t="s">
        <v>30</v>
      </c>
      <c r="G2503" t="s">
        <v>31</v>
      </c>
      <c r="H2503">
        <v>4</v>
      </c>
      <c r="I2503">
        <v>2</v>
      </c>
      <c r="J2503">
        <v>1489</v>
      </c>
      <c r="K2503" s="5">
        <v>1.003979E-2</v>
      </c>
      <c r="L2503" t="s">
        <v>38</v>
      </c>
      <c r="M2503" s="4">
        <v>340480</v>
      </c>
      <c r="N2503" s="3">
        <v>705.17129999999997</v>
      </c>
      <c r="O2503" t="s">
        <v>22</v>
      </c>
      <c r="P2503" t="s">
        <v>28</v>
      </c>
      <c r="Q2503" t="s">
        <v>34</v>
      </c>
      <c r="R2503" t="s">
        <v>50</v>
      </c>
      <c r="S2503">
        <v>8</v>
      </c>
    </row>
    <row r="2504" spans="1:19" x14ac:dyDescent="0.3">
      <c r="A2504" s="1">
        <v>44777</v>
      </c>
      <c r="B2504">
        <v>2022</v>
      </c>
      <c r="C2504" t="s">
        <v>39</v>
      </c>
      <c r="D2504" s="4">
        <v>276080</v>
      </c>
      <c r="E2504" s="2">
        <v>475000</v>
      </c>
      <c r="F2504" t="s">
        <v>19</v>
      </c>
      <c r="G2504" t="s">
        <v>20</v>
      </c>
      <c r="H2504">
        <v>3</v>
      </c>
      <c r="I2504">
        <v>2</v>
      </c>
      <c r="J2504">
        <v>1094</v>
      </c>
      <c r="K2504" s="5">
        <v>1.003979E-2</v>
      </c>
      <c r="L2504" t="s">
        <v>27</v>
      </c>
      <c r="M2504" s="4">
        <v>198920</v>
      </c>
      <c r="N2504" s="3">
        <v>434.18650000000002</v>
      </c>
      <c r="O2504" t="s">
        <v>22</v>
      </c>
      <c r="P2504" t="s">
        <v>24</v>
      </c>
      <c r="Q2504" t="s">
        <v>24</v>
      </c>
      <c r="R2504" t="s">
        <v>50</v>
      </c>
      <c r="S2504">
        <v>8</v>
      </c>
    </row>
    <row r="2505" spans="1:19" x14ac:dyDescent="0.3">
      <c r="A2505" s="1">
        <v>44778</v>
      </c>
      <c r="B2505">
        <v>2022</v>
      </c>
      <c r="C2505" t="s">
        <v>29</v>
      </c>
      <c r="D2505" s="4">
        <v>279160</v>
      </c>
      <c r="E2505" s="2">
        <v>429000</v>
      </c>
      <c r="F2505" t="s">
        <v>19</v>
      </c>
      <c r="G2505" t="s">
        <v>20</v>
      </c>
      <c r="H2505">
        <v>3</v>
      </c>
      <c r="I2505">
        <v>1</v>
      </c>
      <c r="J2505">
        <v>1050</v>
      </c>
      <c r="K2505" s="5">
        <v>1.003979E-2</v>
      </c>
      <c r="L2505" t="s">
        <v>38</v>
      </c>
      <c r="M2505" s="4">
        <v>149840</v>
      </c>
      <c r="N2505" s="3">
        <v>408.57139999999998</v>
      </c>
      <c r="O2505" t="s">
        <v>22</v>
      </c>
      <c r="P2505" t="s">
        <v>24</v>
      </c>
      <c r="Q2505" t="s">
        <v>24</v>
      </c>
      <c r="R2505" t="s">
        <v>50</v>
      </c>
      <c r="S2505">
        <v>8</v>
      </c>
    </row>
    <row r="2506" spans="1:19" x14ac:dyDescent="0.3">
      <c r="A2506" s="1">
        <v>44779</v>
      </c>
      <c r="B2506">
        <v>2022</v>
      </c>
      <c r="C2506" t="s">
        <v>39</v>
      </c>
      <c r="D2506" s="4">
        <v>552860</v>
      </c>
      <c r="E2506" s="2">
        <v>710000</v>
      </c>
      <c r="F2506" t="s">
        <v>19</v>
      </c>
      <c r="G2506" t="s">
        <v>20</v>
      </c>
      <c r="H2506">
        <v>3</v>
      </c>
      <c r="I2506">
        <v>1</v>
      </c>
      <c r="J2506">
        <v>941</v>
      </c>
      <c r="K2506" s="5">
        <v>1.003979E-2</v>
      </c>
      <c r="L2506" t="s">
        <v>27</v>
      </c>
      <c r="M2506" s="4">
        <v>157140</v>
      </c>
      <c r="N2506" s="3">
        <v>754.51649999999995</v>
      </c>
      <c r="O2506" t="s">
        <v>22</v>
      </c>
      <c r="P2506" t="s">
        <v>28</v>
      </c>
      <c r="Q2506" t="s">
        <v>24</v>
      </c>
      <c r="R2506" t="s">
        <v>50</v>
      </c>
      <c r="S2506">
        <v>8</v>
      </c>
    </row>
    <row r="2507" spans="1:19" x14ac:dyDescent="0.3">
      <c r="A2507" s="1">
        <v>44780</v>
      </c>
      <c r="B2507">
        <v>2022</v>
      </c>
      <c r="C2507" t="s">
        <v>35</v>
      </c>
      <c r="D2507" s="4">
        <v>425320</v>
      </c>
      <c r="E2507" s="2">
        <v>745000</v>
      </c>
      <c r="F2507" t="s">
        <v>30</v>
      </c>
      <c r="G2507" t="s">
        <v>31</v>
      </c>
      <c r="H2507">
        <v>4</v>
      </c>
      <c r="I2507">
        <v>2</v>
      </c>
      <c r="J2507">
        <v>1399</v>
      </c>
      <c r="K2507" s="5">
        <v>1.003979E-2</v>
      </c>
      <c r="L2507" t="s">
        <v>27</v>
      </c>
      <c r="M2507" s="4">
        <v>319680</v>
      </c>
      <c r="N2507" s="3">
        <v>532.52319999999997</v>
      </c>
      <c r="O2507" t="s">
        <v>22</v>
      </c>
      <c r="P2507" t="s">
        <v>28</v>
      </c>
      <c r="Q2507" t="s">
        <v>34</v>
      </c>
      <c r="R2507" t="s">
        <v>50</v>
      </c>
      <c r="S2507">
        <v>8</v>
      </c>
    </row>
    <row r="2508" spans="1:19" x14ac:dyDescent="0.3">
      <c r="A2508" s="1">
        <v>44783</v>
      </c>
      <c r="B2508">
        <v>2022</v>
      </c>
      <c r="C2508" t="s">
        <v>18</v>
      </c>
      <c r="D2508" s="4">
        <v>47140</v>
      </c>
      <c r="E2508" s="2">
        <v>65000</v>
      </c>
      <c r="F2508" t="s">
        <v>30</v>
      </c>
      <c r="G2508" t="s">
        <v>31</v>
      </c>
      <c r="H2508">
        <v>4</v>
      </c>
      <c r="I2508">
        <v>3</v>
      </c>
      <c r="J2508">
        <v>1298</v>
      </c>
      <c r="K2508" s="5">
        <v>1.003979E-2</v>
      </c>
      <c r="L2508" t="s">
        <v>21</v>
      </c>
      <c r="M2508" s="4">
        <v>17860</v>
      </c>
      <c r="N2508" s="3">
        <v>50.076999999999998</v>
      </c>
      <c r="O2508" t="s">
        <v>22</v>
      </c>
      <c r="P2508" t="s">
        <v>23</v>
      </c>
      <c r="Q2508" t="s">
        <v>24</v>
      </c>
      <c r="R2508" t="s">
        <v>50</v>
      </c>
      <c r="S2508">
        <v>8</v>
      </c>
    </row>
    <row r="2509" spans="1:19" x14ac:dyDescent="0.3">
      <c r="A2509" s="1">
        <v>44784</v>
      </c>
      <c r="B2509">
        <v>2022</v>
      </c>
      <c r="C2509" t="s">
        <v>52</v>
      </c>
      <c r="D2509" s="4">
        <v>444584.20699999999</v>
      </c>
      <c r="E2509" s="2">
        <v>350000</v>
      </c>
      <c r="F2509" t="s">
        <v>36</v>
      </c>
      <c r="G2509" t="s">
        <v>37</v>
      </c>
      <c r="H2509">
        <v>6</v>
      </c>
      <c r="I2509">
        <v>4</v>
      </c>
      <c r="J2509">
        <v>2114</v>
      </c>
      <c r="K2509" s="5">
        <v>1.003979E-2</v>
      </c>
      <c r="L2509" t="s">
        <v>38</v>
      </c>
      <c r="M2509" s="4">
        <v>-94584.206999999995</v>
      </c>
      <c r="N2509" s="3">
        <v>165.56290000000001</v>
      </c>
      <c r="O2509" t="s">
        <v>33</v>
      </c>
      <c r="P2509" t="s">
        <v>24</v>
      </c>
      <c r="Q2509" t="s">
        <v>34</v>
      </c>
      <c r="R2509" t="s">
        <v>50</v>
      </c>
      <c r="S2509">
        <v>8</v>
      </c>
    </row>
    <row r="2510" spans="1:19" x14ac:dyDescent="0.3">
      <c r="A2510" s="1">
        <v>44785</v>
      </c>
      <c r="B2510">
        <v>2022</v>
      </c>
      <c r="C2510" t="s">
        <v>52</v>
      </c>
      <c r="D2510" s="4">
        <v>262640</v>
      </c>
      <c r="E2510" s="2">
        <v>465000</v>
      </c>
      <c r="F2510" t="s">
        <v>19</v>
      </c>
      <c r="G2510" t="s">
        <v>20</v>
      </c>
      <c r="H2510">
        <v>3</v>
      </c>
      <c r="I2510">
        <v>3</v>
      </c>
      <c r="J2510">
        <v>1111.6589814177564</v>
      </c>
      <c r="K2510" s="5">
        <v>1.003979E-2</v>
      </c>
      <c r="L2510" t="s">
        <v>32</v>
      </c>
      <c r="M2510" s="4">
        <v>202360</v>
      </c>
      <c r="N2510" s="3">
        <v>418.2937</v>
      </c>
      <c r="O2510" t="s">
        <v>22</v>
      </c>
      <c r="P2510" t="s">
        <v>24</v>
      </c>
      <c r="Q2510" t="s">
        <v>24</v>
      </c>
      <c r="R2510" t="s">
        <v>50</v>
      </c>
      <c r="S2510">
        <v>8</v>
      </c>
    </row>
    <row r="2511" spans="1:19" x14ac:dyDescent="0.3">
      <c r="A2511" s="1">
        <v>44786</v>
      </c>
      <c r="B2511">
        <v>2022</v>
      </c>
      <c r="C2511" t="s">
        <v>56</v>
      </c>
      <c r="D2511" s="4">
        <v>442090</v>
      </c>
      <c r="E2511" s="2">
        <v>735000</v>
      </c>
      <c r="F2511" t="s">
        <v>19</v>
      </c>
      <c r="G2511" t="s">
        <v>20</v>
      </c>
      <c r="H2511">
        <v>3</v>
      </c>
      <c r="I2511">
        <v>1</v>
      </c>
      <c r="J2511">
        <v>1058</v>
      </c>
      <c r="K2511" s="5">
        <v>1.003979E-2</v>
      </c>
      <c r="L2511" t="s">
        <v>21</v>
      </c>
      <c r="M2511" s="4">
        <v>292910</v>
      </c>
      <c r="N2511" s="3">
        <v>694.70699999999999</v>
      </c>
      <c r="O2511" t="s">
        <v>22</v>
      </c>
      <c r="P2511" t="s">
        <v>28</v>
      </c>
      <c r="Q2511" t="s">
        <v>24</v>
      </c>
      <c r="R2511" t="s">
        <v>50</v>
      </c>
      <c r="S2511">
        <v>8</v>
      </c>
    </row>
    <row r="2512" spans="1:19" x14ac:dyDescent="0.3">
      <c r="A2512" s="1">
        <v>44790</v>
      </c>
      <c r="B2512">
        <v>2022</v>
      </c>
      <c r="C2512" t="s">
        <v>29</v>
      </c>
      <c r="D2512" s="4">
        <v>150220</v>
      </c>
      <c r="E2512" s="2">
        <v>320000</v>
      </c>
      <c r="F2512" t="s">
        <v>30</v>
      </c>
      <c r="G2512" t="s">
        <v>31</v>
      </c>
      <c r="H2512">
        <v>4</v>
      </c>
      <c r="I2512">
        <v>3</v>
      </c>
      <c r="J2512">
        <v>1283</v>
      </c>
      <c r="K2512" s="5">
        <v>1.003979E-2</v>
      </c>
      <c r="L2512" t="s">
        <v>21</v>
      </c>
      <c r="M2512" s="4">
        <v>169780</v>
      </c>
      <c r="N2512" s="3">
        <v>249.41540000000001</v>
      </c>
      <c r="O2512" t="s">
        <v>22</v>
      </c>
      <c r="P2512" t="s">
        <v>24</v>
      </c>
      <c r="Q2512" t="s">
        <v>24</v>
      </c>
      <c r="R2512" t="s">
        <v>50</v>
      </c>
      <c r="S2512">
        <v>8</v>
      </c>
    </row>
    <row r="2513" spans="1:19" x14ac:dyDescent="0.3">
      <c r="A2513" s="1">
        <v>44791</v>
      </c>
      <c r="B2513">
        <v>2022</v>
      </c>
      <c r="C2513" t="s">
        <v>26</v>
      </c>
      <c r="D2513" s="4">
        <v>716460</v>
      </c>
      <c r="E2513" s="2">
        <v>795000</v>
      </c>
      <c r="F2513" t="s">
        <v>19</v>
      </c>
      <c r="G2513" t="s">
        <v>20</v>
      </c>
      <c r="H2513">
        <v>3</v>
      </c>
      <c r="I2513">
        <v>1</v>
      </c>
      <c r="J2513">
        <v>1111.6589814177564</v>
      </c>
      <c r="K2513" s="5">
        <v>1.003979E-2</v>
      </c>
      <c r="L2513" t="s">
        <v>32</v>
      </c>
      <c r="M2513" s="4">
        <v>78540</v>
      </c>
      <c r="N2513" s="3">
        <v>715.14739999999995</v>
      </c>
      <c r="O2513" t="s">
        <v>22</v>
      </c>
      <c r="P2513" t="s">
        <v>28</v>
      </c>
      <c r="Q2513" t="s">
        <v>24</v>
      </c>
      <c r="R2513" t="s">
        <v>50</v>
      </c>
      <c r="S2513">
        <v>8</v>
      </c>
    </row>
    <row r="2514" spans="1:19" x14ac:dyDescent="0.3">
      <c r="A2514" s="1">
        <v>44792</v>
      </c>
      <c r="B2514">
        <v>2022</v>
      </c>
      <c r="C2514" t="s">
        <v>39</v>
      </c>
      <c r="D2514" s="4">
        <v>696150</v>
      </c>
      <c r="E2514" s="2">
        <v>1155500</v>
      </c>
      <c r="F2514" t="s">
        <v>19</v>
      </c>
      <c r="G2514" t="s">
        <v>20</v>
      </c>
      <c r="H2514">
        <v>3</v>
      </c>
      <c r="I2514">
        <v>3</v>
      </c>
      <c r="J2514">
        <v>1111.6589814177564</v>
      </c>
      <c r="K2514" s="5">
        <v>1.003979E-2</v>
      </c>
      <c r="L2514" t="s">
        <v>38</v>
      </c>
      <c r="M2514" s="4">
        <v>459350</v>
      </c>
      <c r="N2514" s="3">
        <v>1039.4375</v>
      </c>
      <c r="O2514" t="s">
        <v>22</v>
      </c>
      <c r="P2514" t="s">
        <v>28</v>
      </c>
      <c r="Q2514" t="s">
        <v>24</v>
      </c>
      <c r="R2514" t="s">
        <v>50</v>
      </c>
      <c r="S2514">
        <v>8</v>
      </c>
    </row>
    <row r="2515" spans="1:19" x14ac:dyDescent="0.3">
      <c r="A2515" s="1">
        <v>44794</v>
      </c>
      <c r="B2515">
        <v>2022</v>
      </c>
      <c r="C2515" t="s">
        <v>52</v>
      </c>
      <c r="D2515" s="4">
        <v>444584.20699999999</v>
      </c>
      <c r="E2515" s="2">
        <v>415000</v>
      </c>
      <c r="F2515" t="s">
        <v>19</v>
      </c>
      <c r="G2515" t="s">
        <v>20</v>
      </c>
      <c r="H2515">
        <v>3</v>
      </c>
      <c r="I2515">
        <v>1</v>
      </c>
      <c r="J2515">
        <v>1024</v>
      </c>
      <c r="K2515" s="5">
        <v>1.003979E-2</v>
      </c>
      <c r="L2515" t="s">
        <v>27</v>
      </c>
      <c r="M2515" s="4">
        <v>-29584.206999999999</v>
      </c>
      <c r="N2515" s="3">
        <v>405.27339999999998</v>
      </c>
      <c r="O2515" t="s">
        <v>33</v>
      </c>
      <c r="P2515" t="s">
        <v>24</v>
      </c>
      <c r="Q2515" t="s">
        <v>24</v>
      </c>
      <c r="R2515" t="s">
        <v>50</v>
      </c>
      <c r="S2515">
        <v>8</v>
      </c>
    </row>
    <row r="2516" spans="1:19" x14ac:dyDescent="0.3">
      <c r="A2516" s="1">
        <v>44797</v>
      </c>
      <c r="B2516">
        <v>2022</v>
      </c>
      <c r="C2516" t="s">
        <v>35</v>
      </c>
      <c r="D2516" s="4">
        <v>335230</v>
      </c>
      <c r="E2516" s="2">
        <v>655000</v>
      </c>
      <c r="F2516" t="s">
        <v>19</v>
      </c>
      <c r="G2516" t="s">
        <v>20</v>
      </c>
      <c r="H2516">
        <v>3</v>
      </c>
      <c r="I2516">
        <v>1</v>
      </c>
      <c r="J2516">
        <v>1036</v>
      </c>
      <c r="K2516" s="5">
        <v>1.003979E-2</v>
      </c>
      <c r="L2516" t="s">
        <v>27</v>
      </c>
      <c r="M2516" s="4">
        <v>319770</v>
      </c>
      <c r="N2516" s="3">
        <v>632.23940000000005</v>
      </c>
      <c r="O2516" t="s">
        <v>22</v>
      </c>
      <c r="P2516" t="s">
        <v>28</v>
      </c>
      <c r="Q2516" t="s">
        <v>24</v>
      </c>
      <c r="R2516" t="s">
        <v>50</v>
      </c>
      <c r="S2516">
        <v>8</v>
      </c>
    </row>
    <row r="2517" spans="1:19" x14ac:dyDescent="0.3">
      <c r="A2517" s="1">
        <v>44799</v>
      </c>
      <c r="B2517">
        <v>2022</v>
      </c>
      <c r="C2517" t="s">
        <v>18</v>
      </c>
      <c r="D2517" s="4">
        <v>110670</v>
      </c>
      <c r="E2517" s="2">
        <v>210000</v>
      </c>
      <c r="F2517" t="s">
        <v>19</v>
      </c>
      <c r="G2517" t="s">
        <v>20</v>
      </c>
      <c r="H2517">
        <v>3</v>
      </c>
      <c r="I2517">
        <v>3</v>
      </c>
      <c r="J2517">
        <v>1092</v>
      </c>
      <c r="K2517" s="5">
        <v>1.003979E-2</v>
      </c>
      <c r="L2517" t="s">
        <v>27</v>
      </c>
      <c r="M2517" s="4">
        <v>99330</v>
      </c>
      <c r="N2517" s="3">
        <v>192.30770000000001</v>
      </c>
      <c r="O2517" t="s">
        <v>22</v>
      </c>
      <c r="P2517" t="s">
        <v>24</v>
      </c>
      <c r="Q2517" t="s">
        <v>24</v>
      </c>
      <c r="R2517" t="s">
        <v>50</v>
      </c>
      <c r="S2517">
        <v>8</v>
      </c>
    </row>
    <row r="2518" spans="1:19" x14ac:dyDescent="0.3">
      <c r="A2518" s="1">
        <v>44800</v>
      </c>
      <c r="B2518">
        <v>2022</v>
      </c>
      <c r="C2518" t="s">
        <v>26</v>
      </c>
      <c r="D2518" s="4">
        <v>178040</v>
      </c>
      <c r="E2518" s="2">
        <v>300000</v>
      </c>
      <c r="F2518" t="s">
        <v>19</v>
      </c>
      <c r="G2518" t="s">
        <v>20</v>
      </c>
      <c r="H2518">
        <v>3</v>
      </c>
      <c r="I2518">
        <v>1</v>
      </c>
      <c r="J2518">
        <v>1001</v>
      </c>
      <c r="K2518" s="5">
        <v>1.003979E-2</v>
      </c>
      <c r="L2518" t="s">
        <v>21</v>
      </c>
      <c r="M2518" s="4">
        <v>121960</v>
      </c>
      <c r="N2518" s="3">
        <v>299.70030000000003</v>
      </c>
      <c r="O2518" t="s">
        <v>22</v>
      </c>
      <c r="P2518" t="s">
        <v>24</v>
      </c>
      <c r="Q2518" t="s">
        <v>24</v>
      </c>
      <c r="R2518" t="s">
        <v>50</v>
      </c>
      <c r="S2518">
        <v>8</v>
      </c>
    </row>
    <row r="2519" spans="1:19" x14ac:dyDescent="0.3">
      <c r="A2519" s="1">
        <v>44801</v>
      </c>
      <c r="B2519">
        <v>2022</v>
      </c>
      <c r="C2519" t="s">
        <v>35</v>
      </c>
      <c r="D2519" s="4">
        <v>444584.20699999999</v>
      </c>
      <c r="E2519" s="2">
        <v>3200000</v>
      </c>
      <c r="F2519" t="s">
        <v>19</v>
      </c>
      <c r="G2519" t="s">
        <v>20</v>
      </c>
      <c r="H2519">
        <v>3</v>
      </c>
      <c r="I2519">
        <v>3</v>
      </c>
      <c r="J2519">
        <v>1039</v>
      </c>
      <c r="K2519" s="5">
        <v>1.003979E-2</v>
      </c>
      <c r="L2519" t="s">
        <v>38</v>
      </c>
      <c r="M2519" s="4">
        <v>2755415.7930000001</v>
      </c>
      <c r="N2519" s="3">
        <v>3079.8845000000001</v>
      </c>
      <c r="O2519" t="s">
        <v>22</v>
      </c>
      <c r="P2519" t="s">
        <v>28</v>
      </c>
      <c r="Q2519" t="s">
        <v>24</v>
      </c>
      <c r="R2519" t="s">
        <v>50</v>
      </c>
      <c r="S2519">
        <v>8</v>
      </c>
    </row>
    <row r="2520" spans="1:19" x14ac:dyDescent="0.3">
      <c r="A2520" s="1">
        <v>44805</v>
      </c>
      <c r="B2520">
        <v>2022</v>
      </c>
      <c r="C2520" t="s">
        <v>40</v>
      </c>
      <c r="D2520" s="4">
        <v>310390</v>
      </c>
      <c r="E2520" s="2">
        <v>705000</v>
      </c>
      <c r="F2520" t="s">
        <v>19</v>
      </c>
      <c r="G2520" t="s">
        <v>20</v>
      </c>
      <c r="H2520">
        <v>3</v>
      </c>
      <c r="I2520">
        <v>1</v>
      </c>
      <c r="J2520">
        <v>964</v>
      </c>
      <c r="K2520" s="5">
        <v>1.003979E-2</v>
      </c>
      <c r="L2520" t="s">
        <v>32</v>
      </c>
      <c r="M2520" s="4">
        <v>394610</v>
      </c>
      <c r="N2520" s="3">
        <v>731.32780000000002</v>
      </c>
      <c r="O2520" t="s">
        <v>22</v>
      </c>
      <c r="P2520" t="s">
        <v>28</v>
      </c>
      <c r="Q2520" t="s">
        <v>24</v>
      </c>
      <c r="R2520" t="s">
        <v>51</v>
      </c>
      <c r="S2520">
        <v>9</v>
      </c>
    </row>
    <row r="2521" spans="1:19" x14ac:dyDescent="0.3">
      <c r="A2521" s="1">
        <v>44806</v>
      </c>
      <c r="B2521">
        <v>2022</v>
      </c>
      <c r="C2521" t="s">
        <v>52</v>
      </c>
      <c r="D2521" s="4">
        <v>250040</v>
      </c>
      <c r="E2521" s="2">
        <v>436500</v>
      </c>
      <c r="F2521" t="s">
        <v>19</v>
      </c>
      <c r="G2521" t="s">
        <v>20</v>
      </c>
      <c r="H2521">
        <v>3</v>
      </c>
      <c r="I2521">
        <v>1</v>
      </c>
      <c r="J2521">
        <v>930</v>
      </c>
      <c r="K2521" s="5">
        <v>1.003979E-2</v>
      </c>
      <c r="L2521" t="s">
        <v>27</v>
      </c>
      <c r="M2521" s="4">
        <v>186460</v>
      </c>
      <c r="N2521" s="3">
        <v>469.35480000000001</v>
      </c>
      <c r="O2521" t="s">
        <v>22</v>
      </c>
      <c r="P2521" t="s">
        <v>24</v>
      </c>
      <c r="Q2521" t="s">
        <v>24</v>
      </c>
      <c r="R2521" t="s">
        <v>51</v>
      </c>
      <c r="S2521">
        <v>9</v>
      </c>
    </row>
    <row r="2522" spans="1:19" x14ac:dyDescent="0.3">
      <c r="A2522" s="1">
        <v>44807</v>
      </c>
      <c r="B2522">
        <v>2022</v>
      </c>
      <c r="C2522" t="s">
        <v>52</v>
      </c>
      <c r="D2522" s="4">
        <v>279510</v>
      </c>
      <c r="E2522" s="2">
        <v>420000</v>
      </c>
      <c r="F2522" t="s">
        <v>36</v>
      </c>
      <c r="G2522" t="s">
        <v>37</v>
      </c>
      <c r="H2522">
        <v>6</v>
      </c>
      <c r="I2522">
        <v>4</v>
      </c>
      <c r="J2522">
        <v>1845</v>
      </c>
      <c r="K2522" s="5">
        <v>1.003979E-2</v>
      </c>
      <c r="L2522" t="s">
        <v>32</v>
      </c>
      <c r="M2522" s="4">
        <v>140490</v>
      </c>
      <c r="N2522" s="3">
        <v>227.64230000000001</v>
      </c>
      <c r="O2522" t="s">
        <v>22</v>
      </c>
      <c r="P2522" t="s">
        <v>24</v>
      </c>
      <c r="Q2522" t="s">
        <v>34</v>
      </c>
      <c r="R2522" t="s">
        <v>51</v>
      </c>
      <c r="S2522">
        <v>9</v>
      </c>
    </row>
    <row r="2523" spans="1:19" x14ac:dyDescent="0.3">
      <c r="A2523" s="1">
        <v>44808</v>
      </c>
      <c r="B2523">
        <v>2022</v>
      </c>
      <c r="C2523" t="s">
        <v>35</v>
      </c>
      <c r="D2523" s="4">
        <v>310660</v>
      </c>
      <c r="E2523" s="2">
        <v>500000</v>
      </c>
      <c r="F2523" t="s">
        <v>19</v>
      </c>
      <c r="G2523" t="s">
        <v>20</v>
      </c>
      <c r="H2523">
        <v>3</v>
      </c>
      <c r="I2523">
        <v>2</v>
      </c>
      <c r="J2523">
        <v>1060</v>
      </c>
      <c r="K2523" s="5">
        <v>1.003979E-2</v>
      </c>
      <c r="L2523" t="s">
        <v>38</v>
      </c>
      <c r="M2523" s="4">
        <v>189340</v>
      </c>
      <c r="N2523" s="3">
        <v>471.69810000000001</v>
      </c>
      <c r="O2523" t="s">
        <v>22</v>
      </c>
      <c r="P2523" t="s">
        <v>24</v>
      </c>
      <c r="Q2523" t="s">
        <v>24</v>
      </c>
      <c r="R2523" t="s">
        <v>51</v>
      </c>
      <c r="S2523">
        <v>9</v>
      </c>
    </row>
    <row r="2524" spans="1:19" x14ac:dyDescent="0.3">
      <c r="A2524" s="1">
        <v>44812</v>
      </c>
      <c r="B2524">
        <v>2022</v>
      </c>
      <c r="C2524" t="s">
        <v>39</v>
      </c>
      <c r="D2524" s="4">
        <v>240170</v>
      </c>
      <c r="E2524" s="2">
        <v>450000</v>
      </c>
      <c r="F2524" t="s">
        <v>19</v>
      </c>
      <c r="G2524" t="s">
        <v>20</v>
      </c>
      <c r="H2524">
        <v>3</v>
      </c>
      <c r="I2524">
        <v>1</v>
      </c>
      <c r="J2524">
        <v>1078</v>
      </c>
      <c r="K2524" s="5">
        <v>1.003979E-2</v>
      </c>
      <c r="L2524" t="s">
        <v>21</v>
      </c>
      <c r="M2524" s="4">
        <v>209830</v>
      </c>
      <c r="N2524" s="3">
        <v>417.43970000000002</v>
      </c>
      <c r="O2524" t="s">
        <v>22</v>
      </c>
      <c r="P2524" t="s">
        <v>24</v>
      </c>
      <c r="Q2524" t="s">
        <v>24</v>
      </c>
      <c r="R2524" t="s">
        <v>51</v>
      </c>
      <c r="S2524">
        <v>9</v>
      </c>
    </row>
    <row r="2525" spans="1:19" x14ac:dyDescent="0.3">
      <c r="A2525" s="1">
        <v>44813</v>
      </c>
      <c r="B2525">
        <v>2022</v>
      </c>
      <c r="C2525" t="s">
        <v>35</v>
      </c>
      <c r="D2525" s="4">
        <v>792050</v>
      </c>
      <c r="E2525" s="2">
        <v>1500000</v>
      </c>
      <c r="F2525" t="s">
        <v>19</v>
      </c>
      <c r="G2525" t="s">
        <v>20</v>
      </c>
      <c r="H2525">
        <v>3</v>
      </c>
      <c r="I2525">
        <v>3</v>
      </c>
      <c r="J2525">
        <v>980</v>
      </c>
      <c r="K2525" s="5">
        <v>1.003979E-2</v>
      </c>
      <c r="L2525" t="s">
        <v>38</v>
      </c>
      <c r="M2525" s="4">
        <v>707950</v>
      </c>
      <c r="N2525" s="3">
        <v>1530.6122</v>
      </c>
      <c r="O2525" t="s">
        <v>22</v>
      </c>
      <c r="P2525" t="s">
        <v>28</v>
      </c>
      <c r="Q2525" t="s">
        <v>24</v>
      </c>
      <c r="R2525" t="s">
        <v>51</v>
      </c>
      <c r="S2525">
        <v>9</v>
      </c>
    </row>
    <row r="2526" spans="1:19" x14ac:dyDescent="0.3">
      <c r="A2526" s="1">
        <v>44814</v>
      </c>
      <c r="B2526">
        <v>2022</v>
      </c>
      <c r="C2526" t="s">
        <v>52</v>
      </c>
      <c r="D2526" s="4">
        <v>228970</v>
      </c>
      <c r="E2526" s="2">
        <v>300000</v>
      </c>
      <c r="F2526" t="s">
        <v>19</v>
      </c>
      <c r="G2526" t="s">
        <v>20</v>
      </c>
      <c r="H2526">
        <v>3</v>
      </c>
      <c r="I2526">
        <v>2</v>
      </c>
      <c r="J2526">
        <v>1111.6589814177564</v>
      </c>
      <c r="K2526" s="5">
        <v>1.003979E-2</v>
      </c>
      <c r="L2526" t="s">
        <v>21</v>
      </c>
      <c r="M2526" s="4">
        <v>71030</v>
      </c>
      <c r="N2526" s="3">
        <v>269.86689999999999</v>
      </c>
      <c r="O2526" t="s">
        <v>22</v>
      </c>
      <c r="P2526" t="s">
        <v>24</v>
      </c>
      <c r="Q2526" t="s">
        <v>24</v>
      </c>
      <c r="R2526" t="s">
        <v>51</v>
      </c>
      <c r="S2526">
        <v>9</v>
      </c>
    </row>
    <row r="2527" spans="1:19" x14ac:dyDescent="0.3">
      <c r="A2527" s="1">
        <v>44818</v>
      </c>
      <c r="B2527">
        <v>2022</v>
      </c>
      <c r="C2527" t="s">
        <v>26</v>
      </c>
      <c r="D2527" s="4">
        <v>239810</v>
      </c>
      <c r="E2527" s="2">
        <v>535000</v>
      </c>
      <c r="F2527" t="s">
        <v>19</v>
      </c>
      <c r="G2527" t="s">
        <v>20</v>
      </c>
      <c r="H2527">
        <v>3</v>
      </c>
      <c r="I2527">
        <v>1</v>
      </c>
      <c r="J2527">
        <v>998</v>
      </c>
      <c r="K2527" s="5">
        <v>1.003979E-2</v>
      </c>
      <c r="L2527" t="s">
        <v>32</v>
      </c>
      <c r="M2527" s="4">
        <v>295190</v>
      </c>
      <c r="N2527" s="3">
        <v>536.07209999999998</v>
      </c>
      <c r="O2527" t="s">
        <v>22</v>
      </c>
      <c r="P2527" t="s">
        <v>24</v>
      </c>
      <c r="Q2527" t="s">
        <v>24</v>
      </c>
      <c r="R2527" t="s">
        <v>51</v>
      </c>
      <c r="S2527">
        <v>9</v>
      </c>
    </row>
    <row r="2528" spans="1:19" x14ac:dyDescent="0.3">
      <c r="A2528" s="1">
        <v>44820</v>
      </c>
      <c r="B2528">
        <v>2022</v>
      </c>
      <c r="C2528" t="s">
        <v>39</v>
      </c>
      <c r="D2528" s="4">
        <v>444584.20699999999</v>
      </c>
      <c r="E2528" s="2">
        <v>585000</v>
      </c>
      <c r="F2528" t="s">
        <v>19</v>
      </c>
      <c r="G2528" t="s">
        <v>20</v>
      </c>
      <c r="H2528">
        <v>3</v>
      </c>
      <c r="I2528">
        <v>3</v>
      </c>
      <c r="J2528">
        <v>936</v>
      </c>
      <c r="K2528" s="5">
        <v>1.003979E-2</v>
      </c>
      <c r="L2528" t="s">
        <v>27</v>
      </c>
      <c r="M2528" s="4">
        <v>140415.79300000001</v>
      </c>
      <c r="N2528" s="3">
        <v>625</v>
      </c>
      <c r="O2528" t="s">
        <v>22</v>
      </c>
      <c r="P2528" t="s">
        <v>24</v>
      </c>
      <c r="Q2528" t="s">
        <v>24</v>
      </c>
      <c r="R2528" t="s">
        <v>51</v>
      </c>
      <c r="S2528">
        <v>9</v>
      </c>
    </row>
    <row r="2529" spans="1:19" x14ac:dyDescent="0.3">
      <c r="A2529" s="1">
        <v>44821</v>
      </c>
      <c r="B2529">
        <v>2022</v>
      </c>
      <c r="C2529" t="s">
        <v>18</v>
      </c>
      <c r="D2529" s="4">
        <v>444584.20699999999</v>
      </c>
      <c r="E2529" s="2">
        <v>209000</v>
      </c>
      <c r="F2529" t="s">
        <v>19</v>
      </c>
      <c r="G2529" t="s">
        <v>20</v>
      </c>
      <c r="H2529">
        <v>3</v>
      </c>
      <c r="I2529">
        <v>1</v>
      </c>
      <c r="J2529">
        <v>1043</v>
      </c>
      <c r="K2529" s="5">
        <v>1.003979E-2</v>
      </c>
      <c r="L2529" t="s">
        <v>21</v>
      </c>
      <c r="M2529" s="4">
        <v>-235584.20699999999</v>
      </c>
      <c r="N2529" s="3">
        <v>200.3835</v>
      </c>
      <c r="O2529" t="s">
        <v>33</v>
      </c>
      <c r="P2529" t="s">
        <v>24</v>
      </c>
      <c r="Q2529" t="s">
        <v>24</v>
      </c>
      <c r="R2529" t="s">
        <v>51</v>
      </c>
      <c r="S2529">
        <v>9</v>
      </c>
    </row>
    <row r="2530" spans="1:19" x14ac:dyDescent="0.3">
      <c r="A2530" s="1">
        <v>44822</v>
      </c>
      <c r="B2530">
        <v>2022</v>
      </c>
      <c r="C2530" t="s">
        <v>18</v>
      </c>
      <c r="D2530" s="4">
        <v>73970</v>
      </c>
      <c r="E2530" s="2">
        <v>65000</v>
      </c>
      <c r="F2530" t="s">
        <v>36</v>
      </c>
      <c r="G2530" t="s">
        <v>37</v>
      </c>
      <c r="H2530">
        <v>6</v>
      </c>
      <c r="I2530">
        <v>6</v>
      </c>
      <c r="J2530">
        <v>1984</v>
      </c>
      <c r="K2530" s="5">
        <v>1.003979E-2</v>
      </c>
      <c r="L2530" t="s">
        <v>21</v>
      </c>
      <c r="M2530" s="4">
        <v>-8970</v>
      </c>
      <c r="N2530" s="3">
        <v>32.762099999999997</v>
      </c>
      <c r="O2530" t="s">
        <v>33</v>
      </c>
      <c r="P2530" t="s">
        <v>23</v>
      </c>
      <c r="Q2530" t="s">
        <v>34</v>
      </c>
      <c r="R2530" t="s">
        <v>51</v>
      </c>
      <c r="S2530">
        <v>9</v>
      </c>
    </row>
    <row r="2531" spans="1:19" x14ac:dyDescent="0.3">
      <c r="A2531" s="1">
        <v>44825</v>
      </c>
      <c r="B2531">
        <v>2022</v>
      </c>
      <c r="C2531" t="s">
        <v>35</v>
      </c>
      <c r="D2531" s="4">
        <v>2786070</v>
      </c>
      <c r="E2531" s="2">
        <v>2600000</v>
      </c>
      <c r="F2531" t="s">
        <v>19</v>
      </c>
      <c r="G2531" t="s">
        <v>20</v>
      </c>
      <c r="H2531">
        <v>3</v>
      </c>
      <c r="I2531">
        <v>1</v>
      </c>
      <c r="J2531">
        <v>981</v>
      </c>
      <c r="K2531" s="5">
        <v>1.003979E-2</v>
      </c>
      <c r="L2531" t="s">
        <v>27</v>
      </c>
      <c r="M2531" s="4">
        <v>-186070</v>
      </c>
      <c r="N2531" s="3">
        <v>2650.3568</v>
      </c>
      <c r="O2531" t="s">
        <v>33</v>
      </c>
      <c r="P2531" t="s">
        <v>28</v>
      </c>
      <c r="Q2531" t="s">
        <v>24</v>
      </c>
      <c r="R2531" t="s">
        <v>51</v>
      </c>
      <c r="S2531">
        <v>9</v>
      </c>
    </row>
    <row r="2532" spans="1:19" x14ac:dyDescent="0.3">
      <c r="A2532" s="1">
        <v>44827</v>
      </c>
      <c r="B2532">
        <v>2022</v>
      </c>
      <c r="C2532" t="s">
        <v>39</v>
      </c>
      <c r="D2532" s="4">
        <v>1341340</v>
      </c>
      <c r="E2532" s="2">
        <v>2000000</v>
      </c>
      <c r="F2532" t="s">
        <v>19</v>
      </c>
      <c r="G2532" t="s">
        <v>20</v>
      </c>
      <c r="H2532">
        <v>3</v>
      </c>
      <c r="I2532">
        <v>3</v>
      </c>
      <c r="J2532">
        <v>930</v>
      </c>
      <c r="K2532" s="5">
        <v>1.003979E-2</v>
      </c>
      <c r="L2532" t="s">
        <v>27</v>
      </c>
      <c r="M2532" s="4">
        <v>658660</v>
      </c>
      <c r="N2532" s="3">
        <v>2150.5376000000001</v>
      </c>
      <c r="O2532" t="s">
        <v>22</v>
      </c>
      <c r="P2532" t="s">
        <v>28</v>
      </c>
      <c r="Q2532" t="s">
        <v>24</v>
      </c>
      <c r="R2532" t="s">
        <v>51</v>
      </c>
      <c r="S2532">
        <v>9</v>
      </c>
    </row>
    <row r="2533" spans="1:19" x14ac:dyDescent="0.3">
      <c r="A2533" s="1">
        <v>44828</v>
      </c>
      <c r="B2533">
        <v>2022</v>
      </c>
      <c r="C2533" t="s">
        <v>39</v>
      </c>
      <c r="D2533" s="4">
        <v>813680</v>
      </c>
      <c r="E2533" s="2">
        <v>1350000</v>
      </c>
      <c r="F2533" t="s">
        <v>19</v>
      </c>
      <c r="G2533" t="s">
        <v>20</v>
      </c>
      <c r="H2533">
        <v>3</v>
      </c>
      <c r="I2533">
        <v>1</v>
      </c>
      <c r="J2533">
        <v>933</v>
      </c>
      <c r="K2533" s="5">
        <v>1.003979E-2</v>
      </c>
      <c r="L2533" t="s">
        <v>27</v>
      </c>
      <c r="M2533" s="4">
        <v>536320</v>
      </c>
      <c r="N2533" s="3">
        <v>1446.9453000000001</v>
      </c>
      <c r="O2533" t="s">
        <v>22</v>
      </c>
      <c r="P2533" t="s">
        <v>28</v>
      </c>
      <c r="Q2533" t="s">
        <v>24</v>
      </c>
      <c r="R2533" t="s">
        <v>51</v>
      </c>
      <c r="S2533">
        <v>9</v>
      </c>
    </row>
    <row r="2534" spans="1:19" x14ac:dyDescent="0.3">
      <c r="A2534" s="1">
        <v>44829</v>
      </c>
      <c r="B2534">
        <v>2022</v>
      </c>
      <c r="C2534" t="s">
        <v>35</v>
      </c>
      <c r="D2534" s="4">
        <v>1074290</v>
      </c>
      <c r="E2534" s="2">
        <v>1700000</v>
      </c>
      <c r="F2534" t="s">
        <v>19</v>
      </c>
      <c r="G2534" t="s">
        <v>20</v>
      </c>
      <c r="H2534">
        <v>3</v>
      </c>
      <c r="I2534">
        <v>1</v>
      </c>
      <c r="J2534">
        <v>934</v>
      </c>
      <c r="K2534" s="5">
        <v>1.003979E-2</v>
      </c>
      <c r="L2534" t="s">
        <v>21</v>
      </c>
      <c r="M2534" s="4">
        <v>625710</v>
      </c>
      <c r="N2534" s="3">
        <v>1820.1285</v>
      </c>
      <c r="O2534" t="s">
        <v>22</v>
      </c>
      <c r="P2534" t="s">
        <v>28</v>
      </c>
      <c r="Q2534" t="s">
        <v>24</v>
      </c>
      <c r="R2534" t="s">
        <v>51</v>
      </c>
      <c r="S2534">
        <v>9</v>
      </c>
    </row>
    <row r="2535" spans="1:19" x14ac:dyDescent="0.3">
      <c r="A2535" s="1">
        <v>44833</v>
      </c>
      <c r="B2535">
        <v>2022</v>
      </c>
      <c r="C2535" t="s">
        <v>18</v>
      </c>
      <c r="D2535" s="4">
        <v>55000</v>
      </c>
      <c r="E2535" s="2">
        <v>129900</v>
      </c>
      <c r="F2535" t="s">
        <v>19</v>
      </c>
      <c r="G2535" t="s">
        <v>20</v>
      </c>
      <c r="H2535">
        <v>3</v>
      </c>
      <c r="I2535">
        <v>2</v>
      </c>
      <c r="J2535">
        <v>974</v>
      </c>
      <c r="K2535" s="5">
        <v>1.003979E-2</v>
      </c>
      <c r="L2535" t="s">
        <v>21</v>
      </c>
      <c r="M2535" s="4">
        <v>74900</v>
      </c>
      <c r="N2535" s="3">
        <v>133.36760000000001</v>
      </c>
      <c r="O2535" t="s">
        <v>22</v>
      </c>
      <c r="P2535" t="s">
        <v>23</v>
      </c>
      <c r="Q2535" t="s">
        <v>24</v>
      </c>
      <c r="R2535" t="s">
        <v>51</v>
      </c>
      <c r="S2535">
        <v>9</v>
      </c>
    </row>
    <row r="2536" spans="1:19" x14ac:dyDescent="0.3">
      <c r="A2536" s="1">
        <v>44834</v>
      </c>
      <c r="B2536">
        <v>2022</v>
      </c>
      <c r="C2536" t="s">
        <v>26</v>
      </c>
      <c r="D2536" s="4">
        <v>154920</v>
      </c>
      <c r="E2536" s="2">
        <v>196000</v>
      </c>
      <c r="F2536" t="s">
        <v>19</v>
      </c>
      <c r="G2536" t="s">
        <v>20</v>
      </c>
      <c r="H2536">
        <v>3</v>
      </c>
      <c r="I2536">
        <v>1</v>
      </c>
      <c r="J2536">
        <v>932</v>
      </c>
      <c r="K2536" s="5">
        <v>1.003979E-2</v>
      </c>
      <c r="L2536" t="s">
        <v>38</v>
      </c>
      <c r="M2536" s="4">
        <v>41080</v>
      </c>
      <c r="N2536" s="3">
        <v>210.3004</v>
      </c>
      <c r="O2536" t="s">
        <v>22</v>
      </c>
      <c r="P2536" t="s">
        <v>23</v>
      </c>
      <c r="Q2536" t="s">
        <v>24</v>
      </c>
      <c r="R2536" t="s">
        <v>51</v>
      </c>
      <c r="S2536">
        <v>9</v>
      </c>
    </row>
    <row r="2538" spans="1:19" x14ac:dyDescent="0.3">
      <c r="F2538" s="4">
        <f>AVERAGE(E:E)</f>
        <v>1177429.2326498423</v>
      </c>
    </row>
    <row r="1048576" spans="5:5" x14ac:dyDescent="0.3">
      <c r="E1048576" s="2">
        <f>SUM(E2:E1048575)</f>
        <v>1492980267</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7820-D7D2-4627-92CB-5D75831236D2}">
  <dimension ref="A1:I34"/>
  <sheetViews>
    <sheetView tabSelected="1" topLeftCell="B4" zoomScaleNormal="100" workbookViewId="0">
      <selection activeCell="H25" sqref="H25"/>
    </sheetView>
  </sheetViews>
  <sheetFormatPr defaultRowHeight="14.4" x14ac:dyDescent="0.3"/>
  <cols>
    <col min="1" max="1" width="13.6640625" bestFit="1" customWidth="1"/>
    <col min="2" max="2" width="20.88671875" bestFit="1" customWidth="1"/>
    <col min="3" max="3" width="27" bestFit="1" customWidth="1"/>
    <col min="4" max="4" width="10.21875" customWidth="1"/>
    <col min="5" max="5" width="13.5546875" bestFit="1" customWidth="1"/>
    <col min="6" max="6" width="14.109375" bestFit="1" customWidth="1"/>
    <col min="7" max="7" width="12.21875" customWidth="1"/>
    <col min="8" max="8" width="26.33203125" bestFit="1" customWidth="1"/>
    <col min="9" max="9" width="13.5546875" bestFit="1" customWidth="1"/>
    <col min="10" max="10" width="14.109375" bestFit="1" customWidth="1"/>
    <col min="11" max="11" width="22.21875" bestFit="1" customWidth="1"/>
    <col min="12" max="12" width="23.6640625" bestFit="1" customWidth="1"/>
    <col min="13" max="13" width="22.6640625" bestFit="1" customWidth="1"/>
    <col min="14" max="14" width="9.6640625" bestFit="1" customWidth="1"/>
    <col min="15" max="15" width="12.5546875" bestFit="1" customWidth="1"/>
    <col min="16" max="16" width="10.5546875" bestFit="1" customWidth="1"/>
  </cols>
  <sheetData>
    <row r="1" spans="1:9" x14ac:dyDescent="0.3">
      <c r="A1" t="s">
        <v>69</v>
      </c>
      <c r="E1" t="s">
        <v>71</v>
      </c>
      <c r="H1" t="s">
        <v>76</v>
      </c>
    </row>
    <row r="2" spans="1:9" x14ac:dyDescent="0.3">
      <c r="A2" s="6" t="s">
        <v>57</v>
      </c>
      <c r="B2" t="s">
        <v>58</v>
      </c>
      <c r="C2" t="s">
        <v>59</v>
      </c>
      <c r="E2" s="6" t="s">
        <v>57</v>
      </c>
      <c r="F2" t="s">
        <v>58</v>
      </c>
      <c r="H2" s="6" t="s">
        <v>1</v>
      </c>
      <c r="I2" t="s">
        <v>62</v>
      </c>
    </row>
    <row r="3" spans="1:9" x14ac:dyDescent="0.3">
      <c r="A3" s="7" t="s">
        <v>35</v>
      </c>
      <c r="B3">
        <v>270</v>
      </c>
      <c r="C3" s="8">
        <v>583998655</v>
      </c>
      <c r="E3" s="7" t="s">
        <v>19</v>
      </c>
      <c r="F3" s="5">
        <v>0.82011834319526622</v>
      </c>
    </row>
    <row r="4" spans="1:9" x14ac:dyDescent="0.3">
      <c r="A4" s="7" t="s">
        <v>39</v>
      </c>
      <c r="B4">
        <v>332</v>
      </c>
      <c r="C4" s="8">
        <v>240956509</v>
      </c>
      <c r="E4" s="7" t="s">
        <v>30</v>
      </c>
      <c r="F4" s="5">
        <v>0.10611439842209074</v>
      </c>
      <c r="H4" s="6" t="s">
        <v>57</v>
      </c>
      <c r="I4" t="s">
        <v>59</v>
      </c>
    </row>
    <row r="5" spans="1:9" x14ac:dyDescent="0.3">
      <c r="A5" s="7" t="s">
        <v>40</v>
      </c>
      <c r="B5">
        <v>325</v>
      </c>
      <c r="C5" s="8">
        <v>166259717</v>
      </c>
      <c r="E5" s="7" t="s">
        <v>36</v>
      </c>
      <c r="F5" s="5">
        <v>6.1538461538461542E-2</v>
      </c>
      <c r="H5" s="7">
        <v>1</v>
      </c>
      <c r="I5" s="8">
        <v>105115957</v>
      </c>
    </row>
    <row r="6" spans="1:9" x14ac:dyDescent="0.3">
      <c r="A6" s="7" t="s">
        <v>26</v>
      </c>
      <c r="B6">
        <v>258</v>
      </c>
      <c r="C6" s="8">
        <v>155318591</v>
      </c>
      <c r="E6" s="7" t="s">
        <v>42</v>
      </c>
      <c r="F6" s="5">
        <v>1.2228796844181459E-2</v>
      </c>
      <c r="H6" s="7">
        <v>2</v>
      </c>
      <c r="I6" s="8">
        <v>113615999</v>
      </c>
    </row>
    <row r="7" spans="1:9" x14ac:dyDescent="0.3">
      <c r="A7" s="7" t="s">
        <v>56</v>
      </c>
      <c r="B7">
        <v>239</v>
      </c>
      <c r="C7" s="8">
        <v>141556988</v>
      </c>
      <c r="E7" s="7" t="s">
        <v>61</v>
      </c>
      <c r="F7" s="5">
        <v>1</v>
      </c>
      <c r="H7" s="7">
        <v>3</v>
      </c>
      <c r="I7" s="8">
        <v>105291301</v>
      </c>
    </row>
    <row r="8" spans="1:9" x14ac:dyDescent="0.3">
      <c r="A8" s="7" t="s">
        <v>52</v>
      </c>
      <c r="B8">
        <v>271</v>
      </c>
      <c r="C8" s="8">
        <v>87048162</v>
      </c>
      <c r="H8" s="7">
        <v>4</v>
      </c>
      <c r="I8" s="8">
        <v>131853413</v>
      </c>
    </row>
    <row r="9" spans="1:9" x14ac:dyDescent="0.3">
      <c r="A9" s="7" t="s">
        <v>29</v>
      </c>
      <c r="B9">
        <v>464</v>
      </c>
      <c r="C9" s="8">
        <v>79477937</v>
      </c>
      <c r="E9" s="7" t="s">
        <v>72</v>
      </c>
      <c r="H9" s="7">
        <v>5</v>
      </c>
      <c r="I9" s="8">
        <v>143265078</v>
      </c>
    </row>
    <row r="10" spans="1:9" x14ac:dyDescent="0.3">
      <c r="A10" s="7" t="s">
        <v>18</v>
      </c>
      <c r="B10">
        <v>376</v>
      </c>
      <c r="C10" s="8">
        <v>38363708</v>
      </c>
      <c r="E10" s="6" t="s">
        <v>57</v>
      </c>
      <c r="F10" t="s">
        <v>67</v>
      </c>
      <c r="H10" s="7">
        <v>6</v>
      </c>
      <c r="I10" s="8">
        <v>170384295</v>
      </c>
    </row>
    <row r="11" spans="1:9" x14ac:dyDescent="0.3">
      <c r="A11" s="7" t="s">
        <v>61</v>
      </c>
      <c r="B11">
        <v>2535</v>
      </c>
      <c r="C11" s="8">
        <v>1492980267</v>
      </c>
      <c r="E11" s="7" t="s">
        <v>38</v>
      </c>
      <c r="F11">
        <v>599</v>
      </c>
      <c r="H11" s="7">
        <v>7</v>
      </c>
      <c r="I11" s="8">
        <v>143414088</v>
      </c>
    </row>
    <row r="12" spans="1:9" x14ac:dyDescent="0.3">
      <c r="E12" s="7" t="s">
        <v>27</v>
      </c>
      <c r="F12">
        <v>630</v>
      </c>
      <c r="H12" s="7">
        <v>8</v>
      </c>
      <c r="I12" s="8">
        <v>134542605</v>
      </c>
    </row>
    <row r="13" spans="1:9" x14ac:dyDescent="0.3">
      <c r="A13" t="s">
        <v>70</v>
      </c>
      <c r="E13" s="7" t="s">
        <v>21</v>
      </c>
      <c r="F13">
        <v>644</v>
      </c>
      <c r="H13" s="7">
        <v>9</v>
      </c>
      <c r="I13" s="8">
        <v>126942007</v>
      </c>
    </row>
    <row r="14" spans="1:9" x14ac:dyDescent="0.3">
      <c r="A14" s="6" t="s">
        <v>57</v>
      </c>
      <c r="B14" t="s">
        <v>60</v>
      </c>
      <c r="C14" t="s">
        <v>64</v>
      </c>
      <c r="E14" s="7" t="s">
        <v>32</v>
      </c>
      <c r="F14">
        <v>662</v>
      </c>
      <c r="H14" s="7">
        <v>10</v>
      </c>
      <c r="I14" s="8">
        <v>104146835</v>
      </c>
    </row>
    <row r="15" spans="1:9" x14ac:dyDescent="0.3">
      <c r="A15" s="7" t="s">
        <v>35</v>
      </c>
      <c r="B15" s="9">
        <v>2162957.9814814813</v>
      </c>
      <c r="C15" s="9">
        <v>1323035.7284962963</v>
      </c>
      <c r="E15" s="7" t="s">
        <v>61</v>
      </c>
      <c r="F15">
        <v>2535</v>
      </c>
      <c r="H15" s="7">
        <v>11</v>
      </c>
      <c r="I15" s="8">
        <v>92200809</v>
      </c>
    </row>
    <row r="16" spans="1:9" x14ac:dyDescent="0.3">
      <c r="A16" s="7" t="s">
        <v>39</v>
      </c>
      <c r="B16" s="9">
        <v>725772.61746987957</v>
      </c>
      <c r="C16" s="9">
        <v>521834.96635843348</v>
      </c>
      <c r="H16" s="7">
        <v>12</v>
      </c>
      <c r="I16" s="8">
        <v>122207880</v>
      </c>
    </row>
    <row r="17" spans="1:9" x14ac:dyDescent="0.3">
      <c r="A17" s="7" t="s">
        <v>26</v>
      </c>
      <c r="B17" s="9">
        <v>602010.04263565887</v>
      </c>
      <c r="C17" s="9">
        <v>406809.72869379859</v>
      </c>
      <c r="E17" s="7" t="s">
        <v>73</v>
      </c>
      <c r="H17" s="7" t="s">
        <v>61</v>
      </c>
      <c r="I17" s="8">
        <v>1492980267</v>
      </c>
    </row>
    <row r="18" spans="1:9" x14ac:dyDescent="0.3">
      <c r="A18" s="7" t="s">
        <v>56</v>
      </c>
      <c r="B18" s="9">
        <v>592288.65271966532</v>
      </c>
      <c r="C18" s="9">
        <v>435371.63151882857</v>
      </c>
      <c r="E18" s="6" t="s">
        <v>2</v>
      </c>
      <c r="F18" t="s">
        <v>62</v>
      </c>
    </row>
    <row r="19" spans="1:9" x14ac:dyDescent="0.3">
      <c r="A19" s="7" t="s">
        <v>40</v>
      </c>
      <c r="B19" s="9">
        <v>511568.36</v>
      </c>
      <c r="C19" s="9">
        <v>383829.88288000022</v>
      </c>
    </row>
    <row r="20" spans="1:9" x14ac:dyDescent="0.3">
      <c r="A20" s="7" t="s">
        <v>52</v>
      </c>
      <c r="B20" s="9">
        <v>321210.92988929892</v>
      </c>
      <c r="C20" s="9">
        <v>243487.92341328421</v>
      </c>
      <c r="E20" s="6" t="s">
        <v>57</v>
      </c>
      <c r="F20" t="s">
        <v>63</v>
      </c>
      <c r="H20" t="s">
        <v>77</v>
      </c>
    </row>
    <row r="21" spans="1:9" x14ac:dyDescent="0.3">
      <c r="A21" s="7" t="s">
        <v>29</v>
      </c>
      <c r="B21" s="9">
        <v>171288.6573275862</v>
      </c>
      <c r="C21" s="9">
        <v>181949.87508836223</v>
      </c>
      <c r="E21" s="7" t="s">
        <v>22</v>
      </c>
      <c r="F21" s="5">
        <v>0.71558185404339247</v>
      </c>
      <c r="H21" s="3">
        <v>570.93398465483313</v>
      </c>
    </row>
    <row r="22" spans="1:9" x14ac:dyDescent="0.3">
      <c r="A22" s="7" t="s">
        <v>18</v>
      </c>
      <c r="B22" s="9">
        <v>102031.13829787234</v>
      </c>
      <c r="C22" s="9">
        <v>150730.08301329799</v>
      </c>
      <c r="E22" s="7" t="s">
        <v>33</v>
      </c>
      <c r="F22" s="5">
        <v>0.28402366863905326</v>
      </c>
      <c r="H22" s="15">
        <v>570.93398465483313</v>
      </c>
    </row>
    <row r="23" spans="1:9" x14ac:dyDescent="0.3">
      <c r="A23" s="7" t="s">
        <v>61</v>
      </c>
      <c r="B23" s="9">
        <v>588946.85088757402</v>
      </c>
      <c r="C23" s="9">
        <v>422607.01297672733</v>
      </c>
      <c r="E23" s="7" t="s">
        <v>46</v>
      </c>
      <c r="F23" s="5">
        <v>3.9447731755424062E-4</v>
      </c>
    </row>
    <row r="24" spans="1:9" x14ac:dyDescent="0.3">
      <c r="E24" s="7" t="s">
        <v>61</v>
      </c>
      <c r="F24" s="5">
        <v>1</v>
      </c>
    </row>
    <row r="26" spans="1:9" x14ac:dyDescent="0.3">
      <c r="A26" s="7" t="s">
        <v>74</v>
      </c>
      <c r="E26" s="7" t="s">
        <v>75</v>
      </c>
    </row>
    <row r="27" spans="1:9" x14ac:dyDescent="0.3">
      <c r="A27" s="6" t="s">
        <v>57</v>
      </c>
      <c r="B27" t="s">
        <v>59</v>
      </c>
      <c r="C27" t="s">
        <v>68</v>
      </c>
      <c r="E27" s="6" t="s">
        <v>57</v>
      </c>
      <c r="F27" t="s">
        <v>59</v>
      </c>
      <c r="G27" t="s">
        <v>66</v>
      </c>
    </row>
    <row r="28" spans="1:9" x14ac:dyDescent="0.3">
      <c r="A28" s="7" t="s">
        <v>20</v>
      </c>
      <c r="B28" s="9">
        <v>1398259065</v>
      </c>
      <c r="C28">
        <v>2079</v>
      </c>
      <c r="E28" s="7">
        <v>3</v>
      </c>
      <c r="F28" s="4">
        <v>1398259065</v>
      </c>
      <c r="G28">
        <v>2079</v>
      </c>
    </row>
    <row r="29" spans="1:9" x14ac:dyDescent="0.3">
      <c r="A29" s="7" t="s">
        <v>31</v>
      </c>
      <c r="B29" s="9">
        <v>62366750</v>
      </c>
      <c r="C29">
        <v>269</v>
      </c>
      <c r="E29" s="7">
        <v>4</v>
      </c>
      <c r="F29" s="4">
        <v>62366750</v>
      </c>
      <c r="G29">
        <v>269</v>
      </c>
    </row>
    <row r="30" spans="1:9" x14ac:dyDescent="0.3">
      <c r="A30" s="7" t="s">
        <v>43</v>
      </c>
      <c r="B30" s="9">
        <v>6888397</v>
      </c>
      <c r="C30">
        <v>31</v>
      </c>
      <c r="E30" s="7">
        <v>6</v>
      </c>
      <c r="F30" s="4">
        <v>25466055</v>
      </c>
      <c r="G30">
        <v>156</v>
      </c>
    </row>
    <row r="31" spans="1:9" x14ac:dyDescent="0.3">
      <c r="A31" s="7" t="s">
        <v>37</v>
      </c>
      <c r="B31" s="9">
        <v>25466055</v>
      </c>
      <c r="C31">
        <v>156</v>
      </c>
      <c r="E31" s="7">
        <v>8</v>
      </c>
      <c r="F31" s="4">
        <v>6888397</v>
      </c>
      <c r="G31">
        <v>31</v>
      </c>
    </row>
    <row r="32" spans="1:9" x14ac:dyDescent="0.3">
      <c r="A32" s="7" t="s">
        <v>61</v>
      </c>
      <c r="B32" s="9">
        <v>1492980267</v>
      </c>
      <c r="C32">
        <v>2535</v>
      </c>
      <c r="E32" s="7" t="s">
        <v>61</v>
      </c>
      <c r="F32" s="4">
        <v>1492980267</v>
      </c>
      <c r="G32">
        <v>2535</v>
      </c>
    </row>
    <row r="34" spans="3:3" x14ac:dyDescent="0.3">
      <c r="C3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5F2B1-7BEB-4E1A-9890-ADBE5CCE9196}">
  <dimension ref="F12:J16"/>
  <sheetViews>
    <sheetView showGridLines="0" zoomScale="70" zoomScaleNormal="70" workbookViewId="0">
      <selection activeCell="H1" sqref="H1"/>
    </sheetView>
  </sheetViews>
  <sheetFormatPr defaultRowHeight="14.4" x14ac:dyDescent="0.3"/>
  <cols>
    <col min="1" max="5" width="8.88671875" style="11"/>
    <col min="6" max="6" width="16.33203125" style="11" customWidth="1"/>
    <col min="7" max="16384" width="8.88671875" style="11"/>
  </cols>
  <sheetData>
    <row r="12" spans="6:10" x14ac:dyDescent="0.3">
      <c r="F12" s="10">
        <f>GETPIVOTDATA("Sum of Sale Price",PivotTable!$A$2)</f>
        <v>1492980267</v>
      </c>
    </row>
    <row r="13" spans="6:10" x14ac:dyDescent="0.3">
      <c r="H13" s="12" t="e">
        <f>GETPIVOTDATA("Average of Price_Per_Sqm",PivotTable!#REF!)</f>
        <v>#REF!</v>
      </c>
      <c r="J13" s="13">
        <f>GETPIVOTDATA("Sale Price",PivotTable!$E$20,"Sale_Status","Above Estimate")</f>
        <v>0.71558185404339247</v>
      </c>
    </row>
    <row r="16" spans="6:10" x14ac:dyDescent="0.3">
      <c r="I16" s="14">
        <f>GETPIVOTDATA("Count of Property",PivotTable!$A$2)</f>
        <v>2535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A0FD0C-79B5-4595-B5B0-A4FAEB4E04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V3</vt:lpstr>
      <vt:lpstr>PivotTable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AMAR YASER ABDELRAZEK EMBABY MOHAMED AMAR YASER ABDELRAZEK EMBABY MOHAMED</dc:creator>
  <cp:keywords/>
  <dc:description/>
  <cp:lastModifiedBy>AMAR YASER ABDELRAZEK EMBABY MOHAMED AMAR YASER ABDELR</cp:lastModifiedBy>
  <cp:revision/>
  <dcterms:created xsi:type="dcterms:W3CDTF">2026-01-31T17:37:56Z</dcterms:created>
  <dcterms:modified xsi:type="dcterms:W3CDTF">2026-06-04T18:30:50Z</dcterms:modified>
  <cp:category/>
  <cp:contentStatus/>
</cp:coreProperties>
</file>